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nttlimited-my.sharepoint.com/personal/vincent_viljoen_dimensiondata_com/Documents/Desktop/Cloud Project/Automated Cloud Pricing/"/>
    </mc:Choice>
  </mc:AlternateContent>
  <xr:revisionPtr revIDLastSave="0" documentId="8_{677DD8E0-7870-4C79-8A66-0EDA6B045188}" xr6:coauthVersionLast="47" xr6:coauthVersionMax="47" xr10:uidLastSave="{00000000-0000-0000-0000-000000000000}"/>
  <bookViews>
    <workbookView xWindow="-110" yWindow="-110" windowWidth="19420" windowHeight="11020" activeTab="4" xr2:uid="{00000000-000D-0000-FFFF-FFFF00000000}"/>
  </bookViews>
  <sheets>
    <sheet name="Dashboard_VMCosts_1" sheetId="20" r:id="rId1"/>
    <sheet name="Dashboard_VMCosts_#" sheetId="21" state="hidden" r:id="rId2"/>
    <sheet name="Dashboard_VMCosts_2" sheetId="19" state="hidden" r:id="rId3"/>
    <sheet name="Dashboard" sheetId="13" state="hidden" r:id="rId4"/>
    <sheet name="Dashboard Workings" sheetId="16" r:id="rId5"/>
    <sheet name="AzureVirtualMachines" sheetId="1" r:id="rId6"/>
    <sheet name="RI_Current" sheetId="15" r:id="rId7"/>
    <sheet name="SKUs-AzureExport" sheetId="4" r:id="rId8"/>
    <sheet name="VM_Performance_Stats" sheetId="12" r:id="rId9"/>
    <sheet name="Web-SKUS" sheetId="5" r:id="rId10"/>
    <sheet name="PercentCPU" sheetId="2" r:id="rId11"/>
    <sheet name="MemoryAvailable" sheetId="3" r:id="rId12"/>
    <sheet name="FlexGroups and Costing" sheetId="6" r:id="rId13"/>
    <sheet name="Willie List" sheetId="7" r:id="rId14"/>
    <sheet name="Azure SQL Pricing" sheetId="14" r:id="rId15"/>
    <sheet name="Write_Bytes_ps" sheetId="8" r:id="rId16"/>
    <sheet name="Writes_ps" sheetId="9" r:id="rId17"/>
    <sheet name="Read_Bytes_ps" sheetId="10" r:id="rId18"/>
    <sheet name="Reads_ps" sheetId="11" r:id="rId19"/>
  </sheets>
  <definedNames>
    <definedName name="_xlnm._FilterDatabase" localSheetId="5" hidden="1">AzureVirtualMachines!$B$1:$AQ$314</definedName>
    <definedName name="_xlnm._FilterDatabase" localSheetId="12" hidden="1">'FlexGroups and Costing'!$A$1:$I$221</definedName>
    <definedName name="_xlnm._FilterDatabase" localSheetId="10" hidden="1">PercentCPU!$A$1:$H$181</definedName>
    <definedName name="_xlnm._FilterDatabase" localSheetId="9" hidden="1">'Web-SKUS'!$A$1:$K$582</definedName>
    <definedName name="_xlnm._FilterDatabase" localSheetId="13" hidden="1">'Willie List'!$A$1:$O$1</definedName>
    <definedName name="Current">INDIRECT(ADDRESS(69-1+MATCH('Dashboard Workings'!K1,'Dashboard Workings'!XFC1048576:XFC1,1),3))</definedName>
    <definedName name="Current_On">"Group 4"</definedName>
    <definedName name="Product">INDIRECT(ADDRESS(69-1+MATCH('Dashboard Workings'!XFD1,'Dashboard Workings'!XER1048576:XER1,1),3))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226" i="1" l="1"/>
  <c r="AF203" i="1"/>
  <c r="AT3" i="1"/>
  <c r="AU3" i="1" s="1"/>
  <c r="AT4" i="1"/>
  <c r="AU4" i="1" s="1"/>
  <c r="AT5" i="1"/>
  <c r="AT6" i="1"/>
  <c r="AT7" i="1"/>
  <c r="AT8" i="1"/>
  <c r="AU8" i="1" s="1"/>
  <c r="AT9" i="1"/>
  <c r="AU9" i="1" s="1"/>
  <c r="AT10" i="1"/>
  <c r="AU10" i="1" s="1"/>
  <c r="AT11" i="1"/>
  <c r="AU11" i="1" s="1"/>
  <c r="AT12" i="1"/>
  <c r="AU12" i="1" s="1"/>
  <c r="AT13" i="1"/>
  <c r="AU13" i="1" s="1"/>
  <c r="AT14" i="1"/>
  <c r="AU14" i="1" s="1"/>
  <c r="AT15" i="1"/>
  <c r="AU15" i="1" s="1"/>
  <c r="AT16" i="1"/>
  <c r="AU16" i="1" s="1"/>
  <c r="AT17" i="1"/>
  <c r="AU17" i="1" s="1"/>
  <c r="AT18" i="1"/>
  <c r="AU18" i="1" s="1"/>
  <c r="AT19" i="1"/>
  <c r="AU19" i="1" s="1"/>
  <c r="AT20" i="1"/>
  <c r="AU20" i="1" s="1"/>
  <c r="AT21" i="1"/>
  <c r="AU21" i="1" s="1"/>
  <c r="AT22" i="1"/>
  <c r="AU22" i="1" s="1"/>
  <c r="AT23" i="1"/>
  <c r="AU23" i="1" s="1"/>
  <c r="AT24" i="1"/>
  <c r="AU24" i="1" s="1"/>
  <c r="AT25" i="1"/>
  <c r="AU25" i="1" s="1"/>
  <c r="AT26" i="1"/>
  <c r="AU26" i="1" s="1"/>
  <c r="AT27" i="1"/>
  <c r="AU27" i="1" s="1"/>
  <c r="AT28" i="1"/>
  <c r="AU28" i="1" s="1"/>
  <c r="AT29" i="1"/>
  <c r="AU29" i="1" s="1"/>
  <c r="AT30" i="1"/>
  <c r="AU30" i="1" s="1"/>
  <c r="AT31" i="1"/>
  <c r="AU31" i="1" s="1"/>
  <c r="AT32" i="1"/>
  <c r="AU32" i="1" s="1"/>
  <c r="AT33" i="1"/>
  <c r="AU33" i="1" s="1"/>
  <c r="AT34" i="1"/>
  <c r="AU34" i="1" s="1"/>
  <c r="AT35" i="1"/>
  <c r="AU35" i="1" s="1"/>
  <c r="AT36" i="1"/>
  <c r="AU36" i="1" s="1"/>
  <c r="AT37" i="1"/>
  <c r="AU37" i="1" s="1"/>
  <c r="AT38" i="1"/>
  <c r="AU38" i="1" s="1"/>
  <c r="AT39" i="1"/>
  <c r="AU39" i="1" s="1"/>
  <c r="AT40" i="1"/>
  <c r="AU40" i="1" s="1"/>
  <c r="AT41" i="1"/>
  <c r="AU41" i="1" s="1"/>
  <c r="AT42" i="1"/>
  <c r="AU42" i="1" s="1"/>
  <c r="AT43" i="1"/>
  <c r="AU43" i="1" s="1"/>
  <c r="AT44" i="1"/>
  <c r="AU44" i="1" s="1"/>
  <c r="AT45" i="1"/>
  <c r="AU45" i="1" s="1"/>
  <c r="AT46" i="1"/>
  <c r="AU46" i="1" s="1"/>
  <c r="AT47" i="1"/>
  <c r="AU47" i="1" s="1"/>
  <c r="AT48" i="1"/>
  <c r="AU48" i="1" s="1"/>
  <c r="AT49" i="1"/>
  <c r="AU49" i="1" s="1"/>
  <c r="AT50" i="1"/>
  <c r="AU50" i="1" s="1"/>
  <c r="AT51" i="1"/>
  <c r="AU51" i="1" s="1"/>
  <c r="AT52" i="1"/>
  <c r="AU52" i="1" s="1"/>
  <c r="AT53" i="1"/>
  <c r="AU53" i="1" s="1"/>
  <c r="AT54" i="1"/>
  <c r="AU54" i="1" s="1"/>
  <c r="AT55" i="1"/>
  <c r="AU55" i="1" s="1"/>
  <c r="AT56" i="1"/>
  <c r="AU56" i="1" s="1"/>
  <c r="AT57" i="1"/>
  <c r="AU57" i="1" s="1"/>
  <c r="AT58" i="1"/>
  <c r="AU58" i="1" s="1"/>
  <c r="AT59" i="1"/>
  <c r="AU59" i="1" s="1"/>
  <c r="AT60" i="1"/>
  <c r="AU60" i="1" s="1"/>
  <c r="AT61" i="1"/>
  <c r="AU61" i="1" s="1"/>
  <c r="AT62" i="1"/>
  <c r="AU62" i="1" s="1"/>
  <c r="AT63" i="1"/>
  <c r="AU63" i="1" s="1"/>
  <c r="AT64" i="1"/>
  <c r="AU64" i="1" s="1"/>
  <c r="AT65" i="1"/>
  <c r="AU65" i="1" s="1"/>
  <c r="AT66" i="1"/>
  <c r="AU66" i="1" s="1"/>
  <c r="AT67" i="1"/>
  <c r="AU67" i="1" s="1"/>
  <c r="AT68" i="1"/>
  <c r="AU68" i="1" s="1"/>
  <c r="AT69" i="1"/>
  <c r="AU69" i="1" s="1"/>
  <c r="AT70" i="1"/>
  <c r="AU70" i="1" s="1"/>
  <c r="AT71" i="1"/>
  <c r="AU71" i="1" s="1"/>
  <c r="AT72" i="1"/>
  <c r="AU72" i="1" s="1"/>
  <c r="AT73" i="1"/>
  <c r="AU73" i="1" s="1"/>
  <c r="AT74" i="1"/>
  <c r="AU74" i="1" s="1"/>
  <c r="AT75" i="1"/>
  <c r="AU75" i="1" s="1"/>
  <c r="AT76" i="1"/>
  <c r="AU76" i="1" s="1"/>
  <c r="AT77" i="1"/>
  <c r="AU77" i="1" s="1"/>
  <c r="AT78" i="1"/>
  <c r="AU78" i="1" s="1"/>
  <c r="AT79" i="1"/>
  <c r="AU79" i="1" s="1"/>
  <c r="AT80" i="1"/>
  <c r="AU80" i="1" s="1"/>
  <c r="AT81" i="1"/>
  <c r="AU81" i="1" s="1"/>
  <c r="AT82" i="1"/>
  <c r="AU82" i="1" s="1"/>
  <c r="AT83" i="1"/>
  <c r="AU83" i="1" s="1"/>
  <c r="AT84" i="1"/>
  <c r="AU84" i="1" s="1"/>
  <c r="AT85" i="1"/>
  <c r="AU85" i="1" s="1"/>
  <c r="AT86" i="1"/>
  <c r="AU86" i="1" s="1"/>
  <c r="AT87" i="1"/>
  <c r="AU87" i="1" s="1"/>
  <c r="AT88" i="1"/>
  <c r="AU88" i="1" s="1"/>
  <c r="AT89" i="1"/>
  <c r="AU89" i="1" s="1"/>
  <c r="AT90" i="1"/>
  <c r="AU90" i="1" s="1"/>
  <c r="AT91" i="1"/>
  <c r="AU91" i="1" s="1"/>
  <c r="AT92" i="1"/>
  <c r="AU92" i="1" s="1"/>
  <c r="AT93" i="1"/>
  <c r="AU93" i="1" s="1"/>
  <c r="AT94" i="1"/>
  <c r="AU94" i="1" s="1"/>
  <c r="AT95" i="1"/>
  <c r="AU95" i="1" s="1"/>
  <c r="AT96" i="1"/>
  <c r="AU96" i="1" s="1"/>
  <c r="AT97" i="1"/>
  <c r="AU97" i="1" s="1"/>
  <c r="AT98" i="1"/>
  <c r="AU98" i="1" s="1"/>
  <c r="AT99" i="1"/>
  <c r="AU99" i="1" s="1"/>
  <c r="AT100" i="1"/>
  <c r="AU100" i="1" s="1"/>
  <c r="AT101" i="1"/>
  <c r="AU101" i="1" s="1"/>
  <c r="AT102" i="1"/>
  <c r="AU102" i="1" s="1"/>
  <c r="AT103" i="1"/>
  <c r="AU103" i="1" s="1"/>
  <c r="AT104" i="1"/>
  <c r="AU104" i="1" s="1"/>
  <c r="AT105" i="1"/>
  <c r="AU105" i="1" s="1"/>
  <c r="AT106" i="1"/>
  <c r="AU106" i="1" s="1"/>
  <c r="AT107" i="1"/>
  <c r="AU107" i="1" s="1"/>
  <c r="AT108" i="1"/>
  <c r="AU108" i="1" s="1"/>
  <c r="AT109" i="1"/>
  <c r="AU109" i="1" s="1"/>
  <c r="AT110" i="1"/>
  <c r="AU110" i="1" s="1"/>
  <c r="AT111" i="1"/>
  <c r="AU111" i="1" s="1"/>
  <c r="AT112" i="1"/>
  <c r="AU112" i="1" s="1"/>
  <c r="AT113" i="1"/>
  <c r="AU113" i="1" s="1"/>
  <c r="AT114" i="1"/>
  <c r="AU114" i="1" s="1"/>
  <c r="AT115" i="1"/>
  <c r="AU115" i="1" s="1"/>
  <c r="AT116" i="1"/>
  <c r="AU116" i="1" s="1"/>
  <c r="AT117" i="1"/>
  <c r="AU117" i="1" s="1"/>
  <c r="AT118" i="1"/>
  <c r="AU118" i="1" s="1"/>
  <c r="AT119" i="1"/>
  <c r="AU119" i="1" s="1"/>
  <c r="AT120" i="1"/>
  <c r="AU120" i="1" s="1"/>
  <c r="AT121" i="1"/>
  <c r="AU121" i="1" s="1"/>
  <c r="AT122" i="1"/>
  <c r="AU122" i="1" s="1"/>
  <c r="AT123" i="1"/>
  <c r="AU123" i="1" s="1"/>
  <c r="AT124" i="1"/>
  <c r="AU124" i="1" s="1"/>
  <c r="AT125" i="1"/>
  <c r="AU125" i="1" s="1"/>
  <c r="AT126" i="1"/>
  <c r="AU126" i="1" s="1"/>
  <c r="AT127" i="1"/>
  <c r="AU127" i="1" s="1"/>
  <c r="AT128" i="1"/>
  <c r="AU128" i="1" s="1"/>
  <c r="AT129" i="1"/>
  <c r="AU129" i="1" s="1"/>
  <c r="AT130" i="1"/>
  <c r="AU130" i="1" s="1"/>
  <c r="AT131" i="1"/>
  <c r="AU131" i="1" s="1"/>
  <c r="AT132" i="1"/>
  <c r="AU132" i="1" s="1"/>
  <c r="AT133" i="1"/>
  <c r="AU133" i="1" s="1"/>
  <c r="AT134" i="1"/>
  <c r="AU134" i="1" s="1"/>
  <c r="AT135" i="1"/>
  <c r="AU135" i="1" s="1"/>
  <c r="AT136" i="1"/>
  <c r="AU136" i="1" s="1"/>
  <c r="AT137" i="1"/>
  <c r="AU137" i="1" s="1"/>
  <c r="AT138" i="1"/>
  <c r="AU138" i="1" s="1"/>
  <c r="AT139" i="1"/>
  <c r="AU139" i="1" s="1"/>
  <c r="AT140" i="1"/>
  <c r="AU140" i="1" s="1"/>
  <c r="AT141" i="1"/>
  <c r="AU141" i="1" s="1"/>
  <c r="AT142" i="1"/>
  <c r="AU142" i="1" s="1"/>
  <c r="AT143" i="1"/>
  <c r="AU143" i="1" s="1"/>
  <c r="AT144" i="1"/>
  <c r="AU144" i="1" s="1"/>
  <c r="AT145" i="1"/>
  <c r="AU145" i="1" s="1"/>
  <c r="AT146" i="1"/>
  <c r="AU146" i="1" s="1"/>
  <c r="AT147" i="1"/>
  <c r="AU147" i="1" s="1"/>
  <c r="AT148" i="1"/>
  <c r="AU148" i="1" s="1"/>
  <c r="AT149" i="1"/>
  <c r="AU149" i="1" s="1"/>
  <c r="AT150" i="1"/>
  <c r="AU150" i="1" s="1"/>
  <c r="AT151" i="1"/>
  <c r="AU151" i="1" s="1"/>
  <c r="AT152" i="1"/>
  <c r="AU152" i="1" s="1"/>
  <c r="AT153" i="1"/>
  <c r="AU153" i="1" s="1"/>
  <c r="AT154" i="1"/>
  <c r="AU154" i="1" s="1"/>
  <c r="AT155" i="1"/>
  <c r="AU155" i="1" s="1"/>
  <c r="AT156" i="1"/>
  <c r="AU156" i="1" s="1"/>
  <c r="AT157" i="1"/>
  <c r="AU157" i="1" s="1"/>
  <c r="AT158" i="1"/>
  <c r="AU158" i="1" s="1"/>
  <c r="AT159" i="1"/>
  <c r="AU159" i="1" s="1"/>
  <c r="AT160" i="1"/>
  <c r="AU160" i="1" s="1"/>
  <c r="AT161" i="1"/>
  <c r="AU161" i="1" s="1"/>
  <c r="AT162" i="1"/>
  <c r="AU162" i="1" s="1"/>
  <c r="AT163" i="1"/>
  <c r="AU163" i="1" s="1"/>
  <c r="AT164" i="1"/>
  <c r="AU164" i="1" s="1"/>
  <c r="AT165" i="1"/>
  <c r="AU165" i="1" s="1"/>
  <c r="AT166" i="1"/>
  <c r="AU166" i="1" s="1"/>
  <c r="AT167" i="1"/>
  <c r="AU167" i="1" s="1"/>
  <c r="AT168" i="1"/>
  <c r="AU168" i="1" s="1"/>
  <c r="AT169" i="1"/>
  <c r="AU169" i="1" s="1"/>
  <c r="AT170" i="1"/>
  <c r="AU170" i="1" s="1"/>
  <c r="AT171" i="1"/>
  <c r="AU171" i="1" s="1"/>
  <c r="AT172" i="1"/>
  <c r="AU172" i="1" s="1"/>
  <c r="AT173" i="1"/>
  <c r="AU173" i="1" s="1"/>
  <c r="AT174" i="1"/>
  <c r="AU174" i="1" s="1"/>
  <c r="AT175" i="1"/>
  <c r="AU175" i="1" s="1"/>
  <c r="AT176" i="1"/>
  <c r="AU176" i="1" s="1"/>
  <c r="AT177" i="1"/>
  <c r="AU177" i="1" s="1"/>
  <c r="AT178" i="1"/>
  <c r="AU178" i="1" s="1"/>
  <c r="AT179" i="1"/>
  <c r="AU179" i="1" s="1"/>
  <c r="AT180" i="1"/>
  <c r="AU180" i="1" s="1"/>
  <c r="AT181" i="1"/>
  <c r="AU181" i="1" s="1"/>
  <c r="AT182" i="1"/>
  <c r="AU182" i="1" s="1"/>
  <c r="AT183" i="1"/>
  <c r="AU183" i="1" s="1"/>
  <c r="AT184" i="1"/>
  <c r="AU184" i="1" s="1"/>
  <c r="AT185" i="1"/>
  <c r="AU185" i="1" s="1"/>
  <c r="AT186" i="1"/>
  <c r="AU186" i="1" s="1"/>
  <c r="AT187" i="1"/>
  <c r="AU187" i="1" s="1"/>
  <c r="AT188" i="1"/>
  <c r="AU188" i="1" s="1"/>
  <c r="AT189" i="1"/>
  <c r="AU189" i="1" s="1"/>
  <c r="AT190" i="1"/>
  <c r="AU190" i="1" s="1"/>
  <c r="AT191" i="1"/>
  <c r="AU191" i="1" s="1"/>
  <c r="AT192" i="1"/>
  <c r="AU192" i="1" s="1"/>
  <c r="AT193" i="1"/>
  <c r="AU193" i="1" s="1"/>
  <c r="AT194" i="1"/>
  <c r="AU194" i="1" s="1"/>
  <c r="AT195" i="1"/>
  <c r="AU195" i="1" s="1"/>
  <c r="AT196" i="1"/>
  <c r="AU196" i="1" s="1"/>
  <c r="AT197" i="1"/>
  <c r="AU197" i="1" s="1"/>
  <c r="AT198" i="1"/>
  <c r="AU198" i="1" s="1"/>
  <c r="AT199" i="1"/>
  <c r="AU199" i="1" s="1"/>
  <c r="AT200" i="1"/>
  <c r="AU200" i="1" s="1"/>
  <c r="AT201" i="1"/>
  <c r="AU201" i="1" s="1"/>
  <c r="AT202" i="1"/>
  <c r="AU202" i="1" s="1"/>
  <c r="AT203" i="1"/>
  <c r="AU203" i="1" s="1"/>
  <c r="AT204" i="1"/>
  <c r="AU204" i="1" s="1"/>
  <c r="AT205" i="1"/>
  <c r="AU205" i="1" s="1"/>
  <c r="AT206" i="1"/>
  <c r="AU206" i="1" s="1"/>
  <c r="AT207" i="1"/>
  <c r="AU207" i="1" s="1"/>
  <c r="AT208" i="1"/>
  <c r="AU208" i="1" s="1"/>
  <c r="AT209" i="1"/>
  <c r="AU209" i="1" s="1"/>
  <c r="AT210" i="1"/>
  <c r="AU210" i="1" s="1"/>
  <c r="AT211" i="1"/>
  <c r="AU211" i="1" s="1"/>
  <c r="AT212" i="1"/>
  <c r="AU212" i="1" s="1"/>
  <c r="AT213" i="1"/>
  <c r="AU213" i="1" s="1"/>
  <c r="AT214" i="1"/>
  <c r="AU214" i="1" s="1"/>
  <c r="AT215" i="1"/>
  <c r="AU215" i="1" s="1"/>
  <c r="AT216" i="1"/>
  <c r="AU216" i="1" s="1"/>
  <c r="AT217" i="1"/>
  <c r="AU217" i="1" s="1"/>
  <c r="AT218" i="1"/>
  <c r="AU218" i="1" s="1"/>
  <c r="AT219" i="1"/>
  <c r="AU219" i="1" s="1"/>
  <c r="AT220" i="1"/>
  <c r="AU220" i="1" s="1"/>
  <c r="AT221" i="1"/>
  <c r="AU221" i="1" s="1"/>
  <c r="AT222" i="1"/>
  <c r="AU222" i="1" s="1"/>
  <c r="AT223" i="1"/>
  <c r="AU223" i="1" s="1"/>
  <c r="AT224" i="1"/>
  <c r="AU224" i="1" s="1"/>
  <c r="AT225" i="1"/>
  <c r="AU225" i="1" s="1"/>
  <c r="AT226" i="1"/>
  <c r="AU226" i="1" s="1"/>
  <c r="AT227" i="1"/>
  <c r="AU227" i="1" s="1"/>
  <c r="AT228" i="1"/>
  <c r="AU228" i="1" s="1"/>
  <c r="AT229" i="1"/>
  <c r="AU229" i="1" s="1"/>
  <c r="AT230" i="1"/>
  <c r="AU230" i="1" s="1"/>
  <c r="AT231" i="1"/>
  <c r="AU231" i="1" s="1"/>
  <c r="AT232" i="1"/>
  <c r="AU232" i="1" s="1"/>
  <c r="AT233" i="1"/>
  <c r="AU233" i="1" s="1"/>
  <c r="AT234" i="1"/>
  <c r="AU234" i="1" s="1"/>
  <c r="AT235" i="1"/>
  <c r="AU235" i="1" s="1"/>
  <c r="AT236" i="1"/>
  <c r="AU236" i="1" s="1"/>
  <c r="AT237" i="1"/>
  <c r="AU237" i="1" s="1"/>
  <c r="AT238" i="1"/>
  <c r="AU238" i="1" s="1"/>
  <c r="AT239" i="1"/>
  <c r="AU239" i="1" s="1"/>
  <c r="AT240" i="1"/>
  <c r="AU240" i="1" s="1"/>
  <c r="AT241" i="1"/>
  <c r="AU241" i="1" s="1"/>
  <c r="AT242" i="1"/>
  <c r="AU242" i="1" s="1"/>
  <c r="AT243" i="1"/>
  <c r="AU243" i="1" s="1"/>
  <c r="AT244" i="1"/>
  <c r="AU244" i="1" s="1"/>
  <c r="AT245" i="1"/>
  <c r="AU245" i="1" s="1"/>
  <c r="AT246" i="1"/>
  <c r="AU246" i="1" s="1"/>
  <c r="AT247" i="1"/>
  <c r="AU247" i="1" s="1"/>
  <c r="AT248" i="1"/>
  <c r="AU248" i="1" s="1"/>
  <c r="AT249" i="1"/>
  <c r="AU249" i="1" s="1"/>
  <c r="AT250" i="1"/>
  <c r="AU250" i="1" s="1"/>
  <c r="AT251" i="1"/>
  <c r="AU251" i="1" s="1"/>
  <c r="AT252" i="1"/>
  <c r="AU252" i="1" s="1"/>
  <c r="AT253" i="1"/>
  <c r="AU253" i="1" s="1"/>
  <c r="AT254" i="1"/>
  <c r="AU254" i="1" s="1"/>
  <c r="AT255" i="1"/>
  <c r="AU255" i="1" s="1"/>
  <c r="AT256" i="1"/>
  <c r="AU256" i="1" s="1"/>
  <c r="AT257" i="1"/>
  <c r="AU257" i="1" s="1"/>
  <c r="AT258" i="1"/>
  <c r="AU258" i="1" s="1"/>
  <c r="AT259" i="1"/>
  <c r="AU259" i="1" s="1"/>
  <c r="AT260" i="1"/>
  <c r="AU260" i="1" s="1"/>
  <c r="AT261" i="1"/>
  <c r="AU261" i="1" s="1"/>
  <c r="AT262" i="1"/>
  <c r="AU262" i="1" s="1"/>
  <c r="AT263" i="1"/>
  <c r="AU263" i="1" s="1"/>
  <c r="AT264" i="1"/>
  <c r="AU264" i="1" s="1"/>
  <c r="AT265" i="1"/>
  <c r="AU265" i="1" s="1"/>
  <c r="AT266" i="1"/>
  <c r="AU266" i="1" s="1"/>
  <c r="AT267" i="1"/>
  <c r="AU267" i="1" s="1"/>
  <c r="AT268" i="1"/>
  <c r="AU268" i="1" s="1"/>
  <c r="AT269" i="1"/>
  <c r="AU269" i="1" s="1"/>
  <c r="AT270" i="1"/>
  <c r="AU270" i="1" s="1"/>
  <c r="AT271" i="1"/>
  <c r="AU271" i="1" s="1"/>
  <c r="AT272" i="1"/>
  <c r="AU272" i="1" s="1"/>
  <c r="AT273" i="1"/>
  <c r="AU273" i="1" s="1"/>
  <c r="AT274" i="1"/>
  <c r="AU274" i="1" s="1"/>
  <c r="AT275" i="1"/>
  <c r="AU275" i="1" s="1"/>
  <c r="AT276" i="1"/>
  <c r="AU276" i="1" s="1"/>
  <c r="AT277" i="1"/>
  <c r="AU277" i="1" s="1"/>
  <c r="AT278" i="1"/>
  <c r="AU278" i="1" s="1"/>
  <c r="AT279" i="1"/>
  <c r="AU279" i="1" s="1"/>
  <c r="AT280" i="1"/>
  <c r="AU280" i="1" s="1"/>
  <c r="AT281" i="1"/>
  <c r="AU281" i="1" s="1"/>
  <c r="AT282" i="1"/>
  <c r="AU282" i="1" s="1"/>
  <c r="AT283" i="1"/>
  <c r="AU283" i="1" s="1"/>
  <c r="AT284" i="1"/>
  <c r="AU284" i="1" s="1"/>
  <c r="AT285" i="1"/>
  <c r="AU285" i="1" s="1"/>
  <c r="AT286" i="1"/>
  <c r="AU286" i="1" s="1"/>
  <c r="AT287" i="1"/>
  <c r="AU287" i="1" s="1"/>
  <c r="AT288" i="1"/>
  <c r="AU288" i="1" s="1"/>
  <c r="AT289" i="1"/>
  <c r="AU289" i="1" s="1"/>
  <c r="AT290" i="1"/>
  <c r="AU290" i="1" s="1"/>
  <c r="AT291" i="1"/>
  <c r="AU291" i="1" s="1"/>
  <c r="AT292" i="1"/>
  <c r="AU292" i="1" s="1"/>
  <c r="AT293" i="1"/>
  <c r="AU293" i="1" s="1"/>
  <c r="AT294" i="1"/>
  <c r="AU294" i="1" s="1"/>
  <c r="AT295" i="1"/>
  <c r="AU295" i="1" s="1"/>
  <c r="AT296" i="1"/>
  <c r="AU296" i="1" s="1"/>
  <c r="AT297" i="1"/>
  <c r="AU297" i="1" s="1"/>
  <c r="AT298" i="1"/>
  <c r="AU298" i="1" s="1"/>
  <c r="AT299" i="1"/>
  <c r="AU299" i="1" s="1"/>
  <c r="AT300" i="1"/>
  <c r="AU300" i="1" s="1"/>
  <c r="AT301" i="1"/>
  <c r="AU301" i="1" s="1"/>
  <c r="AT302" i="1"/>
  <c r="AU302" i="1" s="1"/>
  <c r="AT303" i="1"/>
  <c r="AU303" i="1" s="1"/>
  <c r="AT304" i="1"/>
  <c r="AU304" i="1" s="1"/>
  <c r="AT305" i="1"/>
  <c r="AU305" i="1" s="1"/>
  <c r="AT306" i="1"/>
  <c r="AU306" i="1" s="1"/>
  <c r="AT307" i="1"/>
  <c r="AU307" i="1" s="1"/>
  <c r="AT308" i="1"/>
  <c r="AU308" i="1" s="1"/>
  <c r="AT309" i="1"/>
  <c r="AU309" i="1" s="1"/>
  <c r="AT310" i="1"/>
  <c r="AU310" i="1" s="1"/>
  <c r="AT311" i="1"/>
  <c r="AU311" i="1" s="1"/>
  <c r="AT312" i="1"/>
  <c r="AU312" i="1" s="1"/>
  <c r="AT313" i="1"/>
  <c r="AU313" i="1" s="1"/>
  <c r="AT314" i="1"/>
  <c r="AU314" i="1" s="1"/>
  <c r="AT2" i="1"/>
  <c r="AU2" i="1" s="1"/>
  <c r="K2" i="1"/>
  <c r="AU5" i="1"/>
  <c r="AU6" i="1"/>
  <c r="AU7" i="1"/>
  <c r="AS3" i="1"/>
  <c r="AS4" i="1"/>
  <c r="AS5" i="1"/>
  <c r="AS6" i="1"/>
  <c r="AS7" i="1"/>
  <c r="AS8" i="1"/>
  <c r="AS9" i="1"/>
  <c r="AS10" i="1"/>
  <c r="AS11" i="1"/>
  <c r="AS12" i="1"/>
  <c r="AS13" i="1"/>
  <c r="AS14" i="1"/>
  <c r="AS15" i="1"/>
  <c r="AS16" i="1"/>
  <c r="AS17" i="1"/>
  <c r="AS18" i="1"/>
  <c r="AS19" i="1"/>
  <c r="AS20" i="1"/>
  <c r="AS21"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8" i="1"/>
  <c r="AS69" i="1"/>
  <c r="AS70" i="1"/>
  <c r="AS71" i="1"/>
  <c r="AS72" i="1"/>
  <c r="AS73" i="1"/>
  <c r="AS74" i="1"/>
  <c r="AS75" i="1"/>
  <c r="AS76" i="1"/>
  <c r="AS77" i="1"/>
  <c r="AS78" i="1"/>
  <c r="AS79" i="1"/>
  <c r="AS80" i="1"/>
  <c r="AS81" i="1"/>
  <c r="AS82" i="1"/>
  <c r="AS83" i="1"/>
  <c r="AS84" i="1"/>
  <c r="AS85" i="1"/>
  <c r="AS86" i="1"/>
  <c r="AS87" i="1"/>
  <c r="AS88" i="1"/>
  <c r="AS89" i="1"/>
  <c r="AS90" i="1"/>
  <c r="AS91" i="1"/>
  <c r="AS92" i="1"/>
  <c r="AS93" i="1"/>
  <c r="AS94" i="1"/>
  <c r="AS95" i="1"/>
  <c r="AS96" i="1"/>
  <c r="AS97" i="1"/>
  <c r="AS98" i="1"/>
  <c r="AS99" i="1"/>
  <c r="AS100" i="1"/>
  <c r="AS101" i="1"/>
  <c r="AS102" i="1"/>
  <c r="AS103" i="1"/>
  <c r="AS104" i="1"/>
  <c r="AS105" i="1"/>
  <c r="AS106" i="1"/>
  <c r="AS107" i="1"/>
  <c r="AS108" i="1"/>
  <c r="AS109" i="1"/>
  <c r="AS110" i="1"/>
  <c r="AS111" i="1"/>
  <c r="AS112" i="1"/>
  <c r="AS113" i="1"/>
  <c r="AS114" i="1"/>
  <c r="AS115" i="1"/>
  <c r="AS116" i="1"/>
  <c r="AS117" i="1"/>
  <c r="AS118" i="1"/>
  <c r="AS119" i="1"/>
  <c r="AS120" i="1"/>
  <c r="AS121" i="1"/>
  <c r="AS122" i="1"/>
  <c r="AS123" i="1"/>
  <c r="AS124"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2" i="1"/>
  <c r="AV3" i="1"/>
  <c r="AV4" i="1"/>
  <c r="AV5" i="1"/>
  <c r="AW5" i="1" s="1"/>
  <c r="AV6" i="1"/>
  <c r="AW6" i="1" s="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2" i="1"/>
  <c r="AW62" i="1" l="1"/>
  <c r="AW254" i="1"/>
  <c r="AW190" i="1"/>
  <c r="AW310" i="1"/>
  <c r="AW302" i="1"/>
  <c r="AW294" i="1"/>
  <c r="AW286" i="1"/>
  <c r="AW278" i="1"/>
  <c r="AW270" i="1"/>
  <c r="AW262" i="1"/>
  <c r="AW246" i="1"/>
  <c r="AW238" i="1"/>
  <c r="AW230" i="1"/>
  <c r="AW222" i="1"/>
  <c r="AW214" i="1"/>
  <c r="AW206" i="1"/>
  <c r="AW198" i="1"/>
  <c r="AW182" i="1"/>
  <c r="AW174" i="1"/>
  <c r="AW166" i="1"/>
  <c r="AW158" i="1"/>
  <c r="AW150" i="1"/>
  <c r="AW142" i="1"/>
  <c r="AW134" i="1"/>
  <c r="AW118" i="1"/>
  <c r="AW110" i="1"/>
  <c r="AW102" i="1"/>
  <c r="AW94" i="1"/>
  <c r="AW86" i="1"/>
  <c r="AW78" i="1"/>
  <c r="AW70" i="1"/>
  <c r="AW54" i="1"/>
  <c r="AW46" i="1"/>
  <c r="AW38" i="1"/>
  <c r="AW30" i="1"/>
  <c r="AW22" i="1"/>
  <c r="AW14" i="1"/>
  <c r="AW253" i="1"/>
  <c r="AW221" i="1"/>
  <c r="AW285" i="1"/>
  <c r="AW189" i="1"/>
  <c r="AW157" i="1"/>
  <c r="AW125" i="1"/>
  <c r="AW29" i="1"/>
  <c r="AW93" i="1"/>
  <c r="AW61" i="1"/>
  <c r="AW301" i="1"/>
  <c r="AW277" i="1"/>
  <c r="AW261" i="1"/>
  <c r="AW237" i="1"/>
  <c r="AW213" i="1"/>
  <c r="AW197" i="1"/>
  <c r="AW181" i="1"/>
  <c r="AW141" i="1"/>
  <c r="AW133" i="1"/>
  <c r="AW117" i="1"/>
  <c r="AW85" i="1"/>
  <c r="AW69" i="1"/>
  <c r="AW53" i="1"/>
  <c r="AW37" i="1"/>
  <c r="AW309" i="1"/>
  <c r="AW293" i="1"/>
  <c r="AW269" i="1"/>
  <c r="AW245" i="1"/>
  <c r="AW229" i="1"/>
  <c r="AW205" i="1"/>
  <c r="AW173" i="1"/>
  <c r="AW165" i="1"/>
  <c r="AW149" i="1"/>
  <c r="AW109" i="1"/>
  <c r="AW101" i="1"/>
  <c r="AW77" i="1"/>
  <c r="AW45" i="1"/>
  <c r="AW21" i="1"/>
  <c r="AW13" i="1"/>
  <c r="AW172" i="1"/>
  <c r="AW44" i="1"/>
  <c r="AW43" i="1"/>
  <c r="AW84" i="1"/>
  <c r="AW179" i="1"/>
  <c r="AW100" i="1"/>
  <c r="AW228" i="1"/>
  <c r="AW156" i="1"/>
  <c r="AW251" i="1"/>
  <c r="AW32" i="1"/>
  <c r="AW56" i="1"/>
  <c r="AW80" i="1"/>
  <c r="AW104" i="1"/>
  <c r="AW244" i="1"/>
  <c r="AW300" i="1"/>
  <c r="AW268" i="1"/>
  <c r="AW236" i="1"/>
  <c r="AW204" i="1"/>
  <c r="AW164" i="1"/>
  <c r="AW132" i="1"/>
  <c r="AW52" i="1"/>
  <c r="AW12" i="1"/>
  <c r="AW75" i="1"/>
  <c r="AW284" i="1"/>
  <c r="AW252" i="1"/>
  <c r="AW220" i="1"/>
  <c r="AW188" i="1"/>
  <c r="AW124" i="1"/>
  <c r="AW108" i="1"/>
  <c r="AW76" i="1"/>
  <c r="AW20" i="1"/>
  <c r="AW4" i="1"/>
  <c r="AW219" i="1"/>
  <c r="AW308" i="1"/>
  <c r="AW276" i="1"/>
  <c r="AW212" i="1"/>
  <c r="AW140" i="1"/>
  <c r="AW68" i="1"/>
  <c r="AW36" i="1"/>
  <c r="AW147" i="1"/>
  <c r="AW292" i="1"/>
  <c r="AW260" i="1"/>
  <c r="AW196" i="1"/>
  <c r="AW180" i="1"/>
  <c r="AW148" i="1"/>
  <c r="AW116" i="1"/>
  <c r="AW92" i="1"/>
  <c r="AW60" i="1"/>
  <c r="AW28" i="1"/>
  <c r="AW283" i="1"/>
  <c r="AW120" i="1"/>
  <c r="AW112" i="1"/>
  <c r="AW96" i="1"/>
  <c r="AW88" i="1"/>
  <c r="AW72" i="1"/>
  <c r="AW64" i="1"/>
  <c r="AW48" i="1"/>
  <c r="AW40" i="1"/>
  <c r="AW24" i="1"/>
  <c r="AW16" i="1"/>
  <c r="AW307" i="1"/>
  <c r="AW299" i="1"/>
  <c r="AW291" i="1"/>
  <c r="AW275" i="1"/>
  <c r="AW267" i="1"/>
  <c r="AW259" i="1"/>
  <c r="AW243" i="1"/>
  <c r="AW235" i="1"/>
  <c r="AW227" i="1"/>
  <c r="AW211" i="1"/>
  <c r="AW203" i="1"/>
  <c r="AW195" i="1"/>
  <c r="AW187" i="1"/>
  <c r="AW171" i="1"/>
  <c r="AW163" i="1"/>
  <c r="AW155" i="1"/>
  <c r="AW139" i="1"/>
  <c r="AW131" i="1"/>
  <c r="AW115" i="1"/>
  <c r="AW107" i="1"/>
  <c r="AW99" i="1"/>
  <c r="AW91" i="1"/>
  <c r="AW83" i="1"/>
  <c r="AW67" i="1"/>
  <c r="AW51" i="1"/>
  <c r="AW35" i="1"/>
  <c r="AW27" i="1"/>
  <c r="AW19" i="1"/>
  <c r="AW11" i="1"/>
  <c r="AW3" i="1"/>
  <c r="AW8" i="1"/>
  <c r="AW306" i="1"/>
  <c r="AW282" i="1"/>
  <c r="AW266" i="1"/>
  <c r="AW242" i="1"/>
  <c r="AW226" i="1"/>
  <c r="AW210" i="1"/>
  <c r="AW194" i="1"/>
  <c r="AW178" i="1"/>
  <c r="AW162" i="1"/>
  <c r="AW146" i="1"/>
  <c r="AW130" i="1"/>
  <c r="AW114" i="1"/>
  <c r="AW98" i="1"/>
  <c r="AW74" i="1"/>
  <c r="AW26" i="1"/>
  <c r="AW314" i="1"/>
  <c r="AW298" i="1"/>
  <c r="AW290" i="1"/>
  <c r="AW274" i="1"/>
  <c r="AW258" i="1"/>
  <c r="AW250" i="1"/>
  <c r="AW234" i="1"/>
  <c r="AW218" i="1"/>
  <c r="AW202" i="1"/>
  <c r="AW186" i="1"/>
  <c r="AW170" i="1"/>
  <c r="AW154" i="1"/>
  <c r="AW138" i="1"/>
  <c r="AW122" i="1"/>
  <c r="AW106" i="1"/>
  <c r="AW90" i="1"/>
  <c r="AW82" i="1"/>
  <c r="AW66" i="1"/>
  <c r="AW58" i="1"/>
  <c r="AW50" i="1"/>
  <c r="AW42" i="1"/>
  <c r="AW34" i="1"/>
  <c r="AW18" i="1"/>
  <c r="AW10" i="1"/>
  <c r="AW121" i="1"/>
  <c r="AW113" i="1"/>
  <c r="AW105" i="1"/>
  <c r="AW97" i="1"/>
  <c r="AW89" i="1"/>
  <c r="AW81" i="1"/>
  <c r="AW73" i="1"/>
  <c r="AW65" i="1"/>
  <c r="AW57" i="1"/>
  <c r="AW49" i="1"/>
  <c r="AW41" i="1"/>
  <c r="AW33" i="1"/>
  <c r="AW25" i="1"/>
  <c r="AW17" i="1"/>
  <c r="AW9" i="1"/>
  <c r="AW311" i="1"/>
  <c r="AW303" i="1"/>
  <c r="AW295" i="1"/>
  <c r="AW287" i="1"/>
  <c r="AW279" i="1"/>
  <c r="AW271" i="1"/>
  <c r="AW263" i="1"/>
  <c r="AW255" i="1"/>
  <c r="AW247" i="1"/>
  <c r="AW239" i="1"/>
  <c r="AW231" i="1"/>
  <c r="AW223" i="1"/>
  <c r="AW215" i="1"/>
  <c r="AW207" i="1"/>
  <c r="AW199" i="1"/>
  <c r="AW191" i="1"/>
  <c r="AW183" i="1"/>
  <c r="AW175" i="1"/>
  <c r="AW167" i="1"/>
  <c r="AW159" i="1"/>
  <c r="AW151" i="1"/>
  <c r="AW143" i="1"/>
  <c r="AW135" i="1"/>
  <c r="AW127" i="1"/>
  <c r="AW119" i="1"/>
  <c r="AW111" i="1"/>
  <c r="AW103" i="1"/>
  <c r="AW95" i="1"/>
  <c r="AW87" i="1"/>
  <c r="AW79" i="1"/>
  <c r="AW71" i="1"/>
  <c r="AW63" i="1"/>
  <c r="AW55" i="1"/>
  <c r="AW47" i="1"/>
  <c r="AW39" i="1"/>
  <c r="AW31" i="1"/>
  <c r="AW23" i="1"/>
  <c r="AW15" i="1"/>
  <c r="AW7" i="1"/>
  <c r="AW2" i="1"/>
  <c r="AW123" i="1"/>
  <c r="AW126" i="1"/>
  <c r="AW313" i="1"/>
  <c r="AW305" i="1"/>
  <c r="AW297" i="1"/>
  <c r="AW289" i="1"/>
  <c r="AW281" i="1"/>
  <c r="AW273" i="1"/>
  <c r="AW265" i="1"/>
  <c r="AW257" i="1"/>
  <c r="AW249" i="1"/>
  <c r="AW241" i="1"/>
  <c r="AW233" i="1"/>
  <c r="AW225" i="1"/>
  <c r="AW217" i="1"/>
  <c r="AW209" i="1"/>
  <c r="AW201" i="1"/>
  <c r="AW193" i="1"/>
  <c r="AW185" i="1"/>
  <c r="AW177" i="1"/>
  <c r="AW169" i="1"/>
  <c r="AW161" i="1"/>
  <c r="AW153" i="1"/>
  <c r="AW145" i="1"/>
  <c r="AW137" i="1"/>
  <c r="AW129" i="1"/>
  <c r="AW312" i="1"/>
  <c r="AW304" i="1"/>
  <c r="AW296" i="1"/>
  <c r="AW288" i="1"/>
  <c r="AW280" i="1"/>
  <c r="AW272" i="1"/>
  <c r="AW264" i="1"/>
  <c r="AW256" i="1"/>
  <c r="AW248" i="1"/>
  <c r="AW240" i="1"/>
  <c r="AW232" i="1"/>
  <c r="AW224" i="1"/>
  <c r="AW216" i="1"/>
  <c r="AW208" i="1"/>
  <c r="AW200" i="1"/>
  <c r="AW192" i="1"/>
  <c r="AW184" i="1"/>
  <c r="AW176" i="1"/>
  <c r="AW168" i="1"/>
  <c r="AW160" i="1"/>
  <c r="AW152" i="1"/>
  <c r="AW144" i="1"/>
  <c r="AW136" i="1"/>
  <c r="AW128" i="1"/>
  <c r="AW59" i="1"/>
  <c r="O70" i="16"/>
  <c r="E69" i="16"/>
  <c r="A126" i="12"/>
  <c r="A125" i="12"/>
  <c r="A124" i="12"/>
  <c r="D69" i="16" a="1"/>
  <c r="E62" i="16" a="1"/>
  <c r="E62" i="16" l="1"/>
  <c r="D69" i="16"/>
  <c r="O7" i="16"/>
  <c r="O6" i="16"/>
  <c r="O5" i="16"/>
  <c r="O4" i="16"/>
  <c r="O3" i="16"/>
  <c r="O2" i="16"/>
  <c r="J9" i="16"/>
  <c r="D378" i="5"/>
  <c r="G56" i="16"/>
  <c r="E49" i="16"/>
  <c r="E48" i="16"/>
  <c r="E47" i="16"/>
  <c r="E41" i="16"/>
  <c r="E38" i="16"/>
  <c r="E36" i="16"/>
  <c r="E27" i="16"/>
  <c r="E26" i="16"/>
  <c r="E25" i="16"/>
  <c r="E24" i="16"/>
  <c r="E20" i="16"/>
  <c r="E19" i="16"/>
  <c r="E18" i="16"/>
  <c r="E17" i="16"/>
  <c r="E16" i="16"/>
  <c r="E12" i="16"/>
  <c r="E11" i="16"/>
  <c r="E10" i="16"/>
  <c r="E9" i="16"/>
  <c r="E8" i="16"/>
  <c r="E7" i="16"/>
  <c r="E6" i="16"/>
  <c r="E2" i="16"/>
  <c r="H49" i="16"/>
  <c r="I49" i="16" s="1"/>
  <c r="J49" i="16" s="1"/>
  <c r="C49" i="16"/>
  <c r="H48" i="16"/>
  <c r="I48" i="16" s="1"/>
  <c r="J48" i="16" s="1"/>
  <c r="C48" i="16"/>
  <c r="C47" i="16"/>
  <c r="H47" i="16" s="1"/>
  <c r="I47" i="16" s="1"/>
  <c r="J47" i="16" s="1"/>
  <c r="C46" i="16"/>
  <c r="H46" i="16" s="1"/>
  <c r="I46" i="16" s="1"/>
  <c r="J46" i="16" s="1"/>
  <c r="C44" i="16"/>
  <c r="H44" i="16" s="1"/>
  <c r="I44" i="16" s="1"/>
  <c r="C43" i="16"/>
  <c r="H43" i="16" s="1"/>
  <c r="I43" i="16" s="1"/>
  <c r="C42" i="16"/>
  <c r="H42" i="16" s="1"/>
  <c r="I42" i="16" s="1"/>
  <c r="J42" i="16" s="1"/>
  <c r="C41" i="16"/>
  <c r="H41" i="16" s="1"/>
  <c r="I41" i="16" s="1"/>
  <c r="J41" i="16" s="1"/>
  <c r="C40" i="16"/>
  <c r="H40" i="16" s="1"/>
  <c r="I40" i="16" s="1"/>
  <c r="J40" i="16" s="1"/>
  <c r="C39" i="16"/>
  <c r="H39" i="16" s="1"/>
  <c r="I39" i="16" s="1"/>
  <c r="J39" i="16" s="1"/>
  <c r="C38" i="16"/>
  <c r="H38" i="16" s="1"/>
  <c r="I38" i="16" s="1"/>
  <c r="J38" i="16" s="1"/>
  <c r="C37" i="16"/>
  <c r="H37" i="16" s="1"/>
  <c r="I37" i="16" s="1"/>
  <c r="J37" i="16" s="1"/>
  <c r="C36" i="16"/>
  <c r="H36" i="16" s="1"/>
  <c r="I36" i="16" s="1"/>
  <c r="C35" i="16"/>
  <c r="H35" i="16" s="1"/>
  <c r="I35" i="16" s="1"/>
  <c r="C34" i="16"/>
  <c r="H34" i="16" s="1"/>
  <c r="I34" i="16" s="1"/>
  <c r="J34" i="16" s="1"/>
  <c r="C33" i="16"/>
  <c r="H33" i="16" s="1"/>
  <c r="I33" i="16" s="1"/>
  <c r="J33" i="16" s="1"/>
  <c r="C32" i="16"/>
  <c r="H32" i="16" s="1"/>
  <c r="I32" i="16" s="1"/>
  <c r="J32" i="16" s="1"/>
  <c r="C31" i="16"/>
  <c r="H31" i="16" s="1"/>
  <c r="I31" i="16" s="1"/>
  <c r="J31" i="16" s="1"/>
  <c r="C30" i="16"/>
  <c r="H30" i="16" s="1"/>
  <c r="I30" i="16" s="1"/>
  <c r="J30" i="16" s="1"/>
  <c r="C29" i="16"/>
  <c r="H29" i="16" s="1"/>
  <c r="I29" i="16" s="1"/>
  <c r="J29" i="16" s="1"/>
  <c r="C28" i="16"/>
  <c r="H28" i="16" s="1"/>
  <c r="I28" i="16" s="1"/>
  <c r="C27" i="16"/>
  <c r="H27" i="16" s="1"/>
  <c r="I27" i="16" s="1"/>
  <c r="C26" i="16"/>
  <c r="H26" i="16" s="1"/>
  <c r="I26" i="16" s="1"/>
  <c r="J26" i="16" s="1"/>
  <c r="C25" i="16"/>
  <c r="H25" i="16" s="1"/>
  <c r="I25" i="16" s="1"/>
  <c r="J25" i="16" s="1"/>
  <c r="C24" i="16"/>
  <c r="H24" i="16" s="1"/>
  <c r="I24" i="16" s="1"/>
  <c r="J24" i="16" s="1"/>
  <c r="C23" i="16"/>
  <c r="H23" i="16" s="1"/>
  <c r="I23" i="16" s="1"/>
  <c r="J23" i="16" s="1"/>
  <c r="C22" i="16"/>
  <c r="H22" i="16" s="1"/>
  <c r="I22" i="16" s="1"/>
  <c r="J22" i="16" s="1"/>
  <c r="C21" i="16"/>
  <c r="H21" i="16" s="1"/>
  <c r="I21" i="16" s="1"/>
  <c r="J21" i="16" s="1"/>
  <c r="C20" i="16"/>
  <c r="H20" i="16" s="1"/>
  <c r="I20" i="16" s="1"/>
  <c r="C19" i="16"/>
  <c r="H19" i="16" s="1"/>
  <c r="I19" i="16" s="1"/>
  <c r="C18" i="16"/>
  <c r="H18" i="16" s="1"/>
  <c r="I18" i="16" s="1"/>
  <c r="J18" i="16" s="1"/>
  <c r="C17" i="16"/>
  <c r="H17" i="16" s="1"/>
  <c r="I17" i="16" s="1"/>
  <c r="J17" i="16" s="1"/>
  <c r="C16" i="16"/>
  <c r="H16" i="16" s="1"/>
  <c r="I16" i="16" s="1"/>
  <c r="J16" i="16" s="1"/>
  <c r="C15" i="16"/>
  <c r="H15" i="16" s="1"/>
  <c r="I15" i="16" s="1"/>
  <c r="J15" i="16" s="1"/>
  <c r="C14" i="16"/>
  <c r="H14" i="16" s="1"/>
  <c r="I14" i="16" s="1"/>
  <c r="J14" i="16" s="1"/>
  <c r="C13" i="16"/>
  <c r="H13" i="16" s="1"/>
  <c r="I13" i="16" s="1"/>
  <c r="J13" i="16" s="1"/>
  <c r="C8" i="16"/>
  <c r="H8" i="16" s="1"/>
  <c r="I8" i="16" s="1"/>
  <c r="J8" i="16" s="1"/>
  <c r="C7" i="16"/>
  <c r="H7" i="16" s="1"/>
  <c r="I7" i="16" s="1"/>
  <c r="J7" i="16" s="1"/>
  <c r="C6" i="16"/>
  <c r="H6" i="16" s="1"/>
  <c r="I6" i="16" s="1"/>
  <c r="J6" i="16" s="1"/>
  <c r="C5" i="16"/>
  <c r="H5" i="16" s="1"/>
  <c r="I5" i="16" s="1"/>
  <c r="J5" i="16" s="1"/>
  <c r="C50" i="16"/>
  <c r="H50" i="16" s="1"/>
  <c r="I50" i="16" s="1"/>
  <c r="J50" i="16" s="1"/>
  <c r="C45" i="16"/>
  <c r="H45" i="16" s="1"/>
  <c r="I45" i="16" s="1"/>
  <c r="J45" i="16" s="1"/>
  <c r="C12" i="16"/>
  <c r="H12" i="16" s="1"/>
  <c r="I12" i="16" s="1"/>
  <c r="C11" i="16"/>
  <c r="H11" i="16" s="1"/>
  <c r="I11" i="16" s="1"/>
  <c r="C10" i="16"/>
  <c r="H10" i="16" s="1"/>
  <c r="I10" i="16" s="1"/>
  <c r="J10" i="16" s="1"/>
  <c r="C9" i="16"/>
  <c r="H9" i="16" s="1"/>
  <c r="C4" i="16"/>
  <c r="H4" i="16" s="1"/>
  <c r="I4" i="16" s="1"/>
  <c r="C3" i="16"/>
  <c r="H3" i="16" s="1"/>
  <c r="I3" i="16" s="1"/>
  <c r="C2" i="16"/>
  <c r="H2" i="16" s="1"/>
  <c r="I2" i="16" s="1"/>
  <c r="J2" i="16" s="1"/>
  <c r="N62" i="16"/>
  <c r="K105" i="1"/>
  <c r="R306" i="1"/>
  <c r="R114" i="1"/>
  <c r="A123" i="12"/>
  <c r="A122" i="12"/>
  <c r="A121" i="12"/>
  <c r="A120" i="12"/>
  <c r="A119" i="12"/>
  <c r="R70" i="1"/>
  <c r="AC86" i="1"/>
  <c r="AF3" i="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66" i="1"/>
  <c r="AF103" i="1"/>
  <c r="AF107" i="1"/>
  <c r="AF108" i="1"/>
  <c r="AF117" i="1"/>
  <c r="AF120" i="1"/>
  <c r="AF121" i="1"/>
  <c r="AF122" i="1"/>
  <c r="AF132" i="1"/>
  <c r="AF134" i="1"/>
  <c r="AF139" i="1"/>
  <c r="AF177" i="1"/>
  <c r="AF207" i="1"/>
  <c r="AF215" i="1"/>
  <c r="AF216" i="1"/>
  <c r="AF200" i="1"/>
  <c r="AF201" i="1"/>
  <c r="AF202" i="1"/>
  <c r="AF204" i="1"/>
  <c r="AF205" i="1"/>
  <c r="AF206" i="1"/>
  <c r="AF208" i="1"/>
  <c r="AF209" i="1"/>
  <c r="AF210" i="1"/>
  <c r="AF211" i="1"/>
  <c r="AF212" i="1"/>
  <c r="AF213" i="1"/>
  <c r="AF70" i="1"/>
  <c r="AF229" i="1"/>
  <c r="AF231" i="1"/>
  <c r="AF138" i="1"/>
  <c r="AF232" i="1"/>
  <c r="AF242" i="1"/>
  <c r="AF235" i="1"/>
  <c r="AF114" i="1"/>
  <c r="AF236" i="1"/>
  <c r="AF238" i="1"/>
  <c r="AF239" i="1"/>
  <c r="AF234" i="1"/>
  <c r="AF241" i="1"/>
  <c r="AF159"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7" i="1"/>
  <c r="AF288" i="1"/>
  <c r="AF289" i="1"/>
  <c r="AF290" i="1"/>
  <c r="AF291" i="1"/>
  <c r="AF292" i="1"/>
  <c r="AF293" i="1"/>
  <c r="AF294" i="1"/>
  <c r="AF295" i="1"/>
  <c r="AF296" i="1"/>
  <c r="AF297" i="1"/>
  <c r="AF298" i="1"/>
  <c r="AF299" i="1"/>
  <c r="AF300" i="1"/>
  <c r="AF301" i="1"/>
  <c r="AF302" i="1"/>
  <c r="AF304" i="1"/>
  <c r="AF305" i="1"/>
  <c r="AF306" i="1"/>
  <c r="AF307" i="1"/>
  <c r="AF308" i="1"/>
  <c r="AF309" i="1"/>
  <c r="AF310" i="1"/>
  <c r="AF311" i="1"/>
  <c r="AF314" i="1"/>
  <c r="AF2" i="1"/>
  <c r="AE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116" i="1"/>
  <c r="Q119" i="1"/>
  <c r="Q61" i="1"/>
  <c r="Q123" i="1"/>
  <c r="Q63" i="1"/>
  <c r="Q64" i="1"/>
  <c r="Q125" i="1"/>
  <c r="Q66" i="1"/>
  <c r="Q67" i="1"/>
  <c r="Q126" i="1"/>
  <c r="Q127" i="1"/>
  <c r="Q128" i="1"/>
  <c r="Q129" i="1"/>
  <c r="Q130" i="1"/>
  <c r="Q131" i="1"/>
  <c r="Q133" i="1"/>
  <c r="Q75" i="1"/>
  <c r="Q167" i="1"/>
  <c r="Q136" i="1"/>
  <c r="Q78" i="1"/>
  <c r="Q79" i="1"/>
  <c r="Q80" i="1"/>
  <c r="Q81" i="1"/>
  <c r="Q137" i="1"/>
  <c r="Q83" i="1"/>
  <c r="Q84" i="1"/>
  <c r="Q142" i="1"/>
  <c r="Q140" i="1"/>
  <c r="Q141" i="1"/>
  <c r="Q186" i="1"/>
  <c r="Q237" i="1"/>
  <c r="Q144" i="1"/>
  <c r="Q145" i="1"/>
  <c r="Q146" i="1"/>
  <c r="Q147" i="1"/>
  <c r="Q143" i="1"/>
  <c r="Q149" i="1"/>
  <c r="Q96" i="1"/>
  <c r="Q150" i="1"/>
  <c r="Q151" i="1"/>
  <c r="Q152" i="1"/>
  <c r="Q59" i="1"/>
  <c r="Q60" i="1"/>
  <c r="Q153" i="1"/>
  <c r="Q103" i="1"/>
  <c r="Q104" i="1"/>
  <c r="Q105" i="1"/>
  <c r="Q154" i="1"/>
  <c r="Q107" i="1"/>
  <c r="Q108" i="1"/>
  <c r="Q155" i="1"/>
  <c r="Q62" i="1"/>
  <c r="Q65" i="1"/>
  <c r="Q156" i="1"/>
  <c r="Q68" i="1"/>
  <c r="Q172" i="1"/>
  <c r="Q158" i="1"/>
  <c r="Q135" i="1"/>
  <c r="Q117" i="1"/>
  <c r="Q118" i="1"/>
  <c r="Q160" i="1"/>
  <c r="Q120" i="1"/>
  <c r="Q121" i="1"/>
  <c r="Q122" i="1"/>
  <c r="Q161" i="1"/>
  <c r="Q124" i="1"/>
  <c r="Q162" i="1"/>
  <c r="Q163" i="1"/>
  <c r="Q164" i="1"/>
  <c r="Q165" i="1"/>
  <c r="Q69" i="1"/>
  <c r="Q166" i="1"/>
  <c r="Q225" i="1"/>
  <c r="Q132" i="1"/>
  <c r="Q168" i="1"/>
  <c r="Q134" i="1"/>
  <c r="Q169" i="1"/>
  <c r="Q170" i="1"/>
  <c r="Q171" i="1"/>
  <c r="Q228" i="1"/>
  <c r="Q139" i="1"/>
  <c r="Q173" i="1"/>
  <c r="Q174" i="1"/>
  <c r="Q175" i="1"/>
  <c r="Q176" i="1"/>
  <c r="Q178" i="1"/>
  <c r="Q179" i="1"/>
  <c r="Q180" i="1"/>
  <c r="Q181" i="1"/>
  <c r="Q182" i="1"/>
  <c r="Q183" i="1"/>
  <c r="Q72" i="1"/>
  <c r="Q73" i="1"/>
  <c r="Q74" i="1"/>
  <c r="Q184" i="1"/>
  <c r="Q185" i="1"/>
  <c r="Q76" i="1"/>
  <c r="Q77" i="1"/>
  <c r="Q82" i="1"/>
  <c r="Q71" i="1"/>
  <c r="Q187" i="1"/>
  <c r="Q85" i="1"/>
  <c r="Q86" i="1"/>
  <c r="Q87" i="1"/>
  <c r="Q188" i="1"/>
  <c r="Q189" i="1"/>
  <c r="Q88" i="1"/>
  <c r="Q89" i="1"/>
  <c r="Q90" i="1"/>
  <c r="Q91" i="1"/>
  <c r="Q92" i="1"/>
  <c r="Q93" i="1"/>
  <c r="Q190" i="1"/>
  <c r="Q94" i="1"/>
  <c r="Q191" i="1"/>
  <c r="Q192" i="1"/>
  <c r="Q95" i="1"/>
  <c r="Q97" i="1"/>
  <c r="Q177" i="1"/>
  <c r="Q193" i="1"/>
  <c r="Q98" i="1"/>
  <c r="Q99" i="1"/>
  <c r="Q100" i="1"/>
  <c r="Q101" i="1"/>
  <c r="Q194" i="1"/>
  <c r="Q195" i="1"/>
  <c r="Q102" i="1"/>
  <c r="Q106" i="1"/>
  <c r="Q109" i="1"/>
  <c r="Q110" i="1"/>
  <c r="Q111" i="1"/>
  <c r="Q112" i="1"/>
  <c r="Q196" i="1"/>
  <c r="Q197" i="1"/>
  <c r="Q113" i="1"/>
  <c r="Q198" i="1"/>
  <c r="Q199" i="1"/>
  <c r="Q207" i="1"/>
  <c r="Q214" i="1"/>
  <c r="Q215" i="1"/>
  <c r="Q216" i="1"/>
  <c r="Q200" i="1"/>
  <c r="Q201" i="1"/>
  <c r="Q202" i="1"/>
  <c r="Q203" i="1"/>
  <c r="Q204" i="1"/>
  <c r="Q205" i="1"/>
  <c r="Q206" i="1"/>
  <c r="Q217" i="1"/>
  <c r="Q208" i="1"/>
  <c r="Q209" i="1"/>
  <c r="Q210" i="1"/>
  <c r="Q211" i="1"/>
  <c r="Q212" i="1"/>
  <c r="Q213" i="1"/>
  <c r="Q218" i="1"/>
  <c r="Q219" i="1"/>
  <c r="Q220" i="1"/>
  <c r="Q221" i="1"/>
  <c r="Q222" i="1"/>
  <c r="Q223" i="1"/>
  <c r="Q224" i="1"/>
  <c r="Q240" i="1"/>
  <c r="Q226" i="1"/>
  <c r="Q227" i="1"/>
  <c r="Q230" i="1"/>
  <c r="Q229" i="1"/>
  <c r="Q115" i="1"/>
  <c r="Q148" i="1"/>
  <c r="Q231" i="1"/>
  <c r="T231" i="1" s="1"/>
  <c r="Q138" i="1"/>
  <c r="Q232" i="1"/>
  <c r="Q233" i="1"/>
  <c r="Q242" i="1"/>
  <c r="Q235" i="1"/>
  <c r="Q236" i="1"/>
  <c r="Q157" i="1"/>
  <c r="Q238" i="1"/>
  <c r="Q239" i="1"/>
  <c r="Q234" i="1"/>
  <c r="Q241" i="1"/>
  <c r="Q159"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2" i="1"/>
  <c r="Q293" i="1"/>
  <c r="Q298" i="1"/>
  <c r="Q301" i="1"/>
  <c r="Q302" i="1"/>
  <c r="Q303" i="1"/>
  <c r="Q304" i="1"/>
  <c r="Q305" i="1"/>
  <c r="Q307" i="1"/>
  <c r="Q308" i="1"/>
  <c r="Q309" i="1"/>
  <c r="Q310" i="1"/>
  <c r="Q311" i="1"/>
  <c r="Q312" i="1"/>
  <c r="Q313" i="1"/>
  <c r="Q314" i="1"/>
  <c r="Q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116" i="1"/>
  <c r="R119" i="1"/>
  <c r="R61" i="1"/>
  <c r="R123" i="1"/>
  <c r="R63" i="1"/>
  <c r="R64" i="1"/>
  <c r="R125" i="1"/>
  <c r="R66" i="1"/>
  <c r="R67" i="1"/>
  <c r="R126" i="1"/>
  <c r="R127" i="1"/>
  <c r="R128" i="1"/>
  <c r="R129" i="1"/>
  <c r="R130" i="1"/>
  <c r="R131" i="1"/>
  <c r="R133" i="1"/>
  <c r="R75" i="1"/>
  <c r="R167" i="1"/>
  <c r="R136" i="1"/>
  <c r="R78" i="1"/>
  <c r="R79" i="1"/>
  <c r="R80" i="1"/>
  <c r="R81" i="1"/>
  <c r="R137" i="1"/>
  <c r="R83" i="1"/>
  <c r="R84" i="1"/>
  <c r="R142" i="1"/>
  <c r="R140" i="1"/>
  <c r="R141" i="1"/>
  <c r="R186" i="1"/>
  <c r="R237" i="1"/>
  <c r="R144" i="1"/>
  <c r="R145" i="1"/>
  <c r="R146" i="1"/>
  <c r="R147" i="1"/>
  <c r="R143" i="1"/>
  <c r="R149" i="1"/>
  <c r="R96" i="1"/>
  <c r="R150" i="1"/>
  <c r="R151" i="1"/>
  <c r="R152" i="1"/>
  <c r="R59" i="1"/>
  <c r="R60" i="1"/>
  <c r="R153" i="1"/>
  <c r="R103" i="1"/>
  <c r="R104" i="1"/>
  <c r="R105" i="1"/>
  <c r="R154" i="1"/>
  <c r="R107" i="1"/>
  <c r="R108" i="1"/>
  <c r="R155" i="1"/>
  <c r="R62" i="1"/>
  <c r="R65" i="1"/>
  <c r="R156" i="1"/>
  <c r="R68" i="1"/>
  <c r="R172" i="1"/>
  <c r="R158" i="1"/>
  <c r="R135" i="1"/>
  <c r="R117" i="1"/>
  <c r="R118" i="1"/>
  <c r="R160" i="1"/>
  <c r="R120" i="1"/>
  <c r="R121" i="1"/>
  <c r="R122" i="1"/>
  <c r="R161" i="1"/>
  <c r="R124" i="1"/>
  <c r="R162" i="1"/>
  <c r="R163" i="1"/>
  <c r="R164" i="1"/>
  <c r="R165" i="1"/>
  <c r="R69" i="1"/>
  <c r="R166" i="1"/>
  <c r="R225" i="1"/>
  <c r="R132" i="1"/>
  <c r="R168" i="1"/>
  <c r="R134" i="1"/>
  <c r="R169" i="1"/>
  <c r="R170" i="1"/>
  <c r="R171" i="1"/>
  <c r="R228" i="1"/>
  <c r="R139" i="1"/>
  <c r="R173" i="1"/>
  <c r="R174" i="1"/>
  <c r="R175" i="1"/>
  <c r="R176" i="1"/>
  <c r="R178" i="1"/>
  <c r="R179" i="1"/>
  <c r="R180" i="1"/>
  <c r="R181" i="1"/>
  <c r="R182" i="1"/>
  <c r="R183" i="1"/>
  <c r="R72" i="1"/>
  <c r="R73" i="1"/>
  <c r="R74" i="1"/>
  <c r="R184" i="1"/>
  <c r="R185" i="1"/>
  <c r="R76" i="1"/>
  <c r="R77" i="1"/>
  <c r="R82" i="1"/>
  <c r="R71" i="1"/>
  <c r="R187" i="1"/>
  <c r="R85" i="1"/>
  <c r="R86" i="1"/>
  <c r="R87" i="1"/>
  <c r="R188" i="1"/>
  <c r="R189" i="1"/>
  <c r="R88" i="1"/>
  <c r="R89" i="1"/>
  <c r="R90" i="1"/>
  <c r="R91" i="1"/>
  <c r="R92" i="1"/>
  <c r="R93" i="1"/>
  <c r="R190" i="1"/>
  <c r="R94" i="1"/>
  <c r="R191" i="1"/>
  <c r="R192" i="1"/>
  <c r="R95" i="1"/>
  <c r="R97" i="1"/>
  <c r="R177" i="1"/>
  <c r="R193" i="1"/>
  <c r="R98" i="1"/>
  <c r="R99" i="1"/>
  <c r="R100" i="1"/>
  <c r="R101" i="1"/>
  <c r="R194" i="1"/>
  <c r="R195" i="1"/>
  <c r="R102" i="1"/>
  <c r="R106" i="1"/>
  <c r="R109" i="1"/>
  <c r="R110" i="1"/>
  <c r="R111" i="1"/>
  <c r="R112" i="1"/>
  <c r="R196" i="1"/>
  <c r="R197" i="1"/>
  <c r="R113" i="1"/>
  <c r="R198" i="1"/>
  <c r="R199" i="1"/>
  <c r="R207" i="1"/>
  <c r="R214" i="1"/>
  <c r="R215" i="1"/>
  <c r="R216" i="1"/>
  <c r="R200" i="1"/>
  <c r="R201" i="1"/>
  <c r="R202" i="1"/>
  <c r="R203" i="1"/>
  <c r="R204" i="1"/>
  <c r="R205" i="1"/>
  <c r="R206" i="1"/>
  <c r="R217" i="1"/>
  <c r="R208" i="1"/>
  <c r="R209" i="1"/>
  <c r="R210" i="1"/>
  <c r="R211" i="1"/>
  <c r="R212" i="1"/>
  <c r="R213" i="1"/>
  <c r="R218" i="1"/>
  <c r="R219" i="1"/>
  <c r="R220" i="1"/>
  <c r="R221" i="1"/>
  <c r="R222" i="1"/>
  <c r="R223" i="1"/>
  <c r="R224" i="1"/>
  <c r="R240" i="1"/>
  <c r="R226" i="1"/>
  <c r="R227" i="1"/>
  <c r="R230" i="1"/>
  <c r="R229" i="1"/>
  <c r="R115" i="1"/>
  <c r="R148" i="1"/>
  <c r="R231" i="1"/>
  <c r="R138" i="1"/>
  <c r="R232" i="1"/>
  <c r="R233" i="1"/>
  <c r="R242" i="1"/>
  <c r="R235" i="1"/>
  <c r="R236" i="1"/>
  <c r="R157" i="1"/>
  <c r="R238" i="1"/>
  <c r="R239" i="1"/>
  <c r="R234" i="1"/>
  <c r="R241" i="1"/>
  <c r="R159"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2" i="1"/>
  <c r="R293" i="1"/>
  <c r="R298" i="1"/>
  <c r="R301" i="1"/>
  <c r="R302" i="1"/>
  <c r="R303" i="1"/>
  <c r="R304" i="1"/>
  <c r="R305" i="1"/>
  <c r="R307" i="1"/>
  <c r="R308" i="1"/>
  <c r="R309" i="1"/>
  <c r="R310" i="1"/>
  <c r="R311" i="1"/>
  <c r="R312" i="1"/>
  <c r="R313" i="1"/>
  <c r="R314" i="1"/>
  <c r="R2" i="1"/>
  <c r="AH3" i="1"/>
  <c r="AH4" i="1"/>
  <c r="AH5" i="1"/>
  <c r="AH6" i="1"/>
  <c r="AH7" i="1"/>
  <c r="AH8" i="1"/>
  <c r="AH9" i="1"/>
  <c r="AH10" i="1"/>
  <c r="AH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116" i="1"/>
  <c r="AH119" i="1"/>
  <c r="AH61" i="1"/>
  <c r="AH123" i="1"/>
  <c r="AH63" i="1"/>
  <c r="AH64" i="1"/>
  <c r="AH125" i="1"/>
  <c r="AH66" i="1"/>
  <c r="AH67" i="1"/>
  <c r="AH126" i="1"/>
  <c r="AH127" i="1"/>
  <c r="AH128" i="1"/>
  <c r="AH129" i="1"/>
  <c r="AH130" i="1"/>
  <c r="AH131" i="1"/>
  <c r="AH133" i="1"/>
  <c r="AH75" i="1"/>
  <c r="AH167" i="1"/>
  <c r="AH136" i="1"/>
  <c r="AH78" i="1"/>
  <c r="AH79" i="1"/>
  <c r="AH80" i="1"/>
  <c r="AH81" i="1"/>
  <c r="AH137" i="1"/>
  <c r="AH83" i="1"/>
  <c r="AH84" i="1"/>
  <c r="AH142" i="1"/>
  <c r="AH140" i="1"/>
  <c r="AH141" i="1"/>
  <c r="AH186" i="1"/>
  <c r="AH237" i="1"/>
  <c r="AH144" i="1"/>
  <c r="AH145" i="1"/>
  <c r="AH146" i="1"/>
  <c r="AH147" i="1"/>
  <c r="AH143" i="1"/>
  <c r="AH149" i="1"/>
  <c r="AH96" i="1"/>
  <c r="AH150" i="1"/>
  <c r="AH151" i="1"/>
  <c r="AH152" i="1"/>
  <c r="AH59" i="1"/>
  <c r="AH60" i="1"/>
  <c r="AH153" i="1"/>
  <c r="AH103" i="1"/>
  <c r="AH104" i="1"/>
  <c r="AH105" i="1"/>
  <c r="AH154" i="1"/>
  <c r="AH107" i="1"/>
  <c r="AH108" i="1"/>
  <c r="AH155" i="1"/>
  <c r="AH62" i="1"/>
  <c r="AH65" i="1"/>
  <c r="AH156" i="1"/>
  <c r="AH68" i="1"/>
  <c r="AH172" i="1"/>
  <c r="AH158" i="1"/>
  <c r="AH135" i="1"/>
  <c r="AH117" i="1"/>
  <c r="AH118" i="1"/>
  <c r="AH160" i="1"/>
  <c r="AH120" i="1"/>
  <c r="AH121" i="1"/>
  <c r="AH122" i="1"/>
  <c r="AH161" i="1"/>
  <c r="AH124" i="1"/>
  <c r="AH162" i="1"/>
  <c r="AH163" i="1"/>
  <c r="AH164" i="1"/>
  <c r="AH165" i="1"/>
  <c r="AH69" i="1"/>
  <c r="AH166" i="1"/>
  <c r="AH225" i="1"/>
  <c r="AH132" i="1"/>
  <c r="AH168" i="1"/>
  <c r="AH134" i="1"/>
  <c r="AH169" i="1"/>
  <c r="AH170" i="1"/>
  <c r="AH171" i="1"/>
  <c r="AH228" i="1"/>
  <c r="AH139" i="1"/>
  <c r="AH173" i="1"/>
  <c r="AH174" i="1"/>
  <c r="AH175" i="1"/>
  <c r="AH176" i="1"/>
  <c r="AH178" i="1"/>
  <c r="AH179" i="1"/>
  <c r="AH180" i="1"/>
  <c r="AH181" i="1"/>
  <c r="AH182" i="1"/>
  <c r="AH183" i="1"/>
  <c r="AH72" i="1"/>
  <c r="AH73" i="1"/>
  <c r="AH74" i="1"/>
  <c r="AH184" i="1"/>
  <c r="AH185" i="1"/>
  <c r="AH76" i="1"/>
  <c r="AH77" i="1"/>
  <c r="AH82" i="1"/>
  <c r="AH71" i="1"/>
  <c r="AH187" i="1"/>
  <c r="AH85" i="1"/>
  <c r="AH86" i="1"/>
  <c r="AH87" i="1"/>
  <c r="AH188" i="1"/>
  <c r="AH189" i="1"/>
  <c r="AH88" i="1"/>
  <c r="AH89" i="1"/>
  <c r="AH90" i="1"/>
  <c r="AH91" i="1"/>
  <c r="AH92" i="1"/>
  <c r="AH93" i="1"/>
  <c r="AH190" i="1"/>
  <c r="AH94" i="1"/>
  <c r="AH191" i="1"/>
  <c r="AH192" i="1"/>
  <c r="AH95" i="1"/>
  <c r="AH97" i="1"/>
  <c r="AH177" i="1"/>
  <c r="AH193" i="1"/>
  <c r="AH98" i="1"/>
  <c r="AH99" i="1"/>
  <c r="AH100" i="1"/>
  <c r="AH101" i="1"/>
  <c r="AH194" i="1"/>
  <c r="AH195" i="1"/>
  <c r="AH102" i="1"/>
  <c r="AH106" i="1"/>
  <c r="AH109" i="1"/>
  <c r="AH110" i="1"/>
  <c r="AH111" i="1"/>
  <c r="AH112" i="1"/>
  <c r="AH196" i="1"/>
  <c r="AH197" i="1"/>
  <c r="AH113" i="1"/>
  <c r="AH198" i="1"/>
  <c r="AH199" i="1"/>
  <c r="AH207" i="1"/>
  <c r="AH214" i="1"/>
  <c r="AH215" i="1"/>
  <c r="AH216" i="1"/>
  <c r="AH200" i="1"/>
  <c r="AH201" i="1"/>
  <c r="AH202" i="1"/>
  <c r="AH203" i="1"/>
  <c r="AH204" i="1"/>
  <c r="AH205" i="1"/>
  <c r="AH206" i="1"/>
  <c r="AH217" i="1"/>
  <c r="AH208" i="1"/>
  <c r="AH209" i="1"/>
  <c r="AH210" i="1"/>
  <c r="AH211" i="1"/>
  <c r="AH212" i="1"/>
  <c r="AH213" i="1"/>
  <c r="AH218" i="1"/>
  <c r="AH219" i="1"/>
  <c r="AH220" i="1"/>
  <c r="AH221" i="1"/>
  <c r="AH222" i="1"/>
  <c r="AH223" i="1"/>
  <c r="AH224" i="1"/>
  <c r="AH70" i="1"/>
  <c r="AH240" i="1"/>
  <c r="AH226" i="1"/>
  <c r="AH227" i="1"/>
  <c r="AH230" i="1"/>
  <c r="AH229" i="1"/>
  <c r="AH115" i="1"/>
  <c r="AH148" i="1"/>
  <c r="AH231" i="1"/>
  <c r="AH138" i="1"/>
  <c r="AH232" i="1"/>
  <c r="AH233" i="1"/>
  <c r="AH242" i="1"/>
  <c r="AH235" i="1"/>
  <c r="AH114" i="1"/>
  <c r="AH236" i="1"/>
  <c r="AH157" i="1"/>
  <c r="AH238" i="1"/>
  <c r="AH239" i="1"/>
  <c r="AH234" i="1"/>
  <c r="AH241" i="1"/>
  <c r="AH159"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2" i="1"/>
  <c r="AK2" i="1"/>
  <c r="AK3" i="1"/>
  <c r="AK4" i="1"/>
  <c r="AK5" i="1"/>
  <c r="AK6" i="1"/>
  <c r="AG116" i="1"/>
  <c r="AJ116" i="1" s="1"/>
  <c r="AG119" i="1"/>
  <c r="AJ119" i="1" s="1"/>
  <c r="AG123" i="1"/>
  <c r="AJ123" i="1" s="1"/>
  <c r="AG64" i="1"/>
  <c r="AJ64" i="1" s="1"/>
  <c r="AG125" i="1"/>
  <c r="AJ125" i="1" s="1"/>
  <c r="AG128" i="1"/>
  <c r="AJ128" i="1" s="1"/>
  <c r="AG75" i="1"/>
  <c r="AJ75" i="1" s="1"/>
  <c r="AG145" i="1"/>
  <c r="AJ145" i="1" s="1"/>
  <c r="AG143" i="1"/>
  <c r="AJ143" i="1" s="1"/>
  <c r="AG152" i="1"/>
  <c r="AJ152" i="1" s="1"/>
  <c r="AG154" i="1"/>
  <c r="AJ154" i="1" s="1"/>
  <c r="AG87" i="1"/>
  <c r="AJ87" i="1" s="1"/>
  <c r="AG101" i="1"/>
  <c r="AJ101" i="1" s="1"/>
  <c r="AG106" i="1"/>
  <c r="AJ106" i="1" s="1"/>
  <c r="AG111" i="1"/>
  <c r="AJ111" i="1" s="1"/>
  <c r="AG112" i="1"/>
  <c r="AJ112" i="1" s="1"/>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27" i="12"/>
  <c r="A128" i="12"/>
  <c r="A129" i="12"/>
  <c r="A130" i="12"/>
  <c r="A131" i="12"/>
  <c r="A132" i="12"/>
  <c r="A133" i="12"/>
  <c r="A134" i="12"/>
  <c r="A135" i="12"/>
  <c r="A136" i="12"/>
  <c r="A137" i="12"/>
  <c r="A138" i="12"/>
  <c r="A139" i="12"/>
  <c r="A140" i="12"/>
  <c r="A141" i="12"/>
  <c r="A142" i="12"/>
  <c r="A143" i="12"/>
  <c r="A144" i="12"/>
  <c r="A2" i="12"/>
  <c r="AC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116" i="1"/>
  <c r="Z119" i="1"/>
  <c r="Z61" i="1"/>
  <c r="Z123" i="1"/>
  <c r="Z63" i="1"/>
  <c r="Z64" i="1"/>
  <c r="Z125" i="1"/>
  <c r="Z66" i="1"/>
  <c r="Z67" i="1"/>
  <c r="Z126" i="1"/>
  <c r="Z127" i="1"/>
  <c r="Z128" i="1"/>
  <c r="Z129" i="1"/>
  <c r="Z130" i="1"/>
  <c r="Z131" i="1"/>
  <c r="Z133" i="1"/>
  <c r="Z75" i="1"/>
  <c r="Z167" i="1"/>
  <c r="Z136" i="1"/>
  <c r="Z78" i="1"/>
  <c r="Z79" i="1"/>
  <c r="Z80" i="1"/>
  <c r="Z81" i="1"/>
  <c r="Z137" i="1"/>
  <c r="Z83" i="1"/>
  <c r="Z84" i="1"/>
  <c r="Z142" i="1"/>
  <c r="Z140" i="1"/>
  <c r="Z141" i="1"/>
  <c r="Z186" i="1"/>
  <c r="Z237" i="1"/>
  <c r="Z144" i="1"/>
  <c r="Z145" i="1"/>
  <c r="Z146" i="1"/>
  <c r="Z147" i="1"/>
  <c r="Z143" i="1"/>
  <c r="Z149" i="1"/>
  <c r="Z96" i="1"/>
  <c r="Z150" i="1"/>
  <c r="Z151" i="1"/>
  <c r="Z152" i="1"/>
  <c r="Z59" i="1"/>
  <c r="Z60" i="1"/>
  <c r="Z153" i="1"/>
  <c r="Z103" i="1"/>
  <c r="Z104" i="1"/>
  <c r="Z105" i="1"/>
  <c r="Z154" i="1"/>
  <c r="Z107" i="1"/>
  <c r="Z108" i="1"/>
  <c r="Z155" i="1"/>
  <c r="Z62" i="1"/>
  <c r="Z65" i="1"/>
  <c r="Z156" i="1"/>
  <c r="Z68" i="1"/>
  <c r="Z172" i="1"/>
  <c r="Z158" i="1"/>
  <c r="Z135" i="1"/>
  <c r="Z117" i="1"/>
  <c r="Z118" i="1"/>
  <c r="Z160" i="1"/>
  <c r="Z120" i="1"/>
  <c r="Z121" i="1"/>
  <c r="Z122" i="1"/>
  <c r="Z161" i="1"/>
  <c r="Z124" i="1"/>
  <c r="Z162" i="1"/>
  <c r="Z163" i="1"/>
  <c r="Z164" i="1"/>
  <c r="Z165" i="1"/>
  <c r="Z69" i="1"/>
  <c r="Z166" i="1"/>
  <c r="Z225" i="1"/>
  <c r="Z132" i="1"/>
  <c r="Z168" i="1"/>
  <c r="Z134" i="1"/>
  <c r="Z169" i="1"/>
  <c r="Z170" i="1"/>
  <c r="Z171" i="1"/>
  <c r="Z228" i="1"/>
  <c r="Z139" i="1"/>
  <c r="Z173" i="1"/>
  <c r="Z174" i="1"/>
  <c r="Z175" i="1"/>
  <c r="Z176" i="1"/>
  <c r="Z178" i="1"/>
  <c r="Z179" i="1"/>
  <c r="Z180" i="1"/>
  <c r="Z181" i="1"/>
  <c r="Z182" i="1"/>
  <c r="Z183" i="1"/>
  <c r="Z72" i="1"/>
  <c r="Z73" i="1"/>
  <c r="Z74" i="1"/>
  <c r="Z184" i="1"/>
  <c r="Z185" i="1"/>
  <c r="Z76" i="1"/>
  <c r="Z77" i="1"/>
  <c r="Z82" i="1"/>
  <c r="Z71" i="1"/>
  <c r="Z187" i="1"/>
  <c r="Z85" i="1"/>
  <c r="Z86" i="1"/>
  <c r="Z87" i="1"/>
  <c r="Z188" i="1"/>
  <c r="Z189" i="1"/>
  <c r="Z88" i="1"/>
  <c r="Z89" i="1"/>
  <c r="Z90" i="1"/>
  <c r="Z91" i="1"/>
  <c r="Z92" i="1"/>
  <c r="Z93" i="1"/>
  <c r="Z190" i="1"/>
  <c r="Z94" i="1"/>
  <c r="Z191" i="1"/>
  <c r="Z192" i="1"/>
  <c r="Z95" i="1"/>
  <c r="Z97" i="1"/>
  <c r="Z177" i="1"/>
  <c r="Z193" i="1"/>
  <c r="Z98" i="1"/>
  <c r="Z99" i="1"/>
  <c r="Z100" i="1"/>
  <c r="Z101" i="1"/>
  <c r="Z194" i="1"/>
  <c r="Z195" i="1"/>
  <c r="Z102" i="1"/>
  <c r="Z106" i="1"/>
  <c r="Z109" i="1"/>
  <c r="Z110" i="1"/>
  <c r="Z111" i="1"/>
  <c r="Z112" i="1"/>
  <c r="Z196" i="1"/>
  <c r="Z197" i="1"/>
  <c r="Z113" i="1"/>
  <c r="Z198" i="1"/>
  <c r="Z199" i="1"/>
  <c r="Z207" i="1"/>
  <c r="Z214" i="1"/>
  <c r="Z215" i="1"/>
  <c r="Z216" i="1"/>
  <c r="Z200" i="1"/>
  <c r="Z201" i="1"/>
  <c r="Z202" i="1"/>
  <c r="Z203" i="1"/>
  <c r="Z204" i="1"/>
  <c r="Z205" i="1"/>
  <c r="Z206" i="1"/>
  <c r="Z217" i="1"/>
  <c r="Z208" i="1"/>
  <c r="Z209" i="1"/>
  <c r="Z210" i="1"/>
  <c r="Z211" i="1"/>
  <c r="Z212" i="1"/>
  <c r="Z213" i="1"/>
  <c r="Z218" i="1"/>
  <c r="Z219" i="1"/>
  <c r="Z220" i="1"/>
  <c r="Z221" i="1"/>
  <c r="Z222" i="1"/>
  <c r="Z223" i="1"/>
  <c r="Z224" i="1"/>
  <c r="Z70" i="1"/>
  <c r="Z240" i="1"/>
  <c r="Z226" i="1"/>
  <c r="Z227" i="1"/>
  <c r="Z230" i="1"/>
  <c r="Z229" i="1"/>
  <c r="Z115" i="1"/>
  <c r="Z148" i="1"/>
  <c r="Z231" i="1"/>
  <c r="Z138" i="1"/>
  <c r="Z232" i="1"/>
  <c r="Z233" i="1"/>
  <c r="Z242" i="1"/>
  <c r="Z235" i="1"/>
  <c r="Z114" i="1"/>
  <c r="Z236" i="1"/>
  <c r="Z157" i="1"/>
  <c r="Z238" i="1"/>
  <c r="Z239" i="1"/>
  <c r="Z234" i="1"/>
  <c r="Z241" i="1"/>
  <c r="Z159"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Y3" i="1"/>
  <c r="AB3" i="1" s="1"/>
  <c r="Y4" i="1"/>
  <c r="AB4" i="1" s="1"/>
  <c r="Y5" i="1"/>
  <c r="AB5" i="1" s="1"/>
  <c r="Y6" i="1"/>
  <c r="AB6" i="1" s="1"/>
  <c r="Y7" i="1"/>
  <c r="AB7" i="1" s="1"/>
  <c r="AK7" i="1" s="1"/>
  <c r="Y8" i="1"/>
  <c r="AB8" i="1" s="1"/>
  <c r="AK8" i="1" s="1"/>
  <c r="Y9" i="1"/>
  <c r="AB9" i="1" s="1"/>
  <c r="AK9" i="1" s="1"/>
  <c r="Y10" i="1"/>
  <c r="AB10" i="1" s="1"/>
  <c r="AK10" i="1" s="1"/>
  <c r="Y11" i="1"/>
  <c r="AB11" i="1" s="1"/>
  <c r="AK11" i="1" s="1"/>
  <c r="Y12" i="1"/>
  <c r="AB12" i="1" s="1"/>
  <c r="AK12" i="1" s="1"/>
  <c r="Y13" i="1"/>
  <c r="AB13" i="1" s="1"/>
  <c r="AK13" i="1" s="1"/>
  <c r="Y14" i="1"/>
  <c r="AB14" i="1" s="1"/>
  <c r="AK14" i="1" s="1"/>
  <c r="Y15" i="1"/>
  <c r="AB15" i="1" s="1"/>
  <c r="AK15" i="1" s="1"/>
  <c r="Y16" i="1"/>
  <c r="AB16" i="1" s="1"/>
  <c r="AK16" i="1" s="1"/>
  <c r="Y17" i="1"/>
  <c r="AB17" i="1" s="1"/>
  <c r="AK17" i="1" s="1"/>
  <c r="Y18" i="1"/>
  <c r="AB18" i="1" s="1"/>
  <c r="AK18" i="1" s="1"/>
  <c r="Y19" i="1"/>
  <c r="AB19" i="1" s="1"/>
  <c r="AK19" i="1" s="1"/>
  <c r="Y20" i="1"/>
  <c r="AB20" i="1" s="1"/>
  <c r="AK20" i="1" s="1"/>
  <c r="Y21" i="1"/>
  <c r="AB21" i="1" s="1"/>
  <c r="AK21" i="1" s="1"/>
  <c r="Y22" i="1"/>
  <c r="AB22" i="1" s="1"/>
  <c r="AK22" i="1" s="1"/>
  <c r="Y23" i="1"/>
  <c r="AB23" i="1" s="1"/>
  <c r="AK23" i="1" s="1"/>
  <c r="Y24" i="1"/>
  <c r="AB24" i="1" s="1"/>
  <c r="AK24" i="1" s="1"/>
  <c r="Y25" i="1"/>
  <c r="AB25" i="1" s="1"/>
  <c r="AK25" i="1" s="1"/>
  <c r="Y26" i="1"/>
  <c r="AB26" i="1" s="1"/>
  <c r="AK26" i="1" s="1"/>
  <c r="Y27" i="1"/>
  <c r="AB27" i="1" s="1"/>
  <c r="AK27" i="1" s="1"/>
  <c r="Y28" i="1"/>
  <c r="AB28" i="1" s="1"/>
  <c r="AK28" i="1" s="1"/>
  <c r="Y29" i="1"/>
  <c r="AB29" i="1" s="1"/>
  <c r="AK29" i="1" s="1"/>
  <c r="Y30" i="1"/>
  <c r="AB30" i="1" s="1"/>
  <c r="AK30" i="1" s="1"/>
  <c r="Y31" i="1"/>
  <c r="AB31" i="1" s="1"/>
  <c r="AK31" i="1" s="1"/>
  <c r="Y32" i="1"/>
  <c r="AB32" i="1" s="1"/>
  <c r="AK32" i="1" s="1"/>
  <c r="Y33" i="1"/>
  <c r="AB33" i="1" s="1"/>
  <c r="AK33" i="1" s="1"/>
  <c r="Y34" i="1"/>
  <c r="AB34" i="1" s="1"/>
  <c r="AK34" i="1" s="1"/>
  <c r="Y35" i="1"/>
  <c r="AB35" i="1" s="1"/>
  <c r="AK35" i="1" s="1"/>
  <c r="Y36" i="1"/>
  <c r="AB36" i="1" s="1"/>
  <c r="AK36" i="1" s="1"/>
  <c r="Y37" i="1"/>
  <c r="AB37" i="1" s="1"/>
  <c r="AK37" i="1" s="1"/>
  <c r="Y38" i="1"/>
  <c r="AB38" i="1" s="1"/>
  <c r="AK38" i="1" s="1"/>
  <c r="Y39" i="1"/>
  <c r="AB39" i="1" s="1"/>
  <c r="AK39" i="1" s="1"/>
  <c r="Y40" i="1"/>
  <c r="AB40" i="1" s="1"/>
  <c r="AK40" i="1" s="1"/>
  <c r="Y41" i="1"/>
  <c r="AB41" i="1" s="1"/>
  <c r="AK41" i="1" s="1"/>
  <c r="Y42" i="1"/>
  <c r="AB42" i="1" s="1"/>
  <c r="AK42" i="1" s="1"/>
  <c r="Y43" i="1"/>
  <c r="AB43" i="1" s="1"/>
  <c r="AK43" i="1" s="1"/>
  <c r="Y44" i="1"/>
  <c r="AB44" i="1" s="1"/>
  <c r="AK44" i="1" s="1"/>
  <c r="Y45" i="1"/>
  <c r="AB45" i="1" s="1"/>
  <c r="AK45" i="1" s="1"/>
  <c r="Y46" i="1"/>
  <c r="AB46" i="1" s="1"/>
  <c r="AK46" i="1" s="1"/>
  <c r="Y47" i="1"/>
  <c r="AB47" i="1" s="1"/>
  <c r="AK47" i="1" s="1"/>
  <c r="Y48" i="1"/>
  <c r="AB48" i="1" s="1"/>
  <c r="AK48" i="1" s="1"/>
  <c r="Y49" i="1"/>
  <c r="AB49" i="1" s="1"/>
  <c r="AK49" i="1" s="1"/>
  <c r="Y50" i="1"/>
  <c r="AB50" i="1" s="1"/>
  <c r="AK50" i="1" s="1"/>
  <c r="Y51" i="1"/>
  <c r="AB51" i="1" s="1"/>
  <c r="AK51" i="1" s="1"/>
  <c r="Y52" i="1"/>
  <c r="AB52" i="1" s="1"/>
  <c r="AK52" i="1" s="1"/>
  <c r="Y53" i="1"/>
  <c r="AB53" i="1" s="1"/>
  <c r="AK53" i="1" s="1"/>
  <c r="Y54" i="1"/>
  <c r="AB54" i="1" s="1"/>
  <c r="AK54" i="1" s="1"/>
  <c r="Y55" i="1"/>
  <c r="AB55" i="1" s="1"/>
  <c r="AK55" i="1" s="1"/>
  <c r="Y56" i="1"/>
  <c r="AB56" i="1" s="1"/>
  <c r="AK56" i="1" s="1"/>
  <c r="Y57" i="1"/>
  <c r="AB57" i="1" s="1"/>
  <c r="AK57" i="1" s="1"/>
  <c r="Y58" i="1"/>
  <c r="AB58" i="1" s="1"/>
  <c r="AK58" i="1" s="1"/>
  <c r="Y116" i="1"/>
  <c r="AB116" i="1" s="1"/>
  <c r="AK116" i="1" s="1"/>
  <c r="Y119" i="1"/>
  <c r="AB119" i="1" s="1"/>
  <c r="AK119" i="1" s="1"/>
  <c r="Y61" i="1"/>
  <c r="AB61" i="1" s="1"/>
  <c r="AK61" i="1" s="1"/>
  <c r="Y123" i="1"/>
  <c r="AB123" i="1" s="1"/>
  <c r="AK123" i="1" s="1"/>
  <c r="Y63" i="1"/>
  <c r="AB63" i="1" s="1"/>
  <c r="AK63" i="1" s="1"/>
  <c r="Y64" i="1"/>
  <c r="AB64" i="1" s="1"/>
  <c r="AK64" i="1" s="1"/>
  <c r="Y125" i="1"/>
  <c r="AB125" i="1" s="1"/>
  <c r="AK125" i="1" s="1"/>
  <c r="Y66" i="1"/>
  <c r="AB66" i="1" s="1"/>
  <c r="AK66" i="1" s="1"/>
  <c r="Y67" i="1"/>
  <c r="AB67" i="1" s="1"/>
  <c r="AK67" i="1" s="1"/>
  <c r="Y126" i="1"/>
  <c r="AB126" i="1" s="1"/>
  <c r="AK126" i="1" s="1"/>
  <c r="Y127" i="1"/>
  <c r="AB127" i="1" s="1"/>
  <c r="AK127" i="1" s="1"/>
  <c r="Y128" i="1"/>
  <c r="AB128" i="1" s="1"/>
  <c r="AK128" i="1" s="1"/>
  <c r="Y129" i="1"/>
  <c r="AB129" i="1" s="1"/>
  <c r="AK129" i="1" s="1"/>
  <c r="Y130" i="1"/>
  <c r="AB130" i="1" s="1"/>
  <c r="AK130" i="1" s="1"/>
  <c r="Y131" i="1"/>
  <c r="AB131" i="1" s="1"/>
  <c r="AK131" i="1" s="1"/>
  <c r="Y133" i="1"/>
  <c r="AB133" i="1" s="1"/>
  <c r="AK133" i="1" s="1"/>
  <c r="Y75" i="1"/>
  <c r="AB75" i="1" s="1"/>
  <c r="AK75" i="1" s="1"/>
  <c r="Y167" i="1"/>
  <c r="AB167" i="1" s="1"/>
  <c r="AK167" i="1" s="1"/>
  <c r="Y136" i="1"/>
  <c r="AB136" i="1" s="1"/>
  <c r="AK136" i="1" s="1"/>
  <c r="Y78" i="1"/>
  <c r="AB78" i="1" s="1"/>
  <c r="AK78" i="1" s="1"/>
  <c r="Y79" i="1"/>
  <c r="AB79" i="1" s="1"/>
  <c r="AK79" i="1" s="1"/>
  <c r="Y80" i="1"/>
  <c r="AB80" i="1" s="1"/>
  <c r="AK80" i="1" s="1"/>
  <c r="Y81" i="1"/>
  <c r="AB81" i="1" s="1"/>
  <c r="AK81" i="1" s="1"/>
  <c r="Y137" i="1"/>
  <c r="AB137" i="1" s="1"/>
  <c r="AK137" i="1" s="1"/>
  <c r="Y83" i="1"/>
  <c r="AB83" i="1" s="1"/>
  <c r="AK83" i="1" s="1"/>
  <c r="Y84" i="1"/>
  <c r="AB84" i="1" s="1"/>
  <c r="AK84" i="1" s="1"/>
  <c r="Y142" i="1"/>
  <c r="AB142" i="1" s="1"/>
  <c r="AK142" i="1" s="1"/>
  <c r="Y140" i="1"/>
  <c r="AB140" i="1" s="1"/>
  <c r="AK140" i="1" s="1"/>
  <c r="Y141" i="1"/>
  <c r="AB141" i="1" s="1"/>
  <c r="AK141" i="1" s="1"/>
  <c r="Y186" i="1"/>
  <c r="AB186" i="1" s="1"/>
  <c r="AK186" i="1" s="1"/>
  <c r="Y237" i="1"/>
  <c r="AB237" i="1" s="1"/>
  <c r="AK237" i="1" s="1"/>
  <c r="Y144" i="1"/>
  <c r="AB144" i="1" s="1"/>
  <c r="AK144" i="1" s="1"/>
  <c r="Y145" i="1"/>
  <c r="AB145" i="1" s="1"/>
  <c r="AK145" i="1" s="1"/>
  <c r="Y146" i="1"/>
  <c r="AB146" i="1" s="1"/>
  <c r="AK146" i="1" s="1"/>
  <c r="Y147" i="1"/>
  <c r="AB147" i="1" s="1"/>
  <c r="AK147" i="1" s="1"/>
  <c r="Y143" i="1"/>
  <c r="AB143" i="1" s="1"/>
  <c r="AK143" i="1" s="1"/>
  <c r="Y149" i="1"/>
  <c r="AB149" i="1" s="1"/>
  <c r="AK149" i="1" s="1"/>
  <c r="Y96" i="1"/>
  <c r="AB96" i="1" s="1"/>
  <c r="AK96" i="1" s="1"/>
  <c r="Y150" i="1"/>
  <c r="AB150" i="1" s="1"/>
  <c r="AK150" i="1" s="1"/>
  <c r="Y151" i="1"/>
  <c r="AB151" i="1" s="1"/>
  <c r="AK151" i="1" s="1"/>
  <c r="Y152" i="1"/>
  <c r="AB152" i="1" s="1"/>
  <c r="AK152" i="1" s="1"/>
  <c r="Y59" i="1"/>
  <c r="AB59" i="1" s="1"/>
  <c r="AK59" i="1" s="1"/>
  <c r="Y60" i="1"/>
  <c r="AB60" i="1" s="1"/>
  <c r="AK60" i="1" s="1"/>
  <c r="Y153" i="1"/>
  <c r="AB153" i="1" s="1"/>
  <c r="AK153" i="1" s="1"/>
  <c r="Y103" i="1"/>
  <c r="AB103" i="1" s="1"/>
  <c r="AK103" i="1" s="1"/>
  <c r="Y104" i="1"/>
  <c r="AB104" i="1" s="1"/>
  <c r="AK104" i="1" s="1"/>
  <c r="Y105" i="1"/>
  <c r="AB105" i="1" s="1"/>
  <c r="AK105" i="1" s="1"/>
  <c r="Y154" i="1"/>
  <c r="AB154" i="1" s="1"/>
  <c r="AK154" i="1" s="1"/>
  <c r="Y107" i="1"/>
  <c r="AB107" i="1" s="1"/>
  <c r="AK107" i="1" s="1"/>
  <c r="Y108" i="1"/>
  <c r="AB108" i="1" s="1"/>
  <c r="AK108" i="1" s="1"/>
  <c r="Y155" i="1"/>
  <c r="AB155" i="1" s="1"/>
  <c r="AK155" i="1" s="1"/>
  <c r="Y62" i="1"/>
  <c r="AB62" i="1" s="1"/>
  <c r="AK62" i="1" s="1"/>
  <c r="Y65" i="1"/>
  <c r="AB65" i="1" s="1"/>
  <c r="AK65" i="1" s="1"/>
  <c r="Y156" i="1"/>
  <c r="AB156" i="1" s="1"/>
  <c r="AK156" i="1" s="1"/>
  <c r="Y68" i="1"/>
  <c r="AB68" i="1" s="1"/>
  <c r="AK68" i="1" s="1"/>
  <c r="Y172" i="1"/>
  <c r="AB172" i="1" s="1"/>
  <c r="AK172" i="1" s="1"/>
  <c r="Y158" i="1"/>
  <c r="AB158" i="1" s="1"/>
  <c r="AK158" i="1" s="1"/>
  <c r="Y135" i="1"/>
  <c r="AB135" i="1" s="1"/>
  <c r="AK135" i="1" s="1"/>
  <c r="Y117" i="1"/>
  <c r="AB117" i="1" s="1"/>
  <c r="AK117" i="1" s="1"/>
  <c r="Y118" i="1"/>
  <c r="AB118" i="1" s="1"/>
  <c r="AK118" i="1" s="1"/>
  <c r="Y160" i="1"/>
  <c r="AB160" i="1" s="1"/>
  <c r="AK160" i="1" s="1"/>
  <c r="Y120" i="1"/>
  <c r="AB120" i="1" s="1"/>
  <c r="AK120" i="1" s="1"/>
  <c r="Y121" i="1"/>
  <c r="AB121" i="1" s="1"/>
  <c r="AK121" i="1" s="1"/>
  <c r="Y122" i="1"/>
  <c r="AB122" i="1" s="1"/>
  <c r="AK122" i="1" s="1"/>
  <c r="Y161" i="1"/>
  <c r="Y124" i="1"/>
  <c r="AB124" i="1" s="1"/>
  <c r="AK124" i="1" s="1"/>
  <c r="Y162" i="1"/>
  <c r="Y163" i="1"/>
  <c r="AB163" i="1" s="1"/>
  <c r="AK163" i="1" s="1"/>
  <c r="Y164" i="1"/>
  <c r="Y165" i="1"/>
  <c r="Y69" i="1"/>
  <c r="AB69" i="1" s="1"/>
  <c r="AK69" i="1" s="1"/>
  <c r="Y166" i="1"/>
  <c r="Y225" i="1"/>
  <c r="AB225" i="1" s="1"/>
  <c r="AK225" i="1" s="1"/>
  <c r="Y132" i="1"/>
  <c r="AB132" i="1" s="1"/>
  <c r="AK132" i="1" s="1"/>
  <c r="Y168" i="1"/>
  <c r="AB168" i="1" s="1"/>
  <c r="AK168" i="1" s="1"/>
  <c r="Y134" i="1"/>
  <c r="AB134" i="1" s="1"/>
  <c r="AK134" i="1" s="1"/>
  <c r="Y169" i="1"/>
  <c r="AB169" i="1" s="1"/>
  <c r="AK169" i="1" s="1"/>
  <c r="Y170" i="1"/>
  <c r="AB170" i="1" s="1"/>
  <c r="AK170" i="1" s="1"/>
  <c r="Y171" i="1"/>
  <c r="AB171" i="1" s="1"/>
  <c r="AK171" i="1" s="1"/>
  <c r="Y228" i="1"/>
  <c r="Y139" i="1"/>
  <c r="AB139" i="1" s="1"/>
  <c r="AK139" i="1" s="1"/>
  <c r="Y173" i="1"/>
  <c r="AB173" i="1" s="1"/>
  <c r="AK173" i="1" s="1"/>
  <c r="Y174" i="1"/>
  <c r="AB174" i="1" s="1"/>
  <c r="AK174" i="1" s="1"/>
  <c r="Y175" i="1"/>
  <c r="AB175" i="1" s="1"/>
  <c r="AK175" i="1" s="1"/>
  <c r="Y176" i="1"/>
  <c r="AB176" i="1" s="1"/>
  <c r="AK176" i="1" s="1"/>
  <c r="Y178" i="1"/>
  <c r="AB178" i="1" s="1"/>
  <c r="AK178" i="1" s="1"/>
  <c r="Y179" i="1"/>
  <c r="AB179" i="1" s="1"/>
  <c r="AK179" i="1" s="1"/>
  <c r="Y180" i="1"/>
  <c r="Y181" i="1"/>
  <c r="AB181" i="1" s="1"/>
  <c r="AK181" i="1" s="1"/>
  <c r="Y182" i="1"/>
  <c r="AB182" i="1" s="1"/>
  <c r="AK182" i="1" s="1"/>
  <c r="Y183" i="1"/>
  <c r="AB183" i="1" s="1"/>
  <c r="AK183" i="1" s="1"/>
  <c r="Y72" i="1"/>
  <c r="AB72" i="1" s="1"/>
  <c r="AK72" i="1" s="1"/>
  <c r="Y73" i="1"/>
  <c r="AB73" i="1" s="1"/>
  <c r="AK73" i="1" s="1"/>
  <c r="Y74" i="1"/>
  <c r="AB74" i="1" s="1"/>
  <c r="AK74" i="1" s="1"/>
  <c r="Y184" i="1"/>
  <c r="AB184" i="1" s="1"/>
  <c r="AK184" i="1" s="1"/>
  <c r="Y185" i="1"/>
  <c r="Y76" i="1"/>
  <c r="AB76" i="1" s="1"/>
  <c r="AK76" i="1" s="1"/>
  <c r="Y77" i="1"/>
  <c r="AB77" i="1" s="1"/>
  <c r="AK77" i="1" s="1"/>
  <c r="Y82" i="1"/>
  <c r="AB82" i="1" s="1"/>
  <c r="AK82" i="1" s="1"/>
  <c r="Y71" i="1"/>
  <c r="AB71" i="1" s="1"/>
  <c r="AK71" i="1" s="1"/>
  <c r="Y187" i="1"/>
  <c r="AB187" i="1" s="1"/>
  <c r="AK187" i="1" s="1"/>
  <c r="Y85" i="1"/>
  <c r="AB85" i="1" s="1"/>
  <c r="AK85" i="1" s="1"/>
  <c r="Y86" i="1"/>
  <c r="AB86" i="1" s="1"/>
  <c r="AK86" i="1" s="1"/>
  <c r="Y87" i="1"/>
  <c r="Y188" i="1"/>
  <c r="Y189" i="1"/>
  <c r="AB189" i="1" s="1"/>
  <c r="AK189" i="1" s="1"/>
  <c r="Y88" i="1"/>
  <c r="AB88" i="1" s="1"/>
  <c r="AK88" i="1" s="1"/>
  <c r="Y89" i="1"/>
  <c r="AB89" i="1" s="1"/>
  <c r="AK89" i="1" s="1"/>
  <c r="Y90" i="1"/>
  <c r="AB90" i="1" s="1"/>
  <c r="AK90" i="1" s="1"/>
  <c r="Y91" i="1"/>
  <c r="AB91" i="1" s="1"/>
  <c r="AK91" i="1" s="1"/>
  <c r="Y92" i="1"/>
  <c r="AB92" i="1" s="1"/>
  <c r="AK92" i="1" s="1"/>
  <c r="Y93" i="1"/>
  <c r="Y190" i="1"/>
  <c r="AB190" i="1" s="1"/>
  <c r="AK190" i="1" s="1"/>
  <c r="Y94" i="1"/>
  <c r="AB94" i="1" s="1"/>
  <c r="AK94" i="1" s="1"/>
  <c r="Y191" i="1"/>
  <c r="AB191" i="1" s="1"/>
  <c r="AK191" i="1" s="1"/>
  <c r="Y192" i="1"/>
  <c r="AB192" i="1" s="1"/>
  <c r="AK192" i="1" s="1"/>
  <c r="Y95" i="1"/>
  <c r="AB95" i="1" s="1"/>
  <c r="AK95" i="1" s="1"/>
  <c r="Y97" i="1"/>
  <c r="AB97" i="1" s="1"/>
  <c r="AK97" i="1" s="1"/>
  <c r="Y177" i="1"/>
  <c r="AB177" i="1" s="1"/>
  <c r="AK177" i="1" s="1"/>
  <c r="Y193" i="1"/>
  <c r="Y98" i="1"/>
  <c r="AB98" i="1" s="1"/>
  <c r="AK98" i="1" s="1"/>
  <c r="Y99" i="1"/>
  <c r="AB99" i="1" s="1"/>
  <c r="AK99" i="1" s="1"/>
  <c r="Y100" i="1"/>
  <c r="AB100" i="1" s="1"/>
  <c r="AK100" i="1" s="1"/>
  <c r="Y101" i="1"/>
  <c r="AB101" i="1" s="1"/>
  <c r="AK101" i="1" s="1"/>
  <c r="Y194" i="1"/>
  <c r="AB194" i="1" s="1"/>
  <c r="AK194" i="1" s="1"/>
  <c r="Y195" i="1"/>
  <c r="AB195" i="1" s="1"/>
  <c r="AK195" i="1" s="1"/>
  <c r="Y102" i="1"/>
  <c r="AB102" i="1" s="1"/>
  <c r="AK102" i="1" s="1"/>
  <c r="Y106" i="1"/>
  <c r="Y109" i="1"/>
  <c r="AB109" i="1" s="1"/>
  <c r="AK109" i="1" s="1"/>
  <c r="Y110" i="1"/>
  <c r="AB110" i="1" s="1"/>
  <c r="AK110" i="1" s="1"/>
  <c r="Y111" i="1"/>
  <c r="AB111" i="1" s="1"/>
  <c r="AK111" i="1" s="1"/>
  <c r="Y112" i="1"/>
  <c r="AB112" i="1" s="1"/>
  <c r="AK112" i="1" s="1"/>
  <c r="Y196" i="1"/>
  <c r="AB196" i="1" s="1"/>
  <c r="AK196" i="1" s="1"/>
  <c r="Y197" i="1"/>
  <c r="AB197" i="1" s="1"/>
  <c r="AK197" i="1" s="1"/>
  <c r="Y113" i="1"/>
  <c r="AB113" i="1" s="1"/>
  <c r="AK113" i="1" s="1"/>
  <c r="Y198" i="1"/>
  <c r="Y199" i="1"/>
  <c r="AB199" i="1" s="1"/>
  <c r="AK199" i="1" s="1"/>
  <c r="Y207" i="1"/>
  <c r="AB207" i="1" s="1"/>
  <c r="AK207" i="1" s="1"/>
  <c r="Y214" i="1"/>
  <c r="AB214" i="1" s="1"/>
  <c r="AK214" i="1" s="1"/>
  <c r="Y215" i="1"/>
  <c r="AB215" i="1" s="1"/>
  <c r="AK215" i="1" s="1"/>
  <c r="Y216" i="1"/>
  <c r="AB216" i="1" s="1"/>
  <c r="AK216" i="1" s="1"/>
  <c r="Y200" i="1"/>
  <c r="AB200" i="1" s="1"/>
  <c r="AK200" i="1" s="1"/>
  <c r="Y201" i="1"/>
  <c r="AB201" i="1" s="1"/>
  <c r="AK201" i="1" s="1"/>
  <c r="Y202" i="1"/>
  <c r="Y203" i="1"/>
  <c r="AB203" i="1" s="1"/>
  <c r="AK203" i="1" s="1"/>
  <c r="Y204" i="1"/>
  <c r="AB204" i="1" s="1"/>
  <c r="AK204" i="1" s="1"/>
  <c r="Y205" i="1"/>
  <c r="AB205" i="1" s="1"/>
  <c r="AK205" i="1" s="1"/>
  <c r="Y206" i="1"/>
  <c r="AB206" i="1" s="1"/>
  <c r="AK206" i="1" s="1"/>
  <c r="Y217" i="1"/>
  <c r="AB217" i="1" s="1"/>
  <c r="AK217" i="1" s="1"/>
  <c r="Y208" i="1"/>
  <c r="AB208" i="1" s="1"/>
  <c r="AK208" i="1" s="1"/>
  <c r="Y209" i="1"/>
  <c r="AB209" i="1" s="1"/>
  <c r="AK209" i="1" s="1"/>
  <c r="Y210" i="1"/>
  <c r="Y211" i="1"/>
  <c r="AB211" i="1" s="1"/>
  <c r="AK211" i="1" s="1"/>
  <c r="Y212" i="1"/>
  <c r="AB212" i="1" s="1"/>
  <c r="AK212" i="1" s="1"/>
  <c r="Y213" i="1"/>
  <c r="AB213" i="1" s="1"/>
  <c r="AK213" i="1" s="1"/>
  <c r="Y218" i="1"/>
  <c r="AB218" i="1" s="1"/>
  <c r="AK218" i="1" s="1"/>
  <c r="Y219" i="1"/>
  <c r="AB219" i="1" s="1"/>
  <c r="AK219" i="1" s="1"/>
  <c r="Y220" i="1"/>
  <c r="AB220" i="1" s="1"/>
  <c r="AK220" i="1" s="1"/>
  <c r="Y221" i="1"/>
  <c r="AB221" i="1" s="1"/>
  <c r="AK221" i="1" s="1"/>
  <c r="Y222" i="1"/>
  <c r="Y223" i="1"/>
  <c r="AB223" i="1" s="1"/>
  <c r="AK223" i="1" s="1"/>
  <c r="Y224" i="1"/>
  <c r="AB224" i="1" s="1"/>
  <c r="AK224" i="1" s="1"/>
  <c r="Y70" i="1"/>
  <c r="AK70" i="1" s="1"/>
  <c r="Y240" i="1"/>
  <c r="AB240" i="1" s="1"/>
  <c r="AK240" i="1" s="1"/>
  <c r="Y226" i="1"/>
  <c r="AB226" i="1" s="1"/>
  <c r="AK226" i="1" s="1"/>
  <c r="Y227" i="1"/>
  <c r="AB227" i="1" s="1"/>
  <c r="AK227" i="1" s="1"/>
  <c r="Y230" i="1"/>
  <c r="AB230" i="1" s="1"/>
  <c r="AK230" i="1" s="1"/>
  <c r="Y229" i="1"/>
  <c r="Y115" i="1"/>
  <c r="AB115" i="1" s="1"/>
  <c r="AK115" i="1" s="1"/>
  <c r="Y148" i="1"/>
  <c r="AB148" i="1" s="1"/>
  <c r="AK148" i="1" s="1"/>
  <c r="Y231" i="1"/>
  <c r="Y138" i="1"/>
  <c r="AB138" i="1" s="1"/>
  <c r="AK138" i="1" s="1"/>
  <c r="Y232" i="1"/>
  <c r="Y233" i="1"/>
  <c r="AB233" i="1" s="1"/>
  <c r="AK233" i="1" s="1"/>
  <c r="Y242" i="1"/>
  <c r="AB242" i="1" s="1"/>
  <c r="AK242" i="1" s="1"/>
  <c r="Y235" i="1"/>
  <c r="Y114" i="1"/>
  <c r="Y236" i="1"/>
  <c r="AB236" i="1" s="1"/>
  <c r="AK236" i="1" s="1"/>
  <c r="Y157" i="1"/>
  <c r="Y238" i="1"/>
  <c r="AB238" i="1" s="1"/>
  <c r="AK238" i="1" s="1"/>
  <c r="Y239" i="1"/>
  <c r="AB239" i="1" s="1"/>
  <c r="AK239" i="1" s="1"/>
  <c r="Y234" i="1"/>
  <c r="AB234" i="1" s="1"/>
  <c r="AK234" i="1" s="1"/>
  <c r="Y241" i="1"/>
  <c r="AB241" i="1" s="1"/>
  <c r="AK241" i="1" s="1"/>
  <c r="Y159" i="1"/>
  <c r="Y243" i="1"/>
  <c r="Y244" i="1"/>
  <c r="AB244" i="1" s="1"/>
  <c r="AK244" i="1" s="1"/>
  <c r="Y245" i="1"/>
  <c r="Y246" i="1"/>
  <c r="AB246" i="1" s="1"/>
  <c r="AK246" i="1" s="1"/>
  <c r="Y247" i="1"/>
  <c r="AB247" i="1" s="1"/>
  <c r="AK247" i="1" s="1"/>
  <c r="Y248" i="1"/>
  <c r="AB248" i="1" s="1"/>
  <c r="AK248" i="1" s="1"/>
  <c r="Y249" i="1"/>
  <c r="AB249" i="1" s="1"/>
  <c r="AK249" i="1" s="1"/>
  <c r="Y250" i="1"/>
  <c r="Y251" i="1"/>
  <c r="Y252" i="1"/>
  <c r="AB252" i="1" s="1"/>
  <c r="AK252" i="1" s="1"/>
  <c r="Y253" i="1"/>
  <c r="Y254" i="1"/>
  <c r="AB254" i="1" s="1"/>
  <c r="AK254" i="1" s="1"/>
  <c r="Y255" i="1"/>
  <c r="AB255" i="1" s="1"/>
  <c r="AK255" i="1" s="1"/>
  <c r="Y256" i="1"/>
  <c r="AB256" i="1" s="1"/>
  <c r="AK256" i="1" s="1"/>
  <c r="Y257" i="1"/>
  <c r="AB257" i="1" s="1"/>
  <c r="AK257" i="1" s="1"/>
  <c r="Y258" i="1"/>
  <c r="Y259" i="1"/>
  <c r="Y260" i="1"/>
  <c r="AB260" i="1" s="1"/>
  <c r="AK260" i="1" s="1"/>
  <c r="Y261" i="1"/>
  <c r="Y262" i="1"/>
  <c r="AB262" i="1" s="1"/>
  <c r="AK262" i="1" s="1"/>
  <c r="Y263" i="1"/>
  <c r="AB263" i="1" s="1"/>
  <c r="AK263" i="1" s="1"/>
  <c r="Y264" i="1"/>
  <c r="AB264" i="1" s="1"/>
  <c r="AK264" i="1" s="1"/>
  <c r="Y265" i="1"/>
  <c r="AB265" i="1" s="1"/>
  <c r="AK265" i="1" s="1"/>
  <c r="Y266" i="1"/>
  <c r="Y267" i="1"/>
  <c r="Y268" i="1"/>
  <c r="AB268" i="1" s="1"/>
  <c r="AK268" i="1" s="1"/>
  <c r="Y269" i="1"/>
  <c r="Y270" i="1"/>
  <c r="AB270" i="1" s="1"/>
  <c r="AK270" i="1" s="1"/>
  <c r="Y271" i="1"/>
  <c r="AB271" i="1" s="1"/>
  <c r="AK271" i="1" s="1"/>
  <c r="Y272" i="1"/>
  <c r="AB272" i="1" s="1"/>
  <c r="AK272" i="1" s="1"/>
  <c r="Y273" i="1"/>
  <c r="AB273" i="1" s="1"/>
  <c r="AK273" i="1" s="1"/>
  <c r="Y274" i="1"/>
  <c r="Y275" i="1"/>
  <c r="Y276" i="1"/>
  <c r="AB276" i="1" s="1"/>
  <c r="AK276" i="1" s="1"/>
  <c r="Y277" i="1"/>
  <c r="Y278" i="1"/>
  <c r="AB278" i="1" s="1"/>
  <c r="AK278" i="1" s="1"/>
  <c r="Y279" i="1"/>
  <c r="AB279" i="1" s="1"/>
  <c r="AK279" i="1" s="1"/>
  <c r="Y280" i="1"/>
  <c r="AB280" i="1" s="1"/>
  <c r="AK280" i="1" s="1"/>
  <c r="Y281" i="1"/>
  <c r="AB281" i="1" s="1"/>
  <c r="AK281" i="1" s="1"/>
  <c r="Y282" i="1"/>
  <c r="Y283" i="1"/>
  <c r="Y284" i="1"/>
  <c r="AB284" i="1" s="1"/>
  <c r="AK284" i="1" s="1"/>
  <c r="Y285" i="1"/>
  <c r="Y286" i="1"/>
  <c r="AB286" i="1" s="1"/>
  <c r="AK286" i="1" s="1"/>
  <c r="Y287" i="1"/>
  <c r="AB287" i="1" s="1"/>
  <c r="AK287" i="1" s="1"/>
  <c r="Y288" i="1"/>
  <c r="AB288" i="1" s="1"/>
  <c r="AK288" i="1" s="1"/>
  <c r="Y289" i="1"/>
  <c r="AB289" i="1" s="1"/>
  <c r="AK289" i="1" s="1"/>
  <c r="Y290" i="1"/>
  <c r="Y291" i="1"/>
  <c r="Y292" i="1"/>
  <c r="AB292" i="1" s="1"/>
  <c r="AK292" i="1" s="1"/>
  <c r="Y293" i="1"/>
  <c r="Y294" i="1"/>
  <c r="AB294" i="1" s="1"/>
  <c r="AK294" i="1" s="1"/>
  <c r="Y295" i="1"/>
  <c r="AB295" i="1" s="1"/>
  <c r="AK295" i="1" s="1"/>
  <c r="Y296" i="1"/>
  <c r="AB296" i="1" s="1"/>
  <c r="AK296" i="1" s="1"/>
  <c r="Y297" i="1"/>
  <c r="AB297" i="1" s="1"/>
  <c r="AK297" i="1" s="1"/>
  <c r="Y298" i="1"/>
  <c r="Y299" i="1"/>
  <c r="Y300" i="1"/>
  <c r="AB300" i="1" s="1"/>
  <c r="AK300" i="1" s="1"/>
  <c r="Y301" i="1"/>
  <c r="Y302" i="1"/>
  <c r="AB302" i="1" s="1"/>
  <c r="AK302" i="1" s="1"/>
  <c r="Y303" i="1"/>
  <c r="AB303" i="1" s="1"/>
  <c r="AK303" i="1" s="1"/>
  <c r="Y304" i="1"/>
  <c r="AB304" i="1" s="1"/>
  <c r="AK304" i="1" s="1"/>
  <c r="Y305" i="1"/>
  <c r="AB305" i="1" s="1"/>
  <c r="AK305" i="1" s="1"/>
  <c r="Y306" i="1"/>
  <c r="Y307" i="1"/>
  <c r="Y308" i="1"/>
  <c r="AB308" i="1" s="1"/>
  <c r="AK308" i="1" s="1"/>
  <c r="Y309" i="1"/>
  <c r="Y310" i="1"/>
  <c r="AB310" i="1" s="1"/>
  <c r="AK310" i="1" s="1"/>
  <c r="Y311" i="1"/>
  <c r="AB311" i="1" s="1"/>
  <c r="AK311" i="1" s="1"/>
  <c r="Y312" i="1"/>
  <c r="AB312" i="1" s="1"/>
  <c r="AK312" i="1" s="1"/>
  <c r="Y313" i="1"/>
  <c r="AB313" i="1" s="1"/>
  <c r="AK313" i="1" s="1"/>
  <c r="Y314" i="1"/>
  <c r="Z2" i="1"/>
  <c r="Y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116" i="1"/>
  <c r="X119" i="1"/>
  <c r="X61" i="1"/>
  <c r="X123" i="1"/>
  <c r="X63" i="1"/>
  <c r="X64" i="1"/>
  <c r="X125" i="1"/>
  <c r="X66" i="1"/>
  <c r="X67" i="1"/>
  <c r="X126" i="1"/>
  <c r="X127" i="1"/>
  <c r="X128" i="1"/>
  <c r="X129" i="1"/>
  <c r="X130" i="1"/>
  <c r="X131" i="1"/>
  <c r="X133" i="1"/>
  <c r="X75" i="1"/>
  <c r="X167" i="1"/>
  <c r="X136" i="1"/>
  <c r="X78" i="1"/>
  <c r="X79" i="1"/>
  <c r="X80" i="1"/>
  <c r="X81" i="1"/>
  <c r="X137" i="1"/>
  <c r="X83" i="1"/>
  <c r="X84" i="1"/>
  <c r="X142" i="1"/>
  <c r="X140" i="1"/>
  <c r="X141" i="1"/>
  <c r="X186" i="1"/>
  <c r="X237" i="1"/>
  <c r="X144" i="1"/>
  <c r="X145" i="1"/>
  <c r="X146" i="1"/>
  <c r="X147" i="1"/>
  <c r="X143" i="1"/>
  <c r="X149" i="1"/>
  <c r="X96" i="1"/>
  <c r="X150" i="1"/>
  <c r="X151" i="1"/>
  <c r="X152" i="1"/>
  <c r="X59" i="1"/>
  <c r="X60" i="1"/>
  <c r="X153" i="1"/>
  <c r="X103" i="1"/>
  <c r="X104" i="1"/>
  <c r="X105" i="1"/>
  <c r="X154" i="1"/>
  <c r="X107" i="1"/>
  <c r="X108" i="1"/>
  <c r="X155" i="1"/>
  <c r="X62" i="1"/>
  <c r="X65" i="1"/>
  <c r="X156" i="1"/>
  <c r="X68" i="1"/>
  <c r="X172" i="1"/>
  <c r="X158" i="1"/>
  <c r="X135" i="1"/>
  <c r="X117" i="1"/>
  <c r="X118" i="1"/>
  <c r="X160" i="1"/>
  <c r="X120" i="1"/>
  <c r="X121" i="1"/>
  <c r="X122" i="1"/>
  <c r="X161" i="1"/>
  <c r="X124" i="1"/>
  <c r="X162" i="1"/>
  <c r="X163" i="1"/>
  <c r="X164" i="1"/>
  <c r="X165" i="1"/>
  <c r="X69" i="1"/>
  <c r="X166" i="1"/>
  <c r="X225" i="1"/>
  <c r="X132" i="1"/>
  <c r="X168" i="1"/>
  <c r="X134" i="1"/>
  <c r="X169" i="1"/>
  <c r="X170" i="1"/>
  <c r="X171" i="1"/>
  <c r="X228" i="1"/>
  <c r="X139" i="1"/>
  <c r="X173" i="1"/>
  <c r="X174" i="1"/>
  <c r="X175" i="1"/>
  <c r="X176" i="1"/>
  <c r="X178" i="1"/>
  <c r="X179" i="1"/>
  <c r="X180" i="1"/>
  <c r="X181" i="1"/>
  <c r="X182" i="1"/>
  <c r="X183" i="1"/>
  <c r="X72" i="1"/>
  <c r="X73" i="1"/>
  <c r="X74" i="1"/>
  <c r="X184" i="1"/>
  <c r="X185" i="1"/>
  <c r="X76" i="1"/>
  <c r="X77" i="1"/>
  <c r="X82" i="1"/>
  <c r="X71" i="1"/>
  <c r="X187" i="1"/>
  <c r="X85" i="1"/>
  <c r="X86" i="1"/>
  <c r="X87" i="1"/>
  <c r="X188" i="1"/>
  <c r="X189" i="1"/>
  <c r="X88" i="1"/>
  <c r="X89" i="1"/>
  <c r="X90" i="1"/>
  <c r="X91" i="1"/>
  <c r="X92" i="1"/>
  <c r="X93" i="1"/>
  <c r="X190" i="1"/>
  <c r="X94" i="1"/>
  <c r="X191" i="1"/>
  <c r="X192" i="1"/>
  <c r="X95" i="1"/>
  <c r="X97" i="1"/>
  <c r="X177" i="1"/>
  <c r="X193" i="1"/>
  <c r="X98" i="1"/>
  <c r="X99" i="1"/>
  <c r="X100" i="1"/>
  <c r="X101" i="1"/>
  <c r="X194" i="1"/>
  <c r="X195" i="1"/>
  <c r="X102" i="1"/>
  <c r="X106" i="1"/>
  <c r="X109" i="1"/>
  <c r="X110" i="1"/>
  <c r="X111" i="1"/>
  <c r="X112" i="1"/>
  <c r="X196" i="1"/>
  <c r="X197" i="1"/>
  <c r="X113" i="1"/>
  <c r="X198" i="1"/>
  <c r="X199" i="1"/>
  <c r="X207" i="1"/>
  <c r="X214" i="1"/>
  <c r="X215" i="1"/>
  <c r="X216" i="1"/>
  <c r="X200" i="1"/>
  <c r="X201" i="1"/>
  <c r="X202" i="1"/>
  <c r="X203" i="1"/>
  <c r="X204" i="1"/>
  <c r="X205" i="1"/>
  <c r="X206" i="1"/>
  <c r="X217" i="1"/>
  <c r="X208" i="1"/>
  <c r="X209" i="1"/>
  <c r="X210" i="1"/>
  <c r="X211" i="1"/>
  <c r="X212" i="1"/>
  <c r="X213" i="1"/>
  <c r="X218" i="1"/>
  <c r="X219" i="1"/>
  <c r="X220" i="1"/>
  <c r="X221" i="1"/>
  <c r="X222" i="1"/>
  <c r="X223" i="1"/>
  <c r="X224" i="1"/>
  <c r="X70" i="1"/>
  <c r="X240" i="1"/>
  <c r="X226" i="1"/>
  <c r="X227" i="1"/>
  <c r="X230" i="1"/>
  <c r="X229" i="1"/>
  <c r="X115" i="1"/>
  <c r="X148" i="1"/>
  <c r="X231" i="1"/>
  <c r="X138" i="1"/>
  <c r="X232" i="1"/>
  <c r="X233" i="1"/>
  <c r="X242" i="1"/>
  <c r="X235" i="1"/>
  <c r="X114" i="1"/>
  <c r="X236" i="1"/>
  <c r="X157" i="1"/>
  <c r="X238" i="1"/>
  <c r="X239" i="1"/>
  <c r="X234" i="1"/>
  <c r="X241" i="1"/>
  <c r="X159"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2" i="1"/>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116" i="1"/>
  <c r="W119" i="1"/>
  <c r="W61" i="1"/>
  <c r="W123" i="1"/>
  <c r="W63" i="1"/>
  <c r="W64" i="1"/>
  <c r="W125" i="1"/>
  <c r="W66" i="1"/>
  <c r="W67" i="1"/>
  <c r="W126" i="1"/>
  <c r="W127" i="1"/>
  <c r="W128" i="1"/>
  <c r="W129" i="1"/>
  <c r="W130" i="1"/>
  <c r="W131" i="1"/>
  <c r="W133" i="1"/>
  <c r="W75" i="1"/>
  <c r="W167" i="1"/>
  <c r="W136" i="1"/>
  <c r="W78" i="1"/>
  <c r="W79" i="1"/>
  <c r="W80" i="1"/>
  <c r="W81" i="1"/>
  <c r="W137" i="1"/>
  <c r="W83" i="1"/>
  <c r="W84" i="1"/>
  <c r="W142" i="1"/>
  <c r="W140" i="1"/>
  <c r="W141" i="1"/>
  <c r="W186" i="1"/>
  <c r="W237" i="1"/>
  <c r="W144" i="1"/>
  <c r="W145" i="1"/>
  <c r="W146" i="1"/>
  <c r="W147" i="1"/>
  <c r="W143" i="1"/>
  <c r="W149" i="1"/>
  <c r="W96" i="1"/>
  <c r="W150" i="1"/>
  <c r="W151" i="1"/>
  <c r="W152" i="1"/>
  <c r="W59" i="1"/>
  <c r="W60" i="1"/>
  <c r="W153" i="1"/>
  <c r="W103" i="1"/>
  <c r="W104" i="1"/>
  <c r="W105" i="1"/>
  <c r="W154" i="1"/>
  <c r="W107" i="1"/>
  <c r="W108" i="1"/>
  <c r="W155" i="1"/>
  <c r="W62" i="1"/>
  <c r="W65" i="1"/>
  <c r="W156" i="1"/>
  <c r="W68" i="1"/>
  <c r="W172" i="1"/>
  <c r="W158" i="1"/>
  <c r="W135" i="1"/>
  <c r="W117" i="1"/>
  <c r="W118" i="1"/>
  <c r="W160" i="1"/>
  <c r="W120" i="1"/>
  <c r="W121" i="1"/>
  <c r="W122" i="1"/>
  <c r="W161" i="1"/>
  <c r="W124" i="1"/>
  <c r="W162" i="1"/>
  <c r="W163" i="1"/>
  <c r="W164" i="1"/>
  <c r="W165" i="1"/>
  <c r="W69" i="1"/>
  <c r="W166" i="1"/>
  <c r="W225" i="1"/>
  <c r="W132" i="1"/>
  <c r="W168" i="1"/>
  <c r="W134" i="1"/>
  <c r="W169" i="1"/>
  <c r="W170" i="1"/>
  <c r="W171" i="1"/>
  <c r="W228" i="1"/>
  <c r="W139" i="1"/>
  <c r="W173" i="1"/>
  <c r="W174" i="1"/>
  <c r="W175" i="1"/>
  <c r="W176" i="1"/>
  <c r="W178" i="1"/>
  <c r="W179" i="1"/>
  <c r="W180" i="1"/>
  <c r="W181" i="1"/>
  <c r="W182" i="1"/>
  <c r="W183" i="1"/>
  <c r="W72" i="1"/>
  <c r="W73" i="1"/>
  <c r="W74" i="1"/>
  <c r="W184" i="1"/>
  <c r="W185" i="1"/>
  <c r="W76" i="1"/>
  <c r="W77" i="1"/>
  <c r="W82" i="1"/>
  <c r="W71" i="1"/>
  <c r="W187" i="1"/>
  <c r="W85" i="1"/>
  <c r="W86" i="1"/>
  <c r="W87" i="1"/>
  <c r="W188" i="1"/>
  <c r="W189" i="1"/>
  <c r="W88" i="1"/>
  <c r="W89" i="1"/>
  <c r="W90" i="1"/>
  <c r="W91" i="1"/>
  <c r="W92" i="1"/>
  <c r="W93" i="1"/>
  <c r="W190" i="1"/>
  <c r="W94" i="1"/>
  <c r="W191" i="1"/>
  <c r="W192" i="1"/>
  <c r="W95" i="1"/>
  <c r="W97" i="1"/>
  <c r="W177" i="1"/>
  <c r="W193" i="1"/>
  <c r="W98" i="1"/>
  <c r="W99" i="1"/>
  <c r="W100" i="1"/>
  <c r="W101" i="1"/>
  <c r="W194" i="1"/>
  <c r="W195" i="1"/>
  <c r="W102" i="1"/>
  <c r="W106" i="1"/>
  <c r="W109" i="1"/>
  <c r="W110" i="1"/>
  <c r="W111" i="1"/>
  <c r="W112" i="1"/>
  <c r="W196" i="1"/>
  <c r="W197" i="1"/>
  <c r="W113" i="1"/>
  <c r="W198" i="1"/>
  <c r="W199" i="1"/>
  <c r="W207" i="1"/>
  <c r="W214" i="1"/>
  <c r="W215" i="1"/>
  <c r="W216" i="1"/>
  <c r="W200" i="1"/>
  <c r="W201" i="1"/>
  <c r="W202" i="1"/>
  <c r="W203" i="1"/>
  <c r="W204" i="1"/>
  <c r="W205" i="1"/>
  <c r="W206" i="1"/>
  <c r="W217" i="1"/>
  <c r="W208" i="1"/>
  <c r="W209" i="1"/>
  <c r="W210" i="1"/>
  <c r="W211" i="1"/>
  <c r="W212" i="1"/>
  <c r="W213" i="1"/>
  <c r="W218" i="1"/>
  <c r="W219" i="1"/>
  <c r="W220" i="1"/>
  <c r="W221" i="1"/>
  <c r="W222" i="1"/>
  <c r="W223" i="1"/>
  <c r="W224" i="1"/>
  <c r="W70" i="1"/>
  <c r="W240" i="1"/>
  <c r="W226" i="1"/>
  <c r="W227" i="1"/>
  <c r="W230" i="1"/>
  <c r="W229" i="1"/>
  <c r="W115" i="1"/>
  <c r="W148" i="1"/>
  <c r="W231" i="1"/>
  <c r="W138" i="1"/>
  <c r="W232" i="1"/>
  <c r="W233" i="1"/>
  <c r="W242" i="1"/>
  <c r="W235" i="1"/>
  <c r="W114" i="1"/>
  <c r="W236" i="1"/>
  <c r="W157" i="1"/>
  <c r="W238" i="1"/>
  <c r="W239" i="1"/>
  <c r="W234" i="1"/>
  <c r="W241" i="1"/>
  <c r="W159"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2" i="11"/>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2" i="10"/>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2" i="9"/>
  <c r="B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D133" i="5"/>
  <c r="AL3" i="1"/>
  <c r="AM3" i="1" s="1"/>
  <c r="AL4" i="1"/>
  <c r="AM4" i="1" s="1"/>
  <c r="AL5" i="1"/>
  <c r="AM5" i="1" s="1"/>
  <c r="AL6" i="1"/>
  <c r="AM6" i="1" s="1"/>
  <c r="AL7" i="1"/>
  <c r="AM7" i="1" s="1"/>
  <c r="AL8" i="1"/>
  <c r="AM8" i="1" s="1"/>
  <c r="AL9" i="1"/>
  <c r="AM9" i="1" s="1"/>
  <c r="AL10" i="1"/>
  <c r="AM10" i="1" s="1"/>
  <c r="AL11" i="1"/>
  <c r="AM11" i="1" s="1"/>
  <c r="AL12" i="1"/>
  <c r="AM12" i="1" s="1"/>
  <c r="AL13" i="1"/>
  <c r="AM13" i="1" s="1"/>
  <c r="AL14" i="1"/>
  <c r="AM14" i="1" s="1"/>
  <c r="AL15" i="1"/>
  <c r="AM15" i="1" s="1"/>
  <c r="AL16" i="1"/>
  <c r="AM16" i="1" s="1"/>
  <c r="AL17" i="1"/>
  <c r="AM17" i="1" s="1"/>
  <c r="AL18" i="1"/>
  <c r="AM18" i="1" s="1"/>
  <c r="AL19" i="1"/>
  <c r="AM19" i="1" s="1"/>
  <c r="AL20" i="1"/>
  <c r="AM20" i="1" s="1"/>
  <c r="AL21" i="1"/>
  <c r="AM21" i="1" s="1"/>
  <c r="AL22" i="1"/>
  <c r="AM22" i="1" s="1"/>
  <c r="AL23" i="1"/>
  <c r="AM23" i="1" s="1"/>
  <c r="AL24" i="1"/>
  <c r="AM24" i="1" s="1"/>
  <c r="AL25" i="1"/>
  <c r="AM25" i="1" s="1"/>
  <c r="AL26" i="1"/>
  <c r="AM26" i="1" s="1"/>
  <c r="AL27" i="1"/>
  <c r="AM27" i="1" s="1"/>
  <c r="AL28" i="1"/>
  <c r="AM28" i="1" s="1"/>
  <c r="AL29" i="1"/>
  <c r="AM29" i="1" s="1"/>
  <c r="AL30" i="1"/>
  <c r="AM30" i="1" s="1"/>
  <c r="AL31" i="1"/>
  <c r="AM31" i="1" s="1"/>
  <c r="AL32" i="1"/>
  <c r="AM32" i="1" s="1"/>
  <c r="AL33" i="1"/>
  <c r="AM33" i="1" s="1"/>
  <c r="AL34" i="1"/>
  <c r="AM34" i="1" s="1"/>
  <c r="AL35" i="1"/>
  <c r="AM35" i="1" s="1"/>
  <c r="AL36" i="1"/>
  <c r="AM36" i="1" s="1"/>
  <c r="AL37" i="1"/>
  <c r="AM37" i="1" s="1"/>
  <c r="AL38" i="1"/>
  <c r="AM38" i="1" s="1"/>
  <c r="AL39" i="1"/>
  <c r="AM39" i="1" s="1"/>
  <c r="AL40" i="1"/>
  <c r="AM40" i="1" s="1"/>
  <c r="AL41" i="1"/>
  <c r="AM41" i="1" s="1"/>
  <c r="AL42" i="1"/>
  <c r="AM42" i="1" s="1"/>
  <c r="AL43" i="1"/>
  <c r="AM43" i="1" s="1"/>
  <c r="AL44" i="1"/>
  <c r="AM44" i="1" s="1"/>
  <c r="AL45" i="1"/>
  <c r="AM45" i="1" s="1"/>
  <c r="AL46" i="1"/>
  <c r="AM46" i="1" s="1"/>
  <c r="AL47" i="1"/>
  <c r="AM47" i="1" s="1"/>
  <c r="AL48" i="1"/>
  <c r="AM48" i="1" s="1"/>
  <c r="AL49" i="1"/>
  <c r="AM49" i="1" s="1"/>
  <c r="AL50" i="1"/>
  <c r="AM50" i="1" s="1"/>
  <c r="AL51" i="1"/>
  <c r="AM51" i="1" s="1"/>
  <c r="AL52" i="1"/>
  <c r="AM52" i="1" s="1"/>
  <c r="AL53" i="1"/>
  <c r="AM53" i="1" s="1"/>
  <c r="AL54" i="1"/>
  <c r="AM54" i="1" s="1"/>
  <c r="AL55" i="1"/>
  <c r="AM55" i="1" s="1"/>
  <c r="AL56" i="1"/>
  <c r="AM56" i="1" s="1"/>
  <c r="AL57" i="1"/>
  <c r="AM57" i="1" s="1"/>
  <c r="AL58" i="1"/>
  <c r="AM58" i="1" s="1"/>
  <c r="AL116" i="1"/>
  <c r="AM116" i="1" s="1"/>
  <c r="AP116" i="1" s="1"/>
  <c r="AL119" i="1"/>
  <c r="AM119" i="1" s="1"/>
  <c r="AP119" i="1" s="1"/>
  <c r="AL61" i="1"/>
  <c r="AM61" i="1" s="1"/>
  <c r="AP61" i="1" s="1"/>
  <c r="AL123" i="1"/>
  <c r="AM123" i="1" s="1"/>
  <c r="AP123" i="1" s="1"/>
  <c r="AL63" i="1"/>
  <c r="AM63" i="1" s="1"/>
  <c r="AP63" i="1" s="1"/>
  <c r="AL64" i="1"/>
  <c r="AM64" i="1" s="1"/>
  <c r="AP64" i="1" s="1"/>
  <c r="AL125" i="1"/>
  <c r="AM125" i="1" s="1"/>
  <c r="AP125" i="1" s="1"/>
  <c r="AL66" i="1"/>
  <c r="AM66" i="1" s="1"/>
  <c r="AL67" i="1"/>
  <c r="AM67" i="1" s="1"/>
  <c r="AP67" i="1" s="1"/>
  <c r="AL126" i="1"/>
  <c r="AM126" i="1" s="1"/>
  <c r="AP126" i="1" s="1"/>
  <c r="AL127" i="1"/>
  <c r="AM127" i="1" s="1"/>
  <c r="AP127" i="1" s="1"/>
  <c r="AL128" i="1"/>
  <c r="AM128" i="1" s="1"/>
  <c r="AP128" i="1" s="1"/>
  <c r="AL129" i="1"/>
  <c r="AM129" i="1" s="1"/>
  <c r="AP129" i="1" s="1"/>
  <c r="AL130" i="1"/>
  <c r="AM130" i="1" s="1"/>
  <c r="AP130" i="1" s="1"/>
  <c r="AL131" i="1"/>
  <c r="AM131" i="1" s="1"/>
  <c r="AP131" i="1" s="1"/>
  <c r="AL133" i="1"/>
  <c r="AM133" i="1" s="1"/>
  <c r="AP133" i="1" s="1"/>
  <c r="AL75" i="1"/>
  <c r="AM75" i="1" s="1"/>
  <c r="AP75" i="1" s="1"/>
  <c r="AL167" i="1"/>
  <c r="AM167" i="1" s="1"/>
  <c r="AP167" i="1" s="1"/>
  <c r="AL136" i="1"/>
  <c r="AM136" i="1" s="1"/>
  <c r="AP136" i="1" s="1"/>
  <c r="AL78" i="1"/>
  <c r="AM78" i="1" s="1"/>
  <c r="AP78" i="1" s="1"/>
  <c r="AL79" i="1"/>
  <c r="AM79" i="1" s="1"/>
  <c r="AP79" i="1" s="1"/>
  <c r="AL80" i="1"/>
  <c r="AM80" i="1" s="1"/>
  <c r="AP80" i="1" s="1"/>
  <c r="AL81" i="1"/>
  <c r="AM81" i="1" s="1"/>
  <c r="AP81" i="1" s="1"/>
  <c r="AL137" i="1"/>
  <c r="AM137" i="1" s="1"/>
  <c r="AP137" i="1" s="1"/>
  <c r="AL83" i="1"/>
  <c r="AM83" i="1" s="1"/>
  <c r="AP83" i="1" s="1"/>
  <c r="AL84" i="1"/>
  <c r="AM84" i="1" s="1"/>
  <c r="AP84" i="1" s="1"/>
  <c r="AL142" i="1"/>
  <c r="AM142" i="1" s="1"/>
  <c r="AP142" i="1" s="1"/>
  <c r="AL140" i="1"/>
  <c r="AM140" i="1" s="1"/>
  <c r="AP140" i="1" s="1"/>
  <c r="AL141" i="1"/>
  <c r="AM141" i="1" s="1"/>
  <c r="AP141" i="1" s="1"/>
  <c r="AL186" i="1"/>
  <c r="AM186" i="1" s="1"/>
  <c r="AP186" i="1" s="1"/>
  <c r="AL237" i="1"/>
  <c r="AM237" i="1" s="1"/>
  <c r="AP237" i="1" s="1"/>
  <c r="AL144" i="1"/>
  <c r="AM144" i="1" s="1"/>
  <c r="AP144" i="1" s="1"/>
  <c r="AL145" i="1"/>
  <c r="AM145" i="1" s="1"/>
  <c r="AP145" i="1" s="1"/>
  <c r="AL146" i="1"/>
  <c r="AM146" i="1" s="1"/>
  <c r="AP146" i="1" s="1"/>
  <c r="AL147" i="1"/>
  <c r="AM147" i="1" s="1"/>
  <c r="AP147" i="1" s="1"/>
  <c r="AL143" i="1"/>
  <c r="AM143" i="1" s="1"/>
  <c r="AP143" i="1" s="1"/>
  <c r="AL149" i="1"/>
  <c r="AM149" i="1" s="1"/>
  <c r="AP149" i="1" s="1"/>
  <c r="AL96" i="1"/>
  <c r="AM96" i="1" s="1"/>
  <c r="AP96" i="1" s="1"/>
  <c r="AL150" i="1"/>
  <c r="AM150" i="1" s="1"/>
  <c r="AP150" i="1" s="1"/>
  <c r="AL151" i="1"/>
  <c r="AM151" i="1" s="1"/>
  <c r="AP151" i="1" s="1"/>
  <c r="AL152" i="1"/>
  <c r="AM152" i="1" s="1"/>
  <c r="AP152" i="1" s="1"/>
  <c r="AL59" i="1"/>
  <c r="AM59" i="1" s="1"/>
  <c r="AL60" i="1"/>
  <c r="AM60" i="1" s="1"/>
  <c r="AL153" i="1"/>
  <c r="AM153" i="1" s="1"/>
  <c r="AP153" i="1" s="1"/>
  <c r="AL103" i="1"/>
  <c r="AM103" i="1" s="1"/>
  <c r="AL104" i="1"/>
  <c r="AM104" i="1" s="1"/>
  <c r="AP104" i="1" s="1"/>
  <c r="AL105" i="1"/>
  <c r="AM105" i="1" s="1"/>
  <c r="AP105" i="1" s="1"/>
  <c r="AL154" i="1"/>
  <c r="AM154" i="1" s="1"/>
  <c r="AP154" i="1" s="1"/>
  <c r="AL107" i="1"/>
  <c r="AM107" i="1" s="1"/>
  <c r="AL108" i="1"/>
  <c r="AM108" i="1" s="1"/>
  <c r="AL155" i="1"/>
  <c r="AM155" i="1" s="1"/>
  <c r="AP155" i="1" s="1"/>
  <c r="AL62" i="1"/>
  <c r="AM62" i="1" s="1"/>
  <c r="AL65" i="1"/>
  <c r="AM65" i="1" s="1"/>
  <c r="AL156" i="1"/>
  <c r="AM156" i="1" s="1"/>
  <c r="AP156" i="1" s="1"/>
  <c r="AL68" i="1"/>
  <c r="AM68" i="1" s="1"/>
  <c r="AL172" i="1"/>
  <c r="AM172" i="1" s="1"/>
  <c r="AP172" i="1" s="1"/>
  <c r="AL158" i="1"/>
  <c r="AM158" i="1" s="1"/>
  <c r="AP158" i="1" s="1"/>
  <c r="AL135" i="1"/>
  <c r="AM135" i="1" s="1"/>
  <c r="AL117" i="1"/>
  <c r="AM117" i="1" s="1"/>
  <c r="AL118" i="1"/>
  <c r="AM118" i="1" s="1"/>
  <c r="AP118" i="1" s="1"/>
  <c r="AL160" i="1"/>
  <c r="AM160" i="1" s="1"/>
  <c r="AP160" i="1" s="1"/>
  <c r="AL120" i="1"/>
  <c r="AM120" i="1" s="1"/>
  <c r="AL121" i="1"/>
  <c r="AM121" i="1" s="1"/>
  <c r="AL122" i="1"/>
  <c r="AM122" i="1" s="1"/>
  <c r="AL161" i="1"/>
  <c r="AM161" i="1" s="1"/>
  <c r="AP161" i="1" s="1"/>
  <c r="AL124" i="1"/>
  <c r="AM124" i="1" s="1"/>
  <c r="AP124" i="1" s="1"/>
  <c r="AL162" i="1"/>
  <c r="AM162" i="1" s="1"/>
  <c r="AP162" i="1" s="1"/>
  <c r="AL163" i="1"/>
  <c r="AM163" i="1" s="1"/>
  <c r="AP163" i="1" s="1"/>
  <c r="AL164" i="1"/>
  <c r="AM164" i="1" s="1"/>
  <c r="AP164" i="1" s="1"/>
  <c r="AL165" i="1"/>
  <c r="AM165" i="1" s="1"/>
  <c r="AP165" i="1" s="1"/>
  <c r="AL69" i="1"/>
  <c r="AM69" i="1" s="1"/>
  <c r="AL166" i="1"/>
  <c r="AM166" i="1" s="1"/>
  <c r="AP166" i="1" s="1"/>
  <c r="AL225" i="1"/>
  <c r="AM225" i="1" s="1"/>
  <c r="AP225" i="1" s="1"/>
  <c r="AL132" i="1"/>
  <c r="AM132" i="1" s="1"/>
  <c r="AL168" i="1"/>
  <c r="AM168" i="1" s="1"/>
  <c r="AP168" i="1" s="1"/>
  <c r="AL134" i="1"/>
  <c r="AM134" i="1" s="1"/>
  <c r="AL169" i="1"/>
  <c r="AM169" i="1" s="1"/>
  <c r="AP169" i="1" s="1"/>
  <c r="AL170" i="1"/>
  <c r="AM170" i="1" s="1"/>
  <c r="AP170" i="1" s="1"/>
  <c r="AL171" i="1"/>
  <c r="AM171" i="1" s="1"/>
  <c r="AP171" i="1" s="1"/>
  <c r="AL228" i="1"/>
  <c r="AM228" i="1" s="1"/>
  <c r="AP228" i="1" s="1"/>
  <c r="AL139" i="1"/>
  <c r="AM139" i="1" s="1"/>
  <c r="AL173" i="1"/>
  <c r="AM173" i="1" s="1"/>
  <c r="AP173" i="1" s="1"/>
  <c r="AL174" i="1"/>
  <c r="AM174" i="1" s="1"/>
  <c r="AP174" i="1" s="1"/>
  <c r="AL175" i="1"/>
  <c r="AM175" i="1" s="1"/>
  <c r="AP175" i="1" s="1"/>
  <c r="AL176" i="1"/>
  <c r="AM176" i="1" s="1"/>
  <c r="AP176" i="1" s="1"/>
  <c r="AL178" i="1"/>
  <c r="AM178" i="1" s="1"/>
  <c r="AP178" i="1" s="1"/>
  <c r="AL179" i="1"/>
  <c r="AM179" i="1" s="1"/>
  <c r="AP179" i="1" s="1"/>
  <c r="AL180" i="1"/>
  <c r="AM180" i="1" s="1"/>
  <c r="AP180" i="1" s="1"/>
  <c r="AL181" i="1"/>
  <c r="AM181" i="1" s="1"/>
  <c r="AP181" i="1" s="1"/>
  <c r="AL182" i="1"/>
  <c r="AM182" i="1" s="1"/>
  <c r="AP182" i="1" s="1"/>
  <c r="AL183" i="1"/>
  <c r="AM183" i="1" s="1"/>
  <c r="AP183" i="1" s="1"/>
  <c r="AL72" i="1"/>
  <c r="AM72" i="1" s="1"/>
  <c r="AL73" i="1"/>
  <c r="AM73" i="1" s="1"/>
  <c r="AL74" i="1"/>
  <c r="AM74" i="1" s="1"/>
  <c r="AL184" i="1"/>
  <c r="AM184" i="1" s="1"/>
  <c r="AP184" i="1" s="1"/>
  <c r="AL185" i="1"/>
  <c r="AM185" i="1" s="1"/>
  <c r="AP185" i="1" s="1"/>
  <c r="AL76" i="1"/>
  <c r="AM76" i="1" s="1"/>
  <c r="AL77" i="1"/>
  <c r="AM77" i="1" s="1"/>
  <c r="AL82" i="1"/>
  <c r="AM82" i="1" s="1"/>
  <c r="AL71" i="1"/>
  <c r="AM71" i="1" s="1"/>
  <c r="AL187" i="1"/>
  <c r="AM187" i="1" s="1"/>
  <c r="AP187" i="1" s="1"/>
  <c r="AL85" i="1"/>
  <c r="AM85" i="1" s="1"/>
  <c r="AL86" i="1"/>
  <c r="AM86" i="1" s="1"/>
  <c r="AL87" i="1"/>
  <c r="AM87" i="1" s="1"/>
  <c r="AL188" i="1"/>
  <c r="AM188" i="1" s="1"/>
  <c r="AP188" i="1" s="1"/>
  <c r="AL189" i="1"/>
  <c r="AM189" i="1" s="1"/>
  <c r="AP189" i="1" s="1"/>
  <c r="AL88" i="1"/>
  <c r="AM88" i="1" s="1"/>
  <c r="AL89" i="1"/>
  <c r="AM89" i="1" s="1"/>
  <c r="AL90" i="1"/>
  <c r="AM90" i="1" s="1"/>
  <c r="AL91" i="1"/>
  <c r="AM91" i="1" s="1"/>
  <c r="AL92" i="1"/>
  <c r="AM92" i="1" s="1"/>
  <c r="AL93" i="1"/>
  <c r="AM93" i="1" s="1"/>
  <c r="AL190" i="1"/>
  <c r="AM190" i="1" s="1"/>
  <c r="AP190" i="1" s="1"/>
  <c r="AL94" i="1"/>
  <c r="AM94" i="1" s="1"/>
  <c r="AL191" i="1"/>
  <c r="AM191" i="1" s="1"/>
  <c r="AP191" i="1" s="1"/>
  <c r="AL192" i="1"/>
  <c r="AM192" i="1" s="1"/>
  <c r="AP192" i="1" s="1"/>
  <c r="AL95" i="1"/>
  <c r="AM95" i="1" s="1"/>
  <c r="AL97" i="1"/>
  <c r="AM97" i="1" s="1"/>
  <c r="AL177" i="1"/>
  <c r="AM177" i="1" s="1"/>
  <c r="AL193" i="1"/>
  <c r="AM193" i="1" s="1"/>
  <c r="AP193" i="1" s="1"/>
  <c r="AL98" i="1"/>
  <c r="AM98" i="1" s="1"/>
  <c r="AL99" i="1"/>
  <c r="AM99" i="1" s="1"/>
  <c r="AL100" i="1"/>
  <c r="AM100" i="1" s="1"/>
  <c r="AL101" i="1"/>
  <c r="AM101" i="1" s="1"/>
  <c r="AL194" i="1"/>
  <c r="AM194" i="1" s="1"/>
  <c r="AP194" i="1" s="1"/>
  <c r="AL195" i="1"/>
  <c r="AM195" i="1" s="1"/>
  <c r="AP195" i="1" s="1"/>
  <c r="AL102" i="1"/>
  <c r="AM102" i="1" s="1"/>
  <c r="AL106" i="1"/>
  <c r="AM106" i="1" s="1"/>
  <c r="AL109" i="1"/>
  <c r="AM109" i="1" s="1"/>
  <c r="AL110" i="1"/>
  <c r="AM110" i="1" s="1"/>
  <c r="AL111" i="1"/>
  <c r="AM111" i="1" s="1"/>
  <c r="AL112" i="1"/>
  <c r="AM112" i="1" s="1"/>
  <c r="AL196" i="1"/>
  <c r="AM196" i="1" s="1"/>
  <c r="AP196" i="1" s="1"/>
  <c r="AL197" i="1"/>
  <c r="AM197" i="1" s="1"/>
  <c r="AP197" i="1" s="1"/>
  <c r="AL113" i="1"/>
  <c r="AM113" i="1" s="1"/>
  <c r="AL198" i="1"/>
  <c r="AM198" i="1" s="1"/>
  <c r="AP198" i="1" s="1"/>
  <c r="AL199" i="1"/>
  <c r="AM199" i="1" s="1"/>
  <c r="AP199" i="1" s="1"/>
  <c r="AL207" i="1"/>
  <c r="AM207" i="1" s="1"/>
  <c r="AP207" i="1" s="1"/>
  <c r="AL214" i="1"/>
  <c r="AM214" i="1" s="1"/>
  <c r="AP214" i="1" s="1"/>
  <c r="AL215" i="1"/>
  <c r="AM215" i="1" s="1"/>
  <c r="AP215" i="1" s="1"/>
  <c r="AL216" i="1"/>
  <c r="AM216" i="1" s="1"/>
  <c r="AP216" i="1" s="1"/>
  <c r="AL200" i="1"/>
  <c r="AM200" i="1" s="1"/>
  <c r="AL201" i="1"/>
  <c r="AM201" i="1" s="1"/>
  <c r="AL202" i="1"/>
  <c r="AM202" i="1" s="1"/>
  <c r="AL203" i="1"/>
  <c r="AM203" i="1" s="1"/>
  <c r="AL204" i="1"/>
  <c r="AM204" i="1" s="1"/>
  <c r="AL205" i="1"/>
  <c r="AM205" i="1" s="1"/>
  <c r="AL206" i="1"/>
  <c r="AM206" i="1" s="1"/>
  <c r="AL217" i="1"/>
  <c r="AM217" i="1" s="1"/>
  <c r="AP217" i="1" s="1"/>
  <c r="AL208" i="1"/>
  <c r="AM208" i="1" s="1"/>
  <c r="AL209" i="1"/>
  <c r="AM209" i="1" s="1"/>
  <c r="AL210" i="1"/>
  <c r="AM210" i="1" s="1"/>
  <c r="AL211" i="1"/>
  <c r="AM211" i="1" s="1"/>
  <c r="AL212" i="1"/>
  <c r="AM212" i="1" s="1"/>
  <c r="AL213" i="1"/>
  <c r="AM213" i="1" s="1"/>
  <c r="AL218" i="1"/>
  <c r="AM218" i="1" s="1"/>
  <c r="AP218" i="1" s="1"/>
  <c r="AL219" i="1"/>
  <c r="AM219" i="1" s="1"/>
  <c r="AP219" i="1" s="1"/>
  <c r="AL220" i="1"/>
  <c r="AM220" i="1" s="1"/>
  <c r="AP220" i="1" s="1"/>
  <c r="AL221" i="1"/>
  <c r="AM221" i="1" s="1"/>
  <c r="AP221" i="1" s="1"/>
  <c r="AL222" i="1"/>
  <c r="AM222" i="1" s="1"/>
  <c r="AP222" i="1" s="1"/>
  <c r="AL223" i="1"/>
  <c r="AM223" i="1" s="1"/>
  <c r="AP223" i="1" s="1"/>
  <c r="AL224" i="1"/>
  <c r="AM224" i="1" s="1"/>
  <c r="AP224" i="1" s="1"/>
  <c r="AL70" i="1"/>
  <c r="AM70" i="1" s="1"/>
  <c r="AL240" i="1"/>
  <c r="AM240" i="1" s="1"/>
  <c r="AP240" i="1" s="1"/>
  <c r="AL226" i="1"/>
  <c r="AM226" i="1" s="1"/>
  <c r="AP226" i="1" s="1"/>
  <c r="AL227" i="1"/>
  <c r="AM227" i="1" s="1"/>
  <c r="AP227" i="1" s="1"/>
  <c r="AL230" i="1"/>
  <c r="AM230" i="1" s="1"/>
  <c r="AP230" i="1" s="1"/>
  <c r="AL229" i="1"/>
  <c r="AM229" i="1" s="1"/>
  <c r="AP229" i="1" s="1"/>
  <c r="AL115" i="1"/>
  <c r="AM115" i="1" s="1"/>
  <c r="AL148" i="1"/>
  <c r="AM148" i="1" s="1"/>
  <c r="AL231" i="1"/>
  <c r="AM231" i="1" s="1"/>
  <c r="AP231" i="1" s="1"/>
  <c r="AL138" i="1"/>
  <c r="AM138" i="1" s="1"/>
  <c r="AL232" i="1"/>
  <c r="AM232" i="1" s="1"/>
  <c r="AP232" i="1" s="1"/>
  <c r="AL233" i="1"/>
  <c r="AM233" i="1" s="1"/>
  <c r="AP233" i="1" s="1"/>
  <c r="AL242" i="1"/>
  <c r="AM242" i="1" s="1"/>
  <c r="AP242" i="1" s="1"/>
  <c r="AL235" i="1"/>
  <c r="AM235" i="1" s="1"/>
  <c r="AP235" i="1" s="1"/>
  <c r="AL114" i="1"/>
  <c r="AM114" i="1" s="1"/>
  <c r="AL236" i="1"/>
  <c r="AM236" i="1" s="1"/>
  <c r="AP236" i="1" s="1"/>
  <c r="AL157" i="1"/>
  <c r="AM157" i="1" s="1"/>
  <c r="AP157" i="1" s="1"/>
  <c r="AL238" i="1"/>
  <c r="AM238" i="1" s="1"/>
  <c r="AP238" i="1" s="1"/>
  <c r="AL239" i="1"/>
  <c r="AM239" i="1" s="1"/>
  <c r="AP239" i="1" s="1"/>
  <c r="AL234" i="1"/>
  <c r="AM234" i="1" s="1"/>
  <c r="AP234" i="1" s="1"/>
  <c r="AL241" i="1"/>
  <c r="AM241" i="1" s="1"/>
  <c r="AP241" i="1" s="1"/>
  <c r="AL159" i="1"/>
  <c r="AM159" i="1" s="1"/>
  <c r="AP159" i="1" s="1"/>
  <c r="AL243" i="1"/>
  <c r="AM243" i="1" s="1"/>
  <c r="AP243" i="1" s="1"/>
  <c r="AL244" i="1"/>
  <c r="AM244" i="1" s="1"/>
  <c r="AP244" i="1" s="1"/>
  <c r="AL245" i="1"/>
  <c r="AM245" i="1" s="1"/>
  <c r="AL246" i="1"/>
  <c r="AM246" i="1" s="1"/>
  <c r="AL247" i="1"/>
  <c r="AM247" i="1" s="1"/>
  <c r="AL248" i="1"/>
  <c r="AM248" i="1" s="1"/>
  <c r="AL249" i="1"/>
  <c r="AM249" i="1" s="1"/>
  <c r="AL250" i="1"/>
  <c r="AM250" i="1" s="1"/>
  <c r="AL251" i="1"/>
  <c r="AM251" i="1" s="1"/>
  <c r="AL252" i="1"/>
  <c r="AM252" i="1" s="1"/>
  <c r="AL253" i="1"/>
  <c r="AM253" i="1" s="1"/>
  <c r="AL254" i="1"/>
  <c r="AM254" i="1" s="1"/>
  <c r="AL255" i="1"/>
  <c r="AM255" i="1" s="1"/>
  <c r="AL256" i="1"/>
  <c r="AM256" i="1" s="1"/>
  <c r="AL257" i="1"/>
  <c r="AM257" i="1" s="1"/>
  <c r="AL258" i="1"/>
  <c r="AM258" i="1" s="1"/>
  <c r="AL259" i="1"/>
  <c r="AM259" i="1" s="1"/>
  <c r="AL260" i="1"/>
  <c r="AM260" i="1" s="1"/>
  <c r="AL261" i="1"/>
  <c r="AM261" i="1" s="1"/>
  <c r="AL262" i="1"/>
  <c r="AM262" i="1" s="1"/>
  <c r="AL263" i="1"/>
  <c r="AM263" i="1" s="1"/>
  <c r="AL264" i="1"/>
  <c r="AM264" i="1" s="1"/>
  <c r="AL265" i="1"/>
  <c r="AM265" i="1" s="1"/>
  <c r="AL266" i="1"/>
  <c r="AM266" i="1" s="1"/>
  <c r="AL267" i="1"/>
  <c r="AM267" i="1" s="1"/>
  <c r="AL268" i="1"/>
  <c r="AM268" i="1" s="1"/>
  <c r="AL269" i="1"/>
  <c r="AM269" i="1" s="1"/>
  <c r="AL270" i="1"/>
  <c r="AM270" i="1" s="1"/>
  <c r="AL271" i="1"/>
  <c r="AM271" i="1" s="1"/>
  <c r="AL272" i="1"/>
  <c r="AM272" i="1" s="1"/>
  <c r="AL273" i="1"/>
  <c r="AM273" i="1" s="1"/>
  <c r="AL274" i="1"/>
  <c r="AM274" i="1" s="1"/>
  <c r="AL275" i="1"/>
  <c r="AM275" i="1" s="1"/>
  <c r="AL276" i="1"/>
  <c r="AM276" i="1" s="1"/>
  <c r="AL277" i="1"/>
  <c r="AM277" i="1" s="1"/>
  <c r="AL278" i="1"/>
  <c r="AM278" i="1" s="1"/>
  <c r="AL279" i="1"/>
  <c r="AM279" i="1" s="1"/>
  <c r="AL280" i="1"/>
  <c r="AM280" i="1" s="1"/>
  <c r="AP280" i="1" s="1"/>
  <c r="AL281" i="1"/>
  <c r="AM281" i="1" s="1"/>
  <c r="AP281" i="1" s="1"/>
  <c r="AL282" i="1"/>
  <c r="AM282" i="1" s="1"/>
  <c r="AP282" i="1" s="1"/>
  <c r="AL283" i="1"/>
  <c r="AM283" i="1" s="1"/>
  <c r="AP283" i="1" s="1"/>
  <c r="AL284" i="1"/>
  <c r="AM284" i="1" s="1"/>
  <c r="AP284" i="1" s="1"/>
  <c r="AL285" i="1"/>
  <c r="AM285" i="1" s="1"/>
  <c r="AL286" i="1"/>
  <c r="AM286" i="1" s="1"/>
  <c r="AP286" i="1" s="1"/>
  <c r="AL287" i="1"/>
  <c r="AM287" i="1" s="1"/>
  <c r="AL288" i="1"/>
  <c r="AM288" i="1" s="1"/>
  <c r="AL289" i="1"/>
  <c r="AM289" i="1" s="1"/>
  <c r="AP289" i="1" s="1"/>
  <c r="AL290" i="1"/>
  <c r="AM290" i="1" s="1"/>
  <c r="AL291" i="1"/>
  <c r="AM291" i="1" s="1"/>
  <c r="AP291" i="1" s="1"/>
  <c r="AL292" i="1"/>
  <c r="AM292" i="1" s="1"/>
  <c r="AL293" i="1"/>
  <c r="AM293" i="1" s="1"/>
  <c r="AL294" i="1"/>
  <c r="AM294" i="1" s="1"/>
  <c r="AP294" i="1" s="1"/>
  <c r="AL295" i="1"/>
  <c r="AM295" i="1" s="1"/>
  <c r="AP295" i="1" s="1"/>
  <c r="AL296" i="1"/>
  <c r="AM296" i="1" s="1"/>
  <c r="AP296" i="1" s="1"/>
  <c r="AL297" i="1"/>
  <c r="AM297" i="1" s="1"/>
  <c r="AP297" i="1" s="1"/>
  <c r="AL298" i="1"/>
  <c r="AM298" i="1" s="1"/>
  <c r="AL299" i="1"/>
  <c r="AM299" i="1" s="1"/>
  <c r="AP299" i="1" s="1"/>
  <c r="AL300" i="1"/>
  <c r="AM300" i="1" s="1"/>
  <c r="AP300" i="1" s="1"/>
  <c r="AL301" i="1"/>
  <c r="AM301" i="1" s="1"/>
  <c r="AP301" i="1" s="1"/>
  <c r="AL302" i="1"/>
  <c r="AM302" i="1" s="1"/>
  <c r="AP302" i="1" s="1"/>
  <c r="AL303" i="1"/>
  <c r="AM303" i="1" s="1"/>
  <c r="AP303" i="1" s="1"/>
  <c r="AL304" i="1"/>
  <c r="AM304" i="1" s="1"/>
  <c r="AP304" i="1" s="1"/>
  <c r="AL305" i="1"/>
  <c r="AM305" i="1" s="1"/>
  <c r="AL306" i="1"/>
  <c r="AM306" i="1" s="1"/>
  <c r="AP306" i="1" s="1"/>
  <c r="AL307" i="1"/>
  <c r="AM307" i="1" s="1"/>
  <c r="AP307" i="1" s="1"/>
  <c r="AL308" i="1"/>
  <c r="AM308" i="1" s="1"/>
  <c r="AL309" i="1"/>
  <c r="AM309" i="1" s="1"/>
  <c r="AL310" i="1"/>
  <c r="AM310" i="1" s="1"/>
  <c r="AL311" i="1"/>
  <c r="AM311" i="1" s="1"/>
  <c r="AL312" i="1"/>
  <c r="AM312" i="1" s="1"/>
  <c r="AP312" i="1" s="1"/>
  <c r="AL313" i="1"/>
  <c r="AM313" i="1" s="1"/>
  <c r="AP313" i="1" s="1"/>
  <c r="AL314" i="1"/>
  <c r="AM314" i="1" s="1"/>
  <c r="AL2" i="1"/>
  <c r="AM2" i="1" s="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E46" i="16" s="1"/>
  <c r="C58" i="1"/>
  <c r="E45" i="16" s="1"/>
  <c r="C116" i="1"/>
  <c r="C119" i="1"/>
  <c r="C61" i="1"/>
  <c r="C123" i="1"/>
  <c r="C63" i="1"/>
  <c r="C64" i="1"/>
  <c r="C125" i="1"/>
  <c r="C66" i="1"/>
  <c r="C67" i="1"/>
  <c r="C126" i="1"/>
  <c r="C127" i="1"/>
  <c r="C128" i="1"/>
  <c r="C129" i="1"/>
  <c r="C130" i="1"/>
  <c r="C131" i="1"/>
  <c r="C133" i="1"/>
  <c r="C75" i="1"/>
  <c r="C167" i="1"/>
  <c r="C136" i="1"/>
  <c r="C78" i="1"/>
  <c r="C79" i="1"/>
  <c r="C80" i="1"/>
  <c r="C81" i="1"/>
  <c r="C137" i="1"/>
  <c r="C83" i="1"/>
  <c r="C84" i="1"/>
  <c r="C142" i="1"/>
  <c r="C140" i="1"/>
  <c r="C141" i="1"/>
  <c r="C186" i="1"/>
  <c r="C237" i="1"/>
  <c r="C144" i="1"/>
  <c r="C145" i="1"/>
  <c r="C146" i="1"/>
  <c r="C147" i="1"/>
  <c r="C143" i="1"/>
  <c r="C149" i="1"/>
  <c r="C96" i="1"/>
  <c r="C150" i="1"/>
  <c r="C151" i="1"/>
  <c r="C152" i="1"/>
  <c r="C59" i="1"/>
  <c r="C60" i="1"/>
  <c r="C153" i="1"/>
  <c r="C103" i="1"/>
  <c r="C104" i="1"/>
  <c r="C105" i="1"/>
  <c r="AN105" i="1" s="1"/>
  <c r="C154" i="1"/>
  <c r="C107" i="1"/>
  <c r="C108" i="1"/>
  <c r="C155" i="1"/>
  <c r="C62" i="1"/>
  <c r="C65" i="1"/>
  <c r="C156" i="1"/>
  <c r="C68" i="1"/>
  <c r="C172" i="1"/>
  <c r="C158" i="1"/>
  <c r="C135" i="1"/>
  <c r="C117" i="1"/>
  <c r="C118" i="1"/>
  <c r="C160" i="1"/>
  <c r="C120" i="1"/>
  <c r="C121" i="1"/>
  <c r="C122" i="1"/>
  <c r="C161" i="1"/>
  <c r="C124" i="1"/>
  <c r="C162" i="1"/>
  <c r="C163" i="1"/>
  <c r="C164" i="1"/>
  <c r="C165" i="1"/>
  <c r="C69" i="1"/>
  <c r="C166" i="1"/>
  <c r="C225" i="1"/>
  <c r="C132" i="1"/>
  <c r="C168" i="1"/>
  <c r="C134" i="1"/>
  <c r="C169" i="1"/>
  <c r="C170" i="1"/>
  <c r="C171" i="1"/>
  <c r="C228" i="1"/>
  <c r="C139" i="1"/>
  <c r="C173" i="1"/>
  <c r="C174" i="1"/>
  <c r="C175" i="1"/>
  <c r="C176" i="1"/>
  <c r="C178" i="1"/>
  <c r="C179" i="1"/>
  <c r="C180" i="1"/>
  <c r="C181" i="1"/>
  <c r="C182" i="1"/>
  <c r="C183" i="1"/>
  <c r="C72" i="1"/>
  <c r="C73" i="1"/>
  <c r="C74" i="1"/>
  <c r="C184" i="1"/>
  <c r="C185" i="1"/>
  <c r="C76" i="1"/>
  <c r="C77" i="1"/>
  <c r="C82" i="1"/>
  <c r="C71" i="1"/>
  <c r="C187" i="1"/>
  <c r="C85" i="1"/>
  <c r="C86" i="1"/>
  <c r="AN86" i="1" s="1"/>
  <c r="C87" i="1"/>
  <c r="C188" i="1"/>
  <c r="C189" i="1"/>
  <c r="C88" i="1"/>
  <c r="C89" i="1"/>
  <c r="C90" i="1"/>
  <c r="C91" i="1"/>
  <c r="C92" i="1"/>
  <c r="C93" i="1"/>
  <c r="C190" i="1"/>
  <c r="C94" i="1"/>
  <c r="C191" i="1"/>
  <c r="C192" i="1"/>
  <c r="AN192" i="1" s="1"/>
  <c r="C95" i="1"/>
  <c r="C97" i="1"/>
  <c r="C177" i="1"/>
  <c r="C193" i="1"/>
  <c r="C98" i="1"/>
  <c r="C99" i="1"/>
  <c r="C100" i="1"/>
  <c r="C101" i="1"/>
  <c r="C194" i="1"/>
  <c r="C195" i="1"/>
  <c r="C102" i="1"/>
  <c r="C106" i="1"/>
  <c r="C109" i="1"/>
  <c r="C110" i="1"/>
  <c r="C111" i="1"/>
  <c r="C112" i="1"/>
  <c r="C196" i="1"/>
  <c r="C197" i="1"/>
  <c r="C113" i="1"/>
  <c r="C198" i="1"/>
  <c r="C199" i="1"/>
  <c r="C207" i="1"/>
  <c r="C214" i="1"/>
  <c r="C215" i="1"/>
  <c r="C216" i="1"/>
  <c r="C200" i="1"/>
  <c r="C201" i="1"/>
  <c r="C202" i="1"/>
  <c r="C203" i="1"/>
  <c r="C204" i="1"/>
  <c r="C205" i="1"/>
  <c r="C206" i="1"/>
  <c r="C217" i="1"/>
  <c r="C208" i="1"/>
  <c r="C209" i="1"/>
  <c r="C210" i="1"/>
  <c r="C211" i="1"/>
  <c r="C212" i="1"/>
  <c r="C213" i="1"/>
  <c r="C218" i="1"/>
  <c r="C219" i="1"/>
  <c r="C220" i="1"/>
  <c r="C221" i="1"/>
  <c r="C222" i="1"/>
  <c r="C223" i="1"/>
  <c r="C224" i="1"/>
  <c r="C70" i="1"/>
  <c r="C240" i="1"/>
  <c r="C226" i="1"/>
  <c r="C227" i="1"/>
  <c r="C230" i="1"/>
  <c r="C229" i="1"/>
  <c r="C115" i="1"/>
  <c r="C148" i="1"/>
  <c r="C231" i="1"/>
  <c r="C138" i="1"/>
  <c r="C232" i="1"/>
  <c r="C233" i="1"/>
  <c r="C242" i="1"/>
  <c r="C235" i="1"/>
  <c r="C114" i="1"/>
  <c r="C236" i="1"/>
  <c r="C157" i="1"/>
  <c r="C238" i="1"/>
  <c r="C239" i="1"/>
  <c r="C234" i="1"/>
  <c r="C241" i="1"/>
  <c r="C159"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E5" i="16" s="1"/>
  <c r="C294" i="1"/>
  <c r="C295" i="1"/>
  <c r="C296" i="1"/>
  <c r="C297" i="1"/>
  <c r="C298" i="1"/>
  <c r="C299" i="1"/>
  <c r="C300" i="1"/>
  <c r="C301" i="1"/>
  <c r="C302" i="1"/>
  <c r="C303" i="1"/>
  <c r="C304" i="1"/>
  <c r="C305" i="1"/>
  <c r="C306" i="1"/>
  <c r="C307" i="1"/>
  <c r="C308" i="1"/>
  <c r="C309" i="1"/>
  <c r="C310" i="1"/>
  <c r="C311" i="1"/>
  <c r="C312" i="1"/>
  <c r="C313" i="1"/>
  <c r="C314" i="1"/>
  <c r="C2" i="1"/>
  <c r="AE61" i="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116" i="1"/>
  <c r="AE119" i="1"/>
  <c r="AE123" i="1"/>
  <c r="AE63" i="1"/>
  <c r="AE64" i="1"/>
  <c r="AE125" i="1"/>
  <c r="AE66" i="1"/>
  <c r="AE67" i="1"/>
  <c r="AE126" i="1"/>
  <c r="AE127" i="1"/>
  <c r="AE128" i="1"/>
  <c r="AE129" i="1"/>
  <c r="AE130" i="1"/>
  <c r="AE131" i="1"/>
  <c r="AE133" i="1"/>
  <c r="AE75" i="1"/>
  <c r="AE167" i="1"/>
  <c r="AE136" i="1"/>
  <c r="AE78" i="1"/>
  <c r="AE79" i="1"/>
  <c r="AE80" i="1"/>
  <c r="AE81" i="1"/>
  <c r="AE137" i="1"/>
  <c r="AE83" i="1"/>
  <c r="AE84" i="1"/>
  <c r="AE142" i="1"/>
  <c r="AE140" i="1"/>
  <c r="AE141" i="1"/>
  <c r="AE186" i="1"/>
  <c r="AE237" i="1"/>
  <c r="AE144" i="1"/>
  <c r="AE145" i="1"/>
  <c r="AE146" i="1"/>
  <c r="AE147" i="1"/>
  <c r="AE143" i="1"/>
  <c r="AE149" i="1"/>
  <c r="AE96" i="1"/>
  <c r="AE150" i="1"/>
  <c r="AE151" i="1"/>
  <c r="AE152" i="1"/>
  <c r="AE59" i="1"/>
  <c r="AE60" i="1"/>
  <c r="AE153" i="1"/>
  <c r="AE103" i="1"/>
  <c r="AE104" i="1"/>
  <c r="AE105" i="1"/>
  <c r="AE154" i="1"/>
  <c r="AE107" i="1"/>
  <c r="AE108" i="1"/>
  <c r="AE155" i="1"/>
  <c r="AE62" i="1"/>
  <c r="AE65" i="1"/>
  <c r="AE156" i="1"/>
  <c r="AE68" i="1"/>
  <c r="AE172" i="1"/>
  <c r="AE158" i="1"/>
  <c r="AE135" i="1"/>
  <c r="AE117" i="1"/>
  <c r="AE118" i="1"/>
  <c r="AE160" i="1"/>
  <c r="AE120" i="1"/>
  <c r="AE121" i="1"/>
  <c r="AE122" i="1"/>
  <c r="AE161" i="1"/>
  <c r="AE124" i="1"/>
  <c r="AE162" i="1"/>
  <c r="AE163" i="1"/>
  <c r="AE164" i="1"/>
  <c r="AE165" i="1"/>
  <c r="AE69" i="1"/>
  <c r="AE166" i="1"/>
  <c r="AE225" i="1"/>
  <c r="AE132" i="1"/>
  <c r="AE168" i="1"/>
  <c r="AE134" i="1"/>
  <c r="AE169" i="1"/>
  <c r="AE170" i="1"/>
  <c r="AE171" i="1"/>
  <c r="AE228" i="1"/>
  <c r="AE139" i="1"/>
  <c r="AE173" i="1"/>
  <c r="AE174" i="1"/>
  <c r="AE175" i="1"/>
  <c r="AE176" i="1"/>
  <c r="AE178" i="1"/>
  <c r="AE179" i="1"/>
  <c r="AE180" i="1"/>
  <c r="AE181" i="1"/>
  <c r="AE182" i="1"/>
  <c r="AE183" i="1"/>
  <c r="AE72" i="1"/>
  <c r="AE73" i="1"/>
  <c r="AE74" i="1"/>
  <c r="AE184" i="1"/>
  <c r="AE185" i="1"/>
  <c r="AE76" i="1"/>
  <c r="AE77" i="1"/>
  <c r="AE82" i="1"/>
  <c r="AE71" i="1"/>
  <c r="AE187" i="1"/>
  <c r="AE85" i="1"/>
  <c r="AE86" i="1"/>
  <c r="AE87" i="1"/>
  <c r="AE188" i="1"/>
  <c r="AE189" i="1"/>
  <c r="AE88" i="1"/>
  <c r="AE89" i="1"/>
  <c r="AE90" i="1"/>
  <c r="AE91" i="1"/>
  <c r="AE92" i="1"/>
  <c r="AE93" i="1"/>
  <c r="AE190" i="1"/>
  <c r="AE94" i="1"/>
  <c r="AE191" i="1"/>
  <c r="AE192" i="1"/>
  <c r="AE95" i="1"/>
  <c r="AE97" i="1"/>
  <c r="AE177" i="1"/>
  <c r="AE193" i="1"/>
  <c r="AE98" i="1"/>
  <c r="AE99" i="1"/>
  <c r="AE100" i="1"/>
  <c r="AE101" i="1"/>
  <c r="AE194" i="1"/>
  <c r="AE195" i="1"/>
  <c r="AE102" i="1"/>
  <c r="AE106" i="1"/>
  <c r="AE109" i="1"/>
  <c r="AE110" i="1"/>
  <c r="AE111" i="1"/>
  <c r="AE112" i="1"/>
  <c r="AE196" i="1"/>
  <c r="AE197" i="1"/>
  <c r="AE113" i="1"/>
  <c r="AE198" i="1"/>
  <c r="AE199" i="1"/>
  <c r="AE207" i="1"/>
  <c r="AE214" i="1"/>
  <c r="AE215" i="1"/>
  <c r="AE216" i="1"/>
  <c r="AE200" i="1"/>
  <c r="AE201" i="1"/>
  <c r="AE202" i="1"/>
  <c r="AE203" i="1"/>
  <c r="AE204" i="1"/>
  <c r="AE205" i="1"/>
  <c r="AE206" i="1"/>
  <c r="AE217" i="1"/>
  <c r="AE208" i="1"/>
  <c r="AE209" i="1"/>
  <c r="AE210" i="1"/>
  <c r="AE211" i="1"/>
  <c r="AE212" i="1"/>
  <c r="AE213" i="1"/>
  <c r="AE218" i="1"/>
  <c r="AE219" i="1"/>
  <c r="AE220" i="1"/>
  <c r="AE221" i="1"/>
  <c r="AE222" i="1"/>
  <c r="AE223" i="1"/>
  <c r="AE224" i="1"/>
  <c r="AE70" i="1"/>
  <c r="AE240" i="1"/>
  <c r="AE226" i="1"/>
  <c r="AE227" i="1"/>
  <c r="AE230" i="1"/>
  <c r="AE229" i="1"/>
  <c r="AE115" i="1"/>
  <c r="AE148" i="1"/>
  <c r="AE231" i="1"/>
  <c r="AE138" i="1"/>
  <c r="AE232" i="1"/>
  <c r="AE233" i="1"/>
  <c r="AE242" i="1"/>
  <c r="AE235" i="1"/>
  <c r="AE114" i="1"/>
  <c r="AE236" i="1"/>
  <c r="AE157" i="1"/>
  <c r="AE238" i="1"/>
  <c r="AE239" i="1"/>
  <c r="AE234" i="1"/>
  <c r="AE241" i="1"/>
  <c r="AE159"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E313" i="1"/>
  <c r="AE314" i="1"/>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AN2" i="1" l="1"/>
  <c r="F7" i="16"/>
  <c r="G7" i="16" s="1"/>
  <c r="F18" i="16"/>
  <c r="G18" i="16" s="1"/>
  <c r="F38" i="16"/>
  <c r="G38" i="16" s="1"/>
  <c r="F8" i="16"/>
  <c r="G8" i="16" s="1"/>
  <c r="F19" i="16"/>
  <c r="G19" i="16" s="1"/>
  <c r="F41" i="16"/>
  <c r="G41" i="16" s="1"/>
  <c r="K9" i="16"/>
  <c r="L9" i="16" s="1"/>
  <c r="F9" i="16"/>
  <c r="F20" i="16"/>
  <c r="G20" i="16" s="1"/>
  <c r="F47" i="16"/>
  <c r="G47" i="16" s="1"/>
  <c r="F5" i="16"/>
  <c r="G5" i="16" s="1"/>
  <c r="F10" i="16"/>
  <c r="G10" i="16" s="1"/>
  <c r="F24" i="16"/>
  <c r="G24" i="16" s="1"/>
  <c r="F48" i="16"/>
  <c r="G48" i="16" s="1"/>
  <c r="F11" i="16"/>
  <c r="G11" i="16" s="1"/>
  <c r="F25" i="16"/>
  <c r="G25" i="16" s="1"/>
  <c r="F49" i="16"/>
  <c r="G49" i="16" s="1"/>
  <c r="F45" i="16"/>
  <c r="G45" i="16" s="1"/>
  <c r="F12" i="16"/>
  <c r="G12" i="16" s="1"/>
  <c r="F26" i="16"/>
  <c r="G26" i="16" s="1"/>
  <c r="F2" i="16"/>
  <c r="G2" i="16" s="1"/>
  <c r="F16" i="16"/>
  <c r="G16" i="16" s="1"/>
  <c r="F27" i="16"/>
  <c r="G27" i="16" s="1"/>
  <c r="F46" i="16"/>
  <c r="G46" i="16" s="1"/>
  <c r="F6" i="16"/>
  <c r="G6" i="16" s="1"/>
  <c r="F17" i="16"/>
  <c r="G17" i="16" s="1"/>
  <c r="F36" i="16"/>
  <c r="G36" i="16" s="1"/>
  <c r="AB164" i="1"/>
  <c r="AK164" i="1" s="1"/>
  <c r="AA122" i="1"/>
  <c r="E3" i="16"/>
  <c r="K19" i="16"/>
  <c r="L19" i="16" s="1"/>
  <c r="AB188" i="1"/>
  <c r="AK188" i="1" s="1"/>
  <c r="AA117" i="1"/>
  <c r="AA155" i="1"/>
  <c r="AA60" i="1"/>
  <c r="AA147" i="1"/>
  <c r="AA142" i="1"/>
  <c r="AA136" i="1"/>
  <c r="AA127" i="1"/>
  <c r="AA61" i="1"/>
  <c r="AA53" i="1"/>
  <c r="AA45" i="1"/>
  <c r="AA37" i="1"/>
  <c r="AA29" i="1"/>
  <c r="AA21" i="1"/>
  <c r="AA13" i="1"/>
  <c r="AA5" i="1"/>
  <c r="AA162" i="1"/>
  <c r="E35" i="16"/>
  <c r="E31" i="16"/>
  <c r="E15" i="16"/>
  <c r="E30" i="16"/>
  <c r="E40" i="16"/>
  <c r="K27" i="16"/>
  <c r="L27" i="16" s="1"/>
  <c r="E33" i="16"/>
  <c r="E32" i="16"/>
  <c r="E39" i="16"/>
  <c r="K12" i="16"/>
  <c r="L12" i="16" s="1"/>
  <c r="K20" i="16"/>
  <c r="L20" i="16" s="1"/>
  <c r="K36" i="16"/>
  <c r="L36" i="16" s="1"/>
  <c r="E42" i="16"/>
  <c r="K11" i="16"/>
  <c r="L11" i="16" s="1"/>
  <c r="E34" i="16"/>
  <c r="E22" i="16"/>
  <c r="E44" i="16"/>
  <c r="E28" i="16"/>
  <c r="E13" i="16"/>
  <c r="E43" i="16"/>
  <c r="E37" i="16"/>
  <c r="E29" i="16"/>
  <c r="E21" i="16"/>
  <c r="P3" i="16"/>
  <c r="E23" i="16"/>
  <c r="E14" i="16"/>
  <c r="E4" i="16"/>
  <c r="K5" i="16"/>
  <c r="L5" i="16" s="1"/>
  <c r="K45" i="16"/>
  <c r="L45" i="16" s="1"/>
  <c r="J3" i="16"/>
  <c r="J11" i="16"/>
  <c r="J19" i="16"/>
  <c r="J27" i="16"/>
  <c r="J35" i="16"/>
  <c r="J43" i="16"/>
  <c r="K6" i="16"/>
  <c r="L6" i="16" s="1"/>
  <c r="K38" i="16"/>
  <c r="L38" i="16" s="1"/>
  <c r="K46" i="16"/>
  <c r="L46" i="16" s="1"/>
  <c r="J4" i="16"/>
  <c r="J12" i="16"/>
  <c r="J20" i="16"/>
  <c r="J28" i="16"/>
  <c r="J36" i="16"/>
  <c r="J44" i="16"/>
  <c r="K7" i="16"/>
  <c r="L7" i="16" s="1"/>
  <c r="K47" i="16"/>
  <c r="L47" i="16" s="1"/>
  <c r="K8" i="16"/>
  <c r="L8" i="16" s="1"/>
  <c r="K16" i="16"/>
  <c r="L16" i="16" s="1"/>
  <c r="K24" i="16"/>
  <c r="L24" i="16" s="1"/>
  <c r="K48" i="16"/>
  <c r="L48" i="16" s="1"/>
  <c r="K17" i="16"/>
  <c r="L17" i="16" s="1"/>
  <c r="K25" i="16"/>
  <c r="L25" i="16" s="1"/>
  <c r="K41" i="16"/>
  <c r="L41" i="16" s="1"/>
  <c r="K49" i="16"/>
  <c r="L49" i="16" s="1"/>
  <c r="K2" i="16"/>
  <c r="L2" i="16" s="1"/>
  <c r="K10" i="16"/>
  <c r="L10" i="16" s="1"/>
  <c r="K18" i="16"/>
  <c r="L18" i="16" s="1"/>
  <c r="K26" i="16"/>
  <c r="L26" i="16" s="1"/>
  <c r="E50" i="16"/>
  <c r="AA309" i="1"/>
  <c r="AA301" i="1"/>
  <c r="AA293" i="1"/>
  <c r="AA285" i="1"/>
  <c r="AA277" i="1"/>
  <c r="AA269" i="1"/>
  <c r="AA261" i="1"/>
  <c r="AA253" i="1"/>
  <c r="AA245" i="1"/>
  <c r="AA157" i="1"/>
  <c r="AA231" i="1"/>
  <c r="AA213" i="1"/>
  <c r="AA205" i="1"/>
  <c r="AA214" i="1"/>
  <c r="AA111" i="1"/>
  <c r="AA100" i="1"/>
  <c r="AA191" i="1"/>
  <c r="AA88" i="1"/>
  <c r="AA82" i="1"/>
  <c r="AA183" i="1"/>
  <c r="AA174" i="1"/>
  <c r="AA168" i="1"/>
  <c r="G58" i="16"/>
  <c r="AA311" i="1"/>
  <c r="AA303" i="1"/>
  <c r="AA295" i="1"/>
  <c r="AA287" i="1"/>
  <c r="AA279" i="1"/>
  <c r="AA271" i="1"/>
  <c r="AA263" i="1"/>
  <c r="AA255" i="1"/>
  <c r="AA247" i="1"/>
  <c r="AA239" i="1"/>
  <c r="AA232" i="1"/>
  <c r="AA226" i="1"/>
  <c r="AA219" i="1"/>
  <c r="AA217" i="1"/>
  <c r="AA216" i="1"/>
  <c r="AA196" i="1"/>
  <c r="AA194" i="1"/>
  <c r="AA95" i="1"/>
  <c r="AA90" i="1"/>
  <c r="AA187" i="1"/>
  <c r="AA73" i="1"/>
  <c r="AA176" i="1"/>
  <c r="AA169" i="1"/>
  <c r="AA164" i="1"/>
  <c r="AA160" i="1"/>
  <c r="AA65" i="1"/>
  <c r="AA103" i="1"/>
  <c r="AA149" i="1"/>
  <c r="AA141" i="1"/>
  <c r="AA79" i="1"/>
  <c r="AA129" i="1"/>
  <c r="AA63" i="1"/>
  <c r="AA55" i="1"/>
  <c r="AA47" i="1"/>
  <c r="AA39" i="1"/>
  <c r="AA31" i="1"/>
  <c r="AA23" i="1"/>
  <c r="AA15" i="1"/>
  <c r="AA7" i="1"/>
  <c r="AA307" i="1"/>
  <c r="AA299" i="1"/>
  <c r="AA291" i="1"/>
  <c r="AA283" i="1"/>
  <c r="AA275" i="1"/>
  <c r="AA267" i="1"/>
  <c r="AA259" i="1"/>
  <c r="AA251" i="1"/>
  <c r="AA243" i="1"/>
  <c r="AA114" i="1"/>
  <c r="AA115" i="1"/>
  <c r="AA223" i="1"/>
  <c r="AA211" i="1"/>
  <c r="AA203" i="1"/>
  <c r="AA199" i="1"/>
  <c r="AA109" i="1"/>
  <c r="AA98" i="1"/>
  <c r="AA190" i="1"/>
  <c r="AA188" i="1"/>
  <c r="AA76" i="1"/>
  <c r="AA181" i="1"/>
  <c r="AA139" i="1"/>
  <c r="AA225" i="1"/>
  <c r="AA161" i="1"/>
  <c r="AA158" i="1"/>
  <c r="AA107" i="1"/>
  <c r="AA152" i="1"/>
  <c r="AA145" i="1"/>
  <c r="AA83" i="1"/>
  <c r="AA75" i="1"/>
  <c r="AA67" i="1"/>
  <c r="AA116" i="1"/>
  <c r="AA51" i="1"/>
  <c r="AA43" i="1"/>
  <c r="AA35" i="1"/>
  <c r="AA27" i="1"/>
  <c r="AA19" i="1"/>
  <c r="AA11" i="1"/>
  <c r="AA3" i="1"/>
  <c r="AA313" i="1"/>
  <c r="AA305" i="1"/>
  <c r="AA297" i="1"/>
  <c r="AA289" i="1"/>
  <c r="AA281" i="1"/>
  <c r="AA273" i="1"/>
  <c r="AA265" i="1"/>
  <c r="AA257" i="1"/>
  <c r="AA249" i="1"/>
  <c r="AA241" i="1"/>
  <c r="AA242" i="1"/>
  <c r="AA230" i="1"/>
  <c r="AA221" i="1"/>
  <c r="AA209" i="1"/>
  <c r="AA201" i="1"/>
  <c r="AA113" i="1"/>
  <c r="AA102" i="1"/>
  <c r="AA177" i="1"/>
  <c r="AA92" i="1"/>
  <c r="AA86" i="1"/>
  <c r="AA184" i="1"/>
  <c r="AA179" i="1"/>
  <c r="AA171" i="1"/>
  <c r="AA69" i="1"/>
  <c r="AA121" i="1"/>
  <c r="AA68" i="1"/>
  <c r="AA105" i="1"/>
  <c r="AA150" i="1"/>
  <c r="AA237" i="1"/>
  <c r="AA81" i="1"/>
  <c r="AA131" i="1"/>
  <c r="AA125" i="1"/>
  <c r="AA57" i="1"/>
  <c r="AA49" i="1"/>
  <c r="AA41" i="1"/>
  <c r="AA33" i="1"/>
  <c r="AA25" i="1"/>
  <c r="AA17" i="1"/>
  <c r="AA9" i="1"/>
  <c r="AA308" i="1"/>
  <c r="AA300" i="1"/>
  <c r="AA292" i="1"/>
  <c r="AA284" i="1"/>
  <c r="AA276" i="1"/>
  <c r="AA268" i="1"/>
  <c r="AA260" i="1"/>
  <c r="AA252" i="1"/>
  <c r="AA244" i="1"/>
  <c r="AA236" i="1"/>
  <c r="AA148" i="1"/>
  <c r="AA224" i="1"/>
  <c r="AA212" i="1"/>
  <c r="AA204" i="1"/>
  <c r="AA207" i="1"/>
  <c r="AA110" i="1"/>
  <c r="AA99" i="1"/>
  <c r="AA94" i="1"/>
  <c r="AA189" i="1"/>
  <c r="AA77" i="1"/>
  <c r="AA182" i="1"/>
  <c r="AA173" i="1"/>
  <c r="AA132" i="1"/>
  <c r="AA124" i="1"/>
  <c r="AA135" i="1"/>
  <c r="AA108" i="1"/>
  <c r="AA59" i="1"/>
  <c r="AA146" i="1"/>
  <c r="AA84" i="1"/>
  <c r="AA167" i="1"/>
  <c r="AA126" i="1"/>
  <c r="AA119" i="1"/>
  <c r="AA52" i="1"/>
  <c r="AA44" i="1"/>
  <c r="AA36" i="1"/>
  <c r="AA28" i="1"/>
  <c r="AA20" i="1"/>
  <c r="AA12" i="1"/>
  <c r="AA4" i="1"/>
  <c r="AA314" i="1"/>
  <c r="AA306" i="1"/>
  <c r="AA298" i="1"/>
  <c r="AA290" i="1"/>
  <c r="AA282" i="1"/>
  <c r="AA274" i="1"/>
  <c r="AA266" i="1"/>
  <c r="AA258" i="1"/>
  <c r="AA250" i="1"/>
  <c r="AA159" i="1"/>
  <c r="AA235" i="1"/>
  <c r="AA229" i="1"/>
  <c r="AA222" i="1"/>
  <c r="AA210" i="1"/>
  <c r="AA202" i="1"/>
  <c r="AA198" i="1"/>
  <c r="AA106" i="1"/>
  <c r="AA193" i="1"/>
  <c r="AA93" i="1"/>
  <c r="AA87" i="1"/>
  <c r="AA185" i="1"/>
  <c r="AA180" i="1"/>
  <c r="AA228" i="1"/>
  <c r="AA166" i="1"/>
  <c r="AA172" i="1"/>
  <c r="AA154" i="1"/>
  <c r="AA151" i="1"/>
  <c r="AA144" i="1"/>
  <c r="AA137" i="1"/>
  <c r="AA133" i="1"/>
  <c r="AA66" i="1"/>
  <c r="AA58" i="1"/>
  <c r="AA50" i="1"/>
  <c r="AA42" i="1"/>
  <c r="AA34" i="1"/>
  <c r="AA26" i="1"/>
  <c r="AA18" i="1"/>
  <c r="AA10" i="1"/>
  <c r="AA310" i="1"/>
  <c r="AA302" i="1"/>
  <c r="AA294" i="1"/>
  <c r="AA286" i="1"/>
  <c r="AA278" i="1"/>
  <c r="AA270" i="1"/>
  <c r="AA262" i="1"/>
  <c r="AA254" i="1"/>
  <c r="AA246" i="1"/>
  <c r="AA238" i="1"/>
  <c r="AA240" i="1"/>
  <c r="AA218" i="1"/>
  <c r="AA206" i="1"/>
  <c r="AA215" i="1"/>
  <c r="AA112" i="1"/>
  <c r="AA101" i="1"/>
  <c r="AA192" i="1"/>
  <c r="AA89" i="1"/>
  <c r="AA71" i="1"/>
  <c r="AA72" i="1"/>
  <c r="AA175" i="1"/>
  <c r="AA134" i="1"/>
  <c r="AA163" i="1"/>
  <c r="AA118" i="1"/>
  <c r="AA62" i="1"/>
  <c r="AA153" i="1"/>
  <c r="AA143" i="1"/>
  <c r="AA140" i="1"/>
  <c r="AA78" i="1"/>
  <c r="AA128" i="1"/>
  <c r="AA123" i="1"/>
  <c r="AA54" i="1"/>
  <c r="AA46" i="1"/>
  <c r="AA38" i="1"/>
  <c r="AA30" i="1"/>
  <c r="AA22" i="1"/>
  <c r="AA14" i="1"/>
  <c r="AA6" i="1"/>
  <c r="AG214" i="1"/>
  <c r="AJ214" i="1" s="1"/>
  <c r="AG309" i="1"/>
  <c r="AJ309" i="1" s="1"/>
  <c r="AG288" i="1"/>
  <c r="AJ288" i="1" s="1"/>
  <c r="AG157" i="1"/>
  <c r="AJ157" i="1" s="1"/>
  <c r="AG205" i="1"/>
  <c r="AJ205" i="1" s="1"/>
  <c r="AG213" i="1"/>
  <c r="AJ213" i="1" s="1"/>
  <c r="AG300" i="1"/>
  <c r="AJ300" i="1" s="1"/>
  <c r="AG296" i="1"/>
  <c r="AJ296" i="1" s="1"/>
  <c r="AG269" i="1"/>
  <c r="AJ269" i="1" s="1"/>
  <c r="AG261" i="1"/>
  <c r="AJ261" i="1" s="1"/>
  <c r="AG293" i="1"/>
  <c r="AJ293" i="1" s="1"/>
  <c r="AG253" i="1"/>
  <c r="AJ253" i="1" s="1"/>
  <c r="AG312" i="1"/>
  <c r="AJ312" i="1" s="1"/>
  <c r="AG292" i="1"/>
  <c r="AJ292" i="1" s="1"/>
  <c r="AG245" i="1"/>
  <c r="AJ245" i="1" s="1"/>
  <c r="AG308" i="1"/>
  <c r="AJ308" i="1" s="1"/>
  <c r="AG285" i="1"/>
  <c r="AJ285" i="1" s="1"/>
  <c r="AG231" i="1"/>
  <c r="AJ231" i="1" s="1"/>
  <c r="AG304" i="1"/>
  <c r="AJ304" i="1" s="1"/>
  <c r="AG280" i="1"/>
  <c r="AJ280" i="1" s="1"/>
  <c r="AG70" i="1"/>
  <c r="AJ70" i="1" s="1"/>
  <c r="AG3" i="1"/>
  <c r="AJ3" i="1" s="1"/>
  <c r="AG301" i="1"/>
  <c r="AJ301" i="1" s="1"/>
  <c r="AG277" i="1"/>
  <c r="AJ277" i="1" s="1"/>
  <c r="AG314" i="1"/>
  <c r="AJ314" i="1" s="1"/>
  <c r="AG306" i="1"/>
  <c r="AJ306" i="1" s="1"/>
  <c r="AG298" i="1"/>
  <c r="AJ298" i="1" s="1"/>
  <c r="AG290" i="1"/>
  <c r="AJ290" i="1" s="1"/>
  <c r="AG282" i="1"/>
  <c r="AJ282" i="1" s="1"/>
  <c r="AG274" i="1"/>
  <c r="AJ274" i="1" s="1"/>
  <c r="AG266" i="1"/>
  <c r="AJ266" i="1" s="1"/>
  <c r="AG258" i="1"/>
  <c r="AJ258" i="1" s="1"/>
  <c r="AG250" i="1"/>
  <c r="AJ250" i="1" s="1"/>
  <c r="AG159" i="1"/>
  <c r="AJ159" i="1" s="1"/>
  <c r="AG235" i="1"/>
  <c r="AJ235" i="1" s="1"/>
  <c r="AG229" i="1"/>
  <c r="AJ229" i="1" s="1"/>
  <c r="AG222" i="1"/>
  <c r="AJ222" i="1" s="1"/>
  <c r="AG210" i="1"/>
  <c r="AJ210" i="1" s="1"/>
  <c r="AG202" i="1"/>
  <c r="AJ202" i="1" s="1"/>
  <c r="AG198" i="1"/>
  <c r="AJ198" i="1" s="1"/>
  <c r="AG193" i="1"/>
  <c r="AJ193" i="1" s="1"/>
  <c r="AG93" i="1"/>
  <c r="AJ93" i="1" s="1"/>
  <c r="AG185" i="1"/>
  <c r="AJ185" i="1" s="1"/>
  <c r="AG180" i="1"/>
  <c r="AJ180" i="1" s="1"/>
  <c r="AG228" i="1"/>
  <c r="AJ228" i="1" s="1"/>
  <c r="AG166" i="1"/>
  <c r="AJ166" i="1" s="1"/>
  <c r="AG122" i="1"/>
  <c r="AJ122" i="1" s="1"/>
  <c r="AG172" i="1"/>
  <c r="AJ172" i="1" s="1"/>
  <c r="AG151" i="1"/>
  <c r="AJ151" i="1" s="1"/>
  <c r="AG144" i="1"/>
  <c r="AJ144" i="1" s="1"/>
  <c r="AG137" i="1"/>
  <c r="AJ137" i="1" s="1"/>
  <c r="AG133" i="1"/>
  <c r="AJ133" i="1" s="1"/>
  <c r="AG66" i="1"/>
  <c r="AJ66" i="1" s="1"/>
  <c r="AG58" i="1"/>
  <c r="AJ58" i="1" s="1"/>
  <c r="AG50" i="1"/>
  <c r="AJ50" i="1" s="1"/>
  <c r="AG42" i="1"/>
  <c r="AJ42" i="1" s="1"/>
  <c r="AG34" i="1"/>
  <c r="AJ34" i="1" s="1"/>
  <c r="AG26" i="1"/>
  <c r="AJ26" i="1" s="1"/>
  <c r="AG18" i="1"/>
  <c r="AJ18" i="1" s="1"/>
  <c r="AG10" i="1"/>
  <c r="AJ10" i="1" s="1"/>
  <c r="AG313" i="1"/>
  <c r="AJ313" i="1" s="1"/>
  <c r="AG305" i="1"/>
  <c r="AJ305" i="1" s="1"/>
  <c r="AG297" i="1"/>
  <c r="AJ297" i="1" s="1"/>
  <c r="AG289" i="1"/>
  <c r="AJ289" i="1" s="1"/>
  <c r="AG281" i="1"/>
  <c r="AJ281" i="1" s="1"/>
  <c r="AG273" i="1"/>
  <c r="AJ273" i="1" s="1"/>
  <c r="AG265" i="1"/>
  <c r="AJ265" i="1" s="1"/>
  <c r="AG257" i="1"/>
  <c r="AJ257" i="1" s="1"/>
  <c r="AG249" i="1"/>
  <c r="AJ249" i="1" s="1"/>
  <c r="AG241" i="1"/>
  <c r="AJ241" i="1" s="1"/>
  <c r="AG242" i="1"/>
  <c r="AJ242" i="1" s="1"/>
  <c r="AG230" i="1"/>
  <c r="AJ230" i="1" s="1"/>
  <c r="AG221" i="1"/>
  <c r="AJ221" i="1" s="1"/>
  <c r="AG209" i="1"/>
  <c r="AJ209" i="1" s="1"/>
  <c r="AG201" i="1"/>
  <c r="AJ201" i="1" s="1"/>
  <c r="AG113" i="1"/>
  <c r="AJ113" i="1" s="1"/>
  <c r="AG102" i="1"/>
  <c r="AJ102" i="1" s="1"/>
  <c r="AG177" i="1"/>
  <c r="AJ177" i="1" s="1"/>
  <c r="AG92" i="1"/>
  <c r="AJ92" i="1" s="1"/>
  <c r="AG86" i="1"/>
  <c r="AJ86" i="1" s="1"/>
  <c r="AG184" i="1"/>
  <c r="AJ184" i="1" s="1"/>
  <c r="AG179" i="1"/>
  <c r="AJ179" i="1" s="1"/>
  <c r="AG171" i="1"/>
  <c r="AJ171" i="1" s="1"/>
  <c r="AG69" i="1"/>
  <c r="AJ69" i="1" s="1"/>
  <c r="AG121" i="1"/>
  <c r="AJ121" i="1" s="1"/>
  <c r="AG68" i="1"/>
  <c r="AJ68" i="1" s="1"/>
  <c r="AG105" i="1"/>
  <c r="AJ105" i="1" s="1"/>
  <c r="AG150" i="1"/>
  <c r="AJ150" i="1" s="1"/>
  <c r="AG237" i="1"/>
  <c r="AJ237" i="1" s="1"/>
  <c r="AG81" i="1"/>
  <c r="AJ81" i="1" s="1"/>
  <c r="AG131" i="1"/>
  <c r="AJ131" i="1" s="1"/>
  <c r="AG57" i="1"/>
  <c r="AJ57" i="1" s="1"/>
  <c r="AG49" i="1"/>
  <c r="AJ49" i="1" s="1"/>
  <c r="AG41" i="1"/>
  <c r="AJ41" i="1" s="1"/>
  <c r="AG33" i="1"/>
  <c r="AJ33" i="1" s="1"/>
  <c r="AG25" i="1"/>
  <c r="AJ25" i="1" s="1"/>
  <c r="AG17" i="1"/>
  <c r="AJ17" i="1" s="1"/>
  <c r="AG9" i="1"/>
  <c r="AJ9" i="1" s="1"/>
  <c r="AG272" i="1"/>
  <c r="AJ272" i="1" s="1"/>
  <c r="AG264" i="1"/>
  <c r="AJ264" i="1" s="1"/>
  <c r="AG256" i="1"/>
  <c r="AJ256" i="1" s="1"/>
  <c r="AG248" i="1"/>
  <c r="AJ248" i="1" s="1"/>
  <c r="AG234" i="1"/>
  <c r="AJ234" i="1" s="1"/>
  <c r="AG233" i="1"/>
  <c r="AJ233" i="1" s="1"/>
  <c r="AG227" i="1"/>
  <c r="AJ227" i="1" s="1"/>
  <c r="AG220" i="1"/>
  <c r="AJ220" i="1" s="1"/>
  <c r="AG208" i="1"/>
  <c r="AJ208" i="1" s="1"/>
  <c r="AG200" i="1"/>
  <c r="AJ200" i="1" s="1"/>
  <c r="AG197" i="1"/>
  <c r="AJ197" i="1" s="1"/>
  <c r="AG195" i="1"/>
  <c r="AJ195" i="1" s="1"/>
  <c r="AG97" i="1"/>
  <c r="AJ97" i="1" s="1"/>
  <c r="AG91" i="1"/>
  <c r="AJ91" i="1" s="1"/>
  <c r="AG85" i="1"/>
  <c r="AJ85" i="1" s="1"/>
  <c r="AG74" i="1"/>
  <c r="AJ74" i="1" s="1"/>
  <c r="AG178" i="1"/>
  <c r="AJ178" i="1" s="1"/>
  <c r="AG170" i="1"/>
  <c r="AJ170" i="1" s="1"/>
  <c r="AG165" i="1"/>
  <c r="AJ165" i="1" s="1"/>
  <c r="AG120" i="1"/>
  <c r="AJ120" i="1" s="1"/>
  <c r="AG156" i="1"/>
  <c r="AJ156" i="1" s="1"/>
  <c r="AG104" i="1"/>
  <c r="AJ104" i="1" s="1"/>
  <c r="AG96" i="1"/>
  <c r="AJ96" i="1" s="1"/>
  <c r="AG186" i="1"/>
  <c r="AJ186" i="1" s="1"/>
  <c r="AG80" i="1"/>
  <c r="AJ80" i="1" s="1"/>
  <c r="AG130" i="1"/>
  <c r="AJ130" i="1" s="1"/>
  <c r="AG56" i="1"/>
  <c r="AJ56" i="1" s="1"/>
  <c r="AG48" i="1"/>
  <c r="AJ48" i="1" s="1"/>
  <c r="AG40" i="1"/>
  <c r="AJ40" i="1" s="1"/>
  <c r="AG32" i="1"/>
  <c r="AJ32" i="1" s="1"/>
  <c r="AG24" i="1"/>
  <c r="AJ24" i="1" s="1"/>
  <c r="AG16" i="1"/>
  <c r="AJ16" i="1" s="1"/>
  <c r="AG8" i="1"/>
  <c r="AJ8" i="1" s="1"/>
  <c r="AG311" i="1"/>
  <c r="AJ311" i="1" s="1"/>
  <c r="AG303" i="1"/>
  <c r="AJ303" i="1" s="1"/>
  <c r="AG295" i="1"/>
  <c r="AJ295" i="1" s="1"/>
  <c r="AG287" i="1"/>
  <c r="AJ287" i="1" s="1"/>
  <c r="AG279" i="1"/>
  <c r="AJ279" i="1" s="1"/>
  <c r="AG271" i="1"/>
  <c r="AJ271" i="1" s="1"/>
  <c r="AG263" i="1"/>
  <c r="AJ263" i="1" s="1"/>
  <c r="AG255" i="1"/>
  <c r="AJ255" i="1" s="1"/>
  <c r="AG247" i="1"/>
  <c r="AJ247" i="1" s="1"/>
  <c r="AG239" i="1"/>
  <c r="AJ239" i="1" s="1"/>
  <c r="AG232" i="1"/>
  <c r="AJ232" i="1" s="1"/>
  <c r="AG226" i="1"/>
  <c r="AJ226" i="1" s="1"/>
  <c r="AG219" i="1"/>
  <c r="AJ219" i="1" s="1"/>
  <c r="AG217" i="1"/>
  <c r="AJ217" i="1" s="1"/>
  <c r="AG216" i="1"/>
  <c r="AJ216" i="1" s="1"/>
  <c r="AG196" i="1"/>
  <c r="AJ196" i="1" s="1"/>
  <c r="AG194" i="1"/>
  <c r="AJ194" i="1" s="1"/>
  <c r="AG95" i="1"/>
  <c r="AJ95" i="1" s="1"/>
  <c r="AG90" i="1"/>
  <c r="AJ90" i="1" s="1"/>
  <c r="AG187" i="1"/>
  <c r="AJ187" i="1" s="1"/>
  <c r="AG73" i="1"/>
  <c r="AJ73" i="1" s="1"/>
  <c r="AG176" i="1"/>
  <c r="AJ176" i="1" s="1"/>
  <c r="AG169" i="1"/>
  <c r="AJ169" i="1" s="1"/>
  <c r="AG164" i="1"/>
  <c r="AJ164" i="1" s="1"/>
  <c r="AG160" i="1"/>
  <c r="AJ160" i="1" s="1"/>
  <c r="AG65" i="1"/>
  <c r="AJ65" i="1" s="1"/>
  <c r="AG103" i="1"/>
  <c r="AJ103" i="1" s="1"/>
  <c r="AG149" i="1"/>
  <c r="AJ149" i="1" s="1"/>
  <c r="AG141" i="1"/>
  <c r="AJ141" i="1" s="1"/>
  <c r="AG79" i="1"/>
  <c r="AJ79" i="1" s="1"/>
  <c r="AG129" i="1"/>
  <c r="AJ129" i="1" s="1"/>
  <c r="AG63" i="1"/>
  <c r="AJ63" i="1" s="1"/>
  <c r="AG55" i="1"/>
  <c r="AJ55" i="1" s="1"/>
  <c r="AG47" i="1"/>
  <c r="AJ47" i="1" s="1"/>
  <c r="AG39" i="1"/>
  <c r="AJ39" i="1" s="1"/>
  <c r="AG31" i="1"/>
  <c r="AJ31" i="1" s="1"/>
  <c r="AG23" i="1"/>
  <c r="AJ23" i="1" s="1"/>
  <c r="AG15" i="1"/>
  <c r="AJ15" i="1" s="1"/>
  <c r="AG7" i="1"/>
  <c r="AJ7" i="1" s="1"/>
  <c r="AG310" i="1"/>
  <c r="AJ310" i="1" s="1"/>
  <c r="AG302" i="1"/>
  <c r="AJ302" i="1" s="1"/>
  <c r="AG294" i="1"/>
  <c r="AJ294" i="1" s="1"/>
  <c r="AG286" i="1"/>
  <c r="AJ286" i="1" s="1"/>
  <c r="AG278" i="1"/>
  <c r="AJ278" i="1" s="1"/>
  <c r="AG270" i="1"/>
  <c r="AJ270" i="1" s="1"/>
  <c r="AG262" i="1"/>
  <c r="AJ262" i="1" s="1"/>
  <c r="AG254" i="1"/>
  <c r="AJ254" i="1" s="1"/>
  <c r="AG246" i="1"/>
  <c r="AJ246" i="1" s="1"/>
  <c r="AG238" i="1"/>
  <c r="AJ238" i="1" s="1"/>
  <c r="AG138" i="1"/>
  <c r="AJ138" i="1" s="1"/>
  <c r="AG240" i="1"/>
  <c r="AJ240" i="1" s="1"/>
  <c r="AG218" i="1"/>
  <c r="AJ218" i="1" s="1"/>
  <c r="AG206" i="1"/>
  <c r="AJ206" i="1" s="1"/>
  <c r="AG215" i="1"/>
  <c r="AJ215" i="1" s="1"/>
  <c r="AG192" i="1"/>
  <c r="AJ192" i="1" s="1"/>
  <c r="AG89" i="1"/>
  <c r="AJ89" i="1" s="1"/>
  <c r="AG71" i="1"/>
  <c r="AJ71" i="1" s="1"/>
  <c r="AG72" i="1"/>
  <c r="AJ72" i="1" s="1"/>
  <c r="AG175" i="1"/>
  <c r="AJ175" i="1" s="1"/>
  <c r="AG134" i="1"/>
  <c r="AJ134" i="1" s="1"/>
  <c r="AG163" i="1"/>
  <c r="AJ163" i="1" s="1"/>
  <c r="AG118" i="1"/>
  <c r="AJ118" i="1" s="1"/>
  <c r="AG62" i="1"/>
  <c r="AJ62" i="1" s="1"/>
  <c r="AG153" i="1"/>
  <c r="AJ153" i="1" s="1"/>
  <c r="AG140" i="1"/>
  <c r="AJ140" i="1" s="1"/>
  <c r="AG78" i="1"/>
  <c r="AJ78" i="1" s="1"/>
  <c r="AG54" i="1"/>
  <c r="AJ54" i="1" s="1"/>
  <c r="AG46" i="1"/>
  <c r="AJ46" i="1" s="1"/>
  <c r="AG38" i="1"/>
  <c r="AJ38" i="1" s="1"/>
  <c r="AG30" i="1"/>
  <c r="AJ30" i="1" s="1"/>
  <c r="AG22" i="1"/>
  <c r="AJ22" i="1" s="1"/>
  <c r="AG14" i="1"/>
  <c r="AJ14" i="1" s="1"/>
  <c r="AG6" i="1"/>
  <c r="AJ6" i="1" s="1"/>
  <c r="AG100" i="1"/>
  <c r="AJ100" i="1" s="1"/>
  <c r="AG191" i="1"/>
  <c r="AJ191" i="1" s="1"/>
  <c r="AG88" i="1"/>
  <c r="AJ88" i="1" s="1"/>
  <c r="AG82" i="1"/>
  <c r="AJ82" i="1" s="1"/>
  <c r="AG183" i="1"/>
  <c r="AJ183" i="1" s="1"/>
  <c r="AG174" i="1"/>
  <c r="AJ174" i="1" s="1"/>
  <c r="AG168" i="1"/>
  <c r="AJ168" i="1" s="1"/>
  <c r="AG162" i="1"/>
  <c r="AJ162" i="1" s="1"/>
  <c r="AG117" i="1"/>
  <c r="AJ117" i="1" s="1"/>
  <c r="AG155" i="1"/>
  <c r="AJ155" i="1" s="1"/>
  <c r="AG60" i="1"/>
  <c r="AJ60" i="1" s="1"/>
  <c r="AG147" i="1"/>
  <c r="AJ147" i="1" s="1"/>
  <c r="AG142" i="1"/>
  <c r="AJ142" i="1" s="1"/>
  <c r="AG136" i="1"/>
  <c r="AJ136" i="1" s="1"/>
  <c r="AG127" i="1"/>
  <c r="AJ127" i="1" s="1"/>
  <c r="AG61" i="1"/>
  <c r="AJ61" i="1" s="1"/>
  <c r="AG53" i="1"/>
  <c r="AJ53" i="1" s="1"/>
  <c r="AG45" i="1"/>
  <c r="AJ45" i="1" s="1"/>
  <c r="AG37" i="1"/>
  <c r="AJ37" i="1" s="1"/>
  <c r="AG29" i="1"/>
  <c r="AJ29" i="1" s="1"/>
  <c r="AG21" i="1"/>
  <c r="AJ21" i="1" s="1"/>
  <c r="AG13" i="1"/>
  <c r="AJ13" i="1" s="1"/>
  <c r="AG5" i="1"/>
  <c r="AJ5" i="1" s="1"/>
  <c r="AG284" i="1"/>
  <c r="AJ284" i="1" s="1"/>
  <c r="AG276" i="1"/>
  <c r="AJ276" i="1" s="1"/>
  <c r="AG268" i="1"/>
  <c r="AJ268" i="1" s="1"/>
  <c r="AG260" i="1"/>
  <c r="AJ260" i="1" s="1"/>
  <c r="AG252" i="1"/>
  <c r="AJ252" i="1" s="1"/>
  <c r="AG244" i="1"/>
  <c r="AJ244" i="1" s="1"/>
  <c r="AG236" i="1"/>
  <c r="AJ236" i="1" s="1"/>
  <c r="AG148" i="1"/>
  <c r="AJ148" i="1" s="1"/>
  <c r="AG224" i="1"/>
  <c r="AJ224" i="1" s="1"/>
  <c r="AG212" i="1"/>
  <c r="AJ212" i="1" s="1"/>
  <c r="AG204" i="1"/>
  <c r="AJ204" i="1" s="1"/>
  <c r="AG207" i="1"/>
  <c r="AJ207" i="1" s="1"/>
  <c r="AG110" i="1"/>
  <c r="AJ110" i="1" s="1"/>
  <c r="AG99" i="1"/>
  <c r="AJ99" i="1" s="1"/>
  <c r="AG94" i="1"/>
  <c r="AJ94" i="1" s="1"/>
  <c r="AG189" i="1"/>
  <c r="AJ189" i="1" s="1"/>
  <c r="AG77" i="1"/>
  <c r="AJ77" i="1" s="1"/>
  <c r="AG182" i="1"/>
  <c r="AJ182" i="1" s="1"/>
  <c r="AG173" i="1"/>
  <c r="AJ173" i="1" s="1"/>
  <c r="AG132" i="1"/>
  <c r="AJ132" i="1" s="1"/>
  <c r="AG124" i="1"/>
  <c r="AJ124" i="1" s="1"/>
  <c r="AG135" i="1"/>
  <c r="AJ135" i="1" s="1"/>
  <c r="AG108" i="1"/>
  <c r="AJ108" i="1" s="1"/>
  <c r="AG59" i="1"/>
  <c r="AJ59" i="1" s="1"/>
  <c r="AG146" i="1"/>
  <c r="AJ146" i="1" s="1"/>
  <c r="AG84" i="1"/>
  <c r="AJ84" i="1" s="1"/>
  <c r="AG167" i="1"/>
  <c r="AJ167" i="1" s="1"/>
  <c r="AG126" i="1"/>
  <c r="AJ126" i="1" s="1"/>
  <c r="AG52" i="1"/>
  <c r="AJ52" i="1" s="1"/>
  <c r="AG44" i="1"/>
  <c r="AJ44" i="1" s="1"/>
  <c r="AG36" i="1"/>
  <c r="AJ36" i="1" s="1"/>
  <c r="AG28" i="1"/>
  <c r="AJ28" i="1" s="1"/>
  <c r="AG20" i="1"/>
  <c r="AJ20" i="1" s="1"/>
  <c r="AG12" i="1"/>
  <c r="AJ12" i="1" s="1"/>
  <c r="AG4" i="1"/>
  <c r="AJ4" i="1" s="1"/>
  <c r="AG2" i="1"/>
  <c r="AJ2" i="1" s="1"/>
  <c r="AG307" i="1"/>
  <c r="AJ307" i="1" s="1"/>
  <c r="AG299" i="1"/>
  <c r="AJ299" i="1" s="1"/>
  <c r="AG291" i="1"/>
  <c r="AJ291" i="1" s="1"/>
  <c r="AG283" i="1"/>
  <c r="AJ283" i="1" s="1"/>
  <c r="AG275" i="1"/>
  <c r="AJ275" i="1" s="1"/>
  <c r="AG267" i="1"/>
  <c r="AJ267" i="1" s="1"/>
  <c r="AG259" i="1"/>
  <c r="AJ259" i="1" s="1"/>
  <c r="AG251" i="1"/>
  <c r="AJ251" i="1" s="1"/>
  <c r="AG243" i="1"/>
  <c r="AJ243" i="1" s="1"/>
  <c r="AG114" i="1"/>
  <c r="AJ114" i="1" s="1"/>
  <c r="AG115" i="1"/>
  <c r="AJ115" i="1" s="1"/>
  <c r="AG223" i="1"/>
  <c r="AJ223" i="1" s="1"/>
  <c r="AG211" i="1"/>
  <c r="AJ211" i="1" s="1"/>
  <c r="AG203" i="1"/>
  <c r="AJ203" i="1" s="1"/>
  <c r="AG199" i="1"/>
  <c r="AJ199" i="1" s="1"/>
  <c r="AG109" i="1"/>
  <c r="AJ109" i="1" s="1"/>
  <c r="AG98" i="1"/>
  <c r="AJ98" i="1" s="1"/>
  <c r="AG190" i="1"/>
  <c r="AJ190" i="1" s="1"/>
  <c r="AG188" i="1"/>
  <c r="AJ188" i="1" s="1"/>
  <c r="AG76" i="1"/>
  <c r="AJ76" i="1" s="1"/>
  <c r="AG181" i="1"/>
  <c r="AJ181" i="1" s="1"/>
  <c r="AG139" i="1"/>
  <c r="AJ139" i="1" s="1"/>
  <c r="AG225" i="1"/>
  <c r="AJ225" i="1" s="1"/>
  <c r="AG161" i="1"/>
  <c r="AJ161" i="1" s="1"/>
  <c r="AG158" i="1"/>
  <c r="AJ158" i="1" s="1"/>
  <c r="AG107" i="1"/>
  <c r="AJ107" i="1" s="1"/>
  <c r="AG83" i="1"/>
  <c r="AJ83" i="1" s="1"/>
  <c r="AG67" i="1"/>
  <c r="AJ67" i="1" s="1"/>
  <c r="AG51" i="1"/>
  <c r="AJ51" i="1" s="1"/>
  <c r="AG43" i="1"/>
  <c r="AJ43" i="1" s="1"/>
  <c r="AG35" i="1"/>
  <c r="AJ35" i="1" s="1"/>
  <c r="AG27" i="1"/>
  <c r="AJ27" i="1" s="1"/>
  <c r="AG19" i="1"/>
  <c r="AJ19" i="1" s="1"/>
  <c r="AG11" i="1"/>
  <c r="AJ11" i="1" s="1"/>
  <c r="AA312" i="1"/>
  <c r="AA304" i="1"/>
  <c r="AA296" i="1"/>
  <c r="AA288" i="1"/>
  <c r="AA280" i="1"/>
  <c r="AA272" i="1"/>
  <c r="AA264" i="1"/>
  <c r="AA256" i="1"/>
  <c r="AA248" i="1"/>
  <c r="AA234" i="1"/>
  <c r="AA233" i="1"/>
  <c r="AA227" i="1"/>
  <c r="AA220" i="1"/>
  <c r="AA208" i="1"/>
  <c r="AA200" i="1"/>
  <c r="AA197" i="1"/>
  <c r="AA195" i="1"/>
  <c r="AA97" i="1"/>
  <c r="AA91" i="1"/>
  <c r="AA85" i="1"/>
  <c r="AA74" i="1"/>
  <c r="AA178" i="1"/>
  <c r="AA170" i="1"/>
  <c r="AA165" i="1"/>
  <c r="AA120" i="1"/>
  <c r="AA156" i="1"/>
  <c r="AA104" i="1"/>
  <c r="AA96" i="1"/>
  <c r="AA186" i="1"/>
  <c r="AA80" i="1"/>
  <c r="AA130" i="1"/>
  <c r="AA64" i="1"/>
  <c r="AA56" i="1"/>
  <c r="AA48" i="1"/>
  <c r="AA40" i="1"/>
  <c r="AA32" i="1"/>
  <c r="AA24" i="1"/>
  <c r="AA16" i="1"/>
  <c r="AA8" i="1"/>
  <c r="AB314" i="1"/>
  <c r="AK314" i="1" s="1"/>
  <c r="AB306" i="1"/>
  <c r="AK306" i="1" s="1"/>
  <c r="AB298" i="1"/>
  <c r="AK298" i="1" s="1"/>
  <c r="AB290" i="1"/>
  <c r="AK290" i="1" s="1"/>
  <c r="AB282" i="1"/>
  <c r="AK282" i="1" s="1"/>
  <c r="AB274" i="1"/>
  <c r="AK274" i="1" s="1"/>
  <c r="AB266" i="1"/>
  <c r="AK266" i="1" s="1"/>
  <c r="AB258" i="1"/>
  <c r="AK258" i="1" s="1"/>
  <c r="AB250" i="1"/>
  <c r="AK250" i="1" s="1"/>
  <c r="AB159" i="1"/>
  <c r="AK159" i="1" s="1"/>
  <c r="AB235" i="1"/>
  <c r="AK235" i="1" s="1"/>
  <c r="AB229" i="1"/>
  <c r="AK229" i="1" s="1"/>
  <c r="AB222" i="1"/>
  <c r="AK222" i="1" s="1"/>
  <c r="AB210" i="1"/>
  <c r="AK210" i="1" s="1"/>
  <c r="AB202" i="1"/>
  <c r="AK202" i="1" s="1"/>
  <c r="AB198" i="1"/>
  <c r="AK198" i="1" s="1"/>
  <c r="AB106" i="1"/>
  <c r="AK106" i="1" s="1"/>
  <c r="AB193" i="1"/>
  <c r="AK193" i="1" s="1"/>
  <c r="AB93" i="1"/>
  <c r="AK93" i="1" s="1"/>
  <c r="AB87" i="1"/>
  <c r="AK87" i="1" s="1"/>
  <c r="AB185" i="1"/>
  <c r="AK185" i="1" s="1"/>
  <c r="AB180" i="1"/>
  <c r="AK180" i="1" s="1"/>
  <c r="AB228" i="1"/>
  <c r="AK228" i="1" s="1"/>
  <c r="AB166" i="1"/>
  <c r="AK166" i="1" s="1"/>
  <c r="AB309" i="1"/>
  <c r="AK309" i="1" s="1"/>
  <c r="AB301" i="1"/>
  <c r="AK301" i="1" s="1"/>
  <c r="AB293" i="1"/>
  <c r="AK293" i="1" s="1"/>
  <c r="AB285" i="1"/>
  <c r="AK285" i="1" s="1"/>
  <c r="AB277" i="1"/>
  <c r="AK277" i="1" s="1"/>
  <c r="AB269" i="1"/>
  <c r="AK269" i="1" s="1"/>
  <c r="AB261" i="1"/>
  <c r="AK261" i="1" s="1"/>
  <c r="AB253" i="1"/>
  <c r="AK253" i="1" s="1"/>
  <c r="AB245" i="1"/>
  <c r="AK245" i="1" s="1"/>
  <c r="AB157" i="1"/>
  <c r="AK157" i="1" s="1"/>
  <c r="AB162" i="1"/>
  <c r="AK162" i="1" s="1"/>
  <c r="AB2" i="1"/>
  <c r="AB307" i="1"/>
  <c r="AK307" i="1" s="1"/>
  <c r="AB299" i="1"/>
  <c r="AK299" i="1" s="1"/>
  <c r="AB291" i="1"/>
  <c r="AK291" i="1" s="1"/>
  <c r="AB283" i="1"/>
  <c r="AK283" i="1" s="1"/>
  <c r="AB275" i="1"/>
  <c r="AK275" i="1" s="1"/>
  <c r="AB267" i="1"/>
  <c r="AK267" i="1" s="1"/>
  <c r="AB259" i="1"/>
  <c r="AK259" i="1" s="1"/>
  <c r="AB251" i="1"/>
  <c r="AK251" i="1" s="1"/>
  <c r="AB243" i="1"/>
  <c r="AK243" i="1" s="1"/>
  <c r="AK114" i="1"/>
  <c r="AB165" i="1"/>
  <c r="AK165" i="1" s="1"/>
  <c r="AB161" i="1"/>
  <c r="AK161" i="1" s="1"/>
  <c r="AB231" i="1"/>
  <c r="AK231" i="1" s="1"/>
  <c r="AB232" i="1"/>
  <c r="AK232" i="1" s="1"/>
  <c r="AA138" i="1"/>
  <c r="AA2" i="1"/>
  <c r="F14" i="16" l="1"/>
  <c r="G14" i="16" s="1"/>
  <c r="K21" i="16"/>
  <c r="L21" i="16" s="1"/>
  <c r="F21" i="16"/>
  <c r="G21" i="16" s="1"/>
  <c r="F34" i="16"/>
  <c r="G34" i="16" s="1"/>
  <c r="F33" i="16"/>
  <c r="G33" i="16" s="1"/>
  <c r="F3" i="16"/>
  <c r="G3" i="16" s="1"/>
  <c r="K50" i="16"/>
  <c r="L50" i="16" s="1"/>
  <c r="F50" i="16"/>
  <c r="F37" i="16"/>
  <c r="G37" i="16" s="1"/>
  <c r="K42" i="16"/>
  <c r="L42" i="16" s="1"/>
  <c r="F42" i="16"/>
  <c r="G42" i="16" s="1"/>
  <c r="F40" i="16"/>
  <c r="G40" i="16" s="1"/>
  <c r="F29" i="16"/>
  <c r="G29" i="16" s="1"/>
  <c r="F43" i="16"/>
  <c r="G43" i="16" s="1"/>
  <c r="F30" i="16"/>
  <c r="G30" i="16" s="1"/>
  <c r="F4" i="16"/>
  <c r="G4" i="16" s="1"/>
  <c r="K13" i="16"/>
  <c r="L13" i="16" s="1"/>
  <c r="F13" i="16"/>
  <c r="G13" i="16" s="1"/>
  <c r="F15" i="16"/>
  <c r="G15" i="16" s="1"/>
  <c r="F31" i="16"/>
  <c r="G31" i="16" s="1"/>
  <c r="K28" i="16"/>
  <c r="L28" i="16" s="1"/>
  <c r="F28" i="16"/>
  <c r="G28" i="16" s="1"/>
  <c r="F44" i="16"/>
  <c r="G44" i="16" s="1"/>
  <c r="F39" i="16"/>
  <c r="G39" i="16" s="1"/>
  <c r="F35" i="16"/>
  <c r="G35" i="16" s="1"/>
  <c r="F23" i="16"/>
  <c r="G23" i="16" s="1"/>
  <c r="F22" i="16"/>
  <c r="G22" i="16" s="1"/>
  <c r="F32" i="16"/>
  <c r="G32" i="16" s="1"/>
  <c r="K31" i="16"/>
  <c r="L31" i="16" s="1"/>
  <c r="K33" i="16"/>
  <c r="L33" i="16" s="1"/>
  <c r="K15" i="16"/>
  <c r="L15" i="16" s="1"/>
  <c r="K35" i="16"/>
  <c r="L35" i="16" s="1"/>
  <c r="K30" i="16"/>
  <c r="L30" i="16" s="1"/>
  <c r="K40" i="16"/>
  <c r="L40" i="16" s="1"/>
  <c r="K32" i="16"/>
  <c r="L32" i="16" s="1"/>
  <c r="K39" i="16"/>
  <c r="L39" i="16" s="1"/>
  <c r="K34" i="16"/>
  <c r="L34" i="16" s="1"/>
  <c r="K44" i="16"/>
  <c r="L44" i="16" s="1"/>
  <c r="K22" i="16"/>
  <c r="L22" i="16" s="1"/>
  <c r="K23" i="16"/>
  <c r="L23" i="16" s="1"/>
  <c r="K14" i="16"/>
  <c r="K37" i="16"/>
  <c r="L37" i="16" s="1"/>
  <c r="K43" i="16"/>
  <c r="L43" i="16" s="1"/>
  <c r="K4" i="16"/>
  <c r="L4" i="16" s="1"/>
  <c r="P4" i="16"/>
  <c r="K3" i="16"/>
  <c r="L3" i="16" s="1"/>
  <c r="P6" i="16"/>
  <c r="P5" i="16"/>
  <c r="K29" i="16"/>
  <c r="L29" i="16" s="1"/>
  <c r="P2" i="16"/>
  <c r="P7" i="16"/>
  <c r="Q3" i="16"/>
  <c r="G9" i="16"/>
  <c r="G57" i="16"/>
  <c r="AO2" i="1"/>
  <c r="D3" i="5"/>
  <c r="D4" i="5"/>
  <c r="AF116" i="1" s="1"/>
  <c r="D5" i="5"/>
  <c r="D6" i="5"/>
  <c r="AF128" i="1" s="1"/>
  <c r="D7" i="5"/>
  <c r="D8" i="5"/>
  <c r="D9" i="5"/>
  <c r="D10" i="5"/>
  <c r="D13" i="5"/>
  <c r="D14" i="5"/>
  <c r="D15" i="5"/>
  <c r="D16" i="5"/>
  <c r="D17" i="5"/>
  <c r="D18" i="5"/>
  <c r="D19" i="5"/>
  <c r="D23" i="5"/>
  <c r="D24" i="5"/>
  <c r="D25" i="5"/>
  <c r="D26" i="5"/>
  <c r="D27" i="5"/>
  <c r="D28" i="5"/>
  <c r="D29" i="5"/>
  <c r="D30" i="5"/>
  <c r="D35" i="5"/>
  <c r="D36" i="5"/>
  <c r="D37" i="5"/>
  <c r="AF165" i="1" s="1"/>
  <c r="D38" i="5"/>
  <c r="D39" i="5"/>
  <c r="D40" i="5"/>
  <c r="D41" i="5"/>
  <c r="D42" i="5"/>
  <c r="D48" i="5"/>
  <c r="D49" i="5"/>
  <c r="D50" i="5"/>
  <c r="D51" i="5"/>
  <c r="D52" i="5"/>
  <c r="D53" i="5"/>
  <c r="D54" i="5"/>
  <c r="D55" i="5"/>
  <c r="D62" i="5"/>
  <c r="D63" i="5"/>
  <c r="D64" i="5"/>
  <c r="D65" i="5"/>
  <c r="D66" i="5"/>
  <c r="D67" i="5"/>
  <c r="D68" i="5"/>
  <c r="D69" i="5"/>
  <c r="D76" i="5"/>
  <c r="D77" i="5"/>
  <c r="D78" i="5"/>
  <c r="D79" i="5"/>
  <c r="D80" i="5"/>
  <c r="D81" i="5"/>
  <c r="D82" i="5"/>
  <c r="D83" i="5"/>
  <c r="D90" i="5"/>
  <c r="D91" i="5"/>
  <c r="D92" i="5"/>
  <c r="D93" i="5"/>
  <c r="D94" i="5"/>
  <c r="D95" i="5"/>
  <c r="D96" i="5"/>
  <c r="D97" i="5"/>
  <c r="D102" i="5"/>
  <c r="D103" i="5"/>
  <c r="D104" i="5"/>
  <c r="D105" i="5"/>
  <c r="D106" i="5"/>
  <c r="D107" i="5"/>
  <c r="D108" i="5"/>
  <c r="D113" i="5"/>
  <c r="D114" i="5"/>
  <c r="D115" i="5"/>
  <c r="AF115" i="1" s="1"/>
  <c r="D116" i="5"/>
  <c r="AF71" i="1" s="1"/>
  <c r="D117" i="5"/>
  <c r="D118" i="5"/>
  <c r="D119" i="5"/>
  <c r="D123" i="5"/>
  <c r="D124" i="5"/>
  <c r="D125" i="5"/>
  <c r="D126" i="5"/>
  <c r="D127" i="5"/>
  <c r="D128" i="5"/>
  <c r="D129" i="5"/>
  <c r="D134" i="5"/>
  <c r="D135" i="5"/>
  <c r="D136" i="5"/>
  <c r="D137" i="5"/>
  <c r="D138" i="5"/>
  <c r="D139" i="5"/>
  <c r="D143" i="5"/>
  <c r="D144" i="5"/>
  <c r="D145" i="5"/>
  <c r="D146" i="5"/>
  <c r="D147" i="5"/>
  <c r="D148" i="5"/>
  <c r="D149" i="5"/>
  <c r="D153" i="5"/>
  <c r="D154" i="5"/>
  <c r="D155" i="5"/>
  <c r="D156" i="5"/>
  <c r="D157" i="5"/>
  <c r="D158" i="5"/>
  <c r="D159" i="5"/>
  <c r="D162" i="5"/>
  <c r="D163" i="5"/>
  <c r="D164" i="5"/>
  <c r="D165" i="5"/>
  <c r="D166" i="5"/>
  <c r="D169" i="5"/>
  <c r="D170" i="5"/>
  <c r="D171" i="5"/>
  <c r="D172" i="5"/>
  <c r="D173" i="5"/>
  <c r="D177" i="5"/>
  <c r="D178" i="5"/>
  <c r="D179" i="5"/>
  <c r="D180" i="5"/>
  <c r="D181" i="5"/>
  <c r="D186" i="5"/>
  <c r="D187" i="5"/>
  <c r="D188" i="5"/>
  <c r="D189" i="5"/>
  <c r="D190" i="5"/>
  <c r="D191" i="5"/>
  <c r="D192" i="5"/>
  <c r="D193" i="5"/>
  <c r="D197" i="5"/>
  <c r="D198" i="5"/>
  <c r="D199" i="5"/>
  <c r="D200" i="5"/>
  <c r="D201" i="5"/>
  <c r="D204" i="5"/>
  <c r="D205" i="5"/>
  <c r="D206" i="5"/>
  <c r="D207" i="5"/>
  <c r="D208" i="5"/>
  <c r="D211" i="5"/>
  <c r="D212" i="5"/>
  <c r="D213" i="5"/>
  <c r="D214" i="5"/>
  <c r="D215"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AF222" i="1" s="1"/>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9"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2" i="5"/>
  <c r="K3" i="1"/>
  <c r="L3" i="1" s="1"/>
  <c r="T3" i="1" s="1"/>
  <c r="K4" i="1"/>
  <c r="K5" i="1"/>
  <c r="AN5" i="1" s="1"/>
  <c r="K6" i="1"/>
  <c r="AN6" i="1" s="1"/>
  <c r="K7" i="1"/>
  <c r="AN7" i="1" s="1"/>
  <c r="K8" i="1"/>
  <c r="K9" i="1"/>
  <c r="K10" i="1"/>
  <c r="K11" i="1"/>
  <c r="K12" i="1"/>
  <c r="K13" i="1"/>
  <c r="AN13" i="1" s="1"/>
  <c r="K14" i="1"/>
  <c r="AN14" i="1" s="1"/>
  <c r="K15" i="1"/>
  <c r="K16" i="1"/>
  <c r="K17" i="1"/>
  <c r="AN17" i="1" s="1"/>
  <c r="K18" i="1"/>
  <c r="K19" i="1"/>
  <c r="AN19" i="1" s="1"/>
  <c r="K20" i="1"/>
  <c r="K21" i="1"/>
  <c r="AN21" i="1" s="1"/>
  <c r="K22" i="1"/>
  <c r="AN22" i="1" s="1"/>
  <c r="K23" i="1"/>
  <c r="AN23" i="1" s="1"/>
  <c r="K24" i="1"/>
  <c r="AN24" i="1" s="1"/>
  <c r="K25" i="1"/>
  <c r="K26" i="1"/>
  <c r="K27" i="1"/>
  <c r="AN27" i="1" s="1"/>
  <c r="K28" i="1"/>
  <c r="K29" i="1"/>
  <c r="AN29" i="1" s="1"/>
  <c r="K30" i="1"/>
  <c r="AN30" i="1" s="1"/>
  <c r="K31" i="1"/>
  <c r="K32" i="1"/>
  <c r="K33" i="1"/>
  <c r="K34" i="1"/>
  <c r="K35" i="1"/>
  <c r="L35" i="1" s="1"/>
  <c r="T35" i="1" s="1"/>
  <c r="K36" i="1"/>
  <c r="K37" i="1"/>
  <c r="AN37" i="1" s="1"/>
  <c r="K38" i="1"/>
  <c r="AN38" i="1" s="1"/>
  <c r="K39" i="1"/>
  <c r="K40" i="1"/>
  <c r="K41" i="1"/>
  <c r="K42" i="1"/>
  <c r="K43" i="1"/>
  <c r="K44" i="1"/>
  <c r="K45" i="1"/>
  <c r="AN45" i="1" s="1"/>
  <c r="K46" i="1"/>
  <c r="AN46" i="1" s="1"/>
  <c r="K47" i="1"/>
  <c r="K48" i="1"/>
  <c r="K49" i="1"/>
  <c r="K50" i="1"/>
  <c r="K51" i="1"/>
  <c r="AN51" i="1" s="1"/>
  <c r="K52" i="1"/>
  <c r="K53" i="1"/>
  <c r="AN53" i="1" s="1"/>
  <c r="K54" i="1"/>
  <c r="AN54" i="1" s="1"/>
  <c r="K55" i="1"/>
  <c r="K56" i="1"/>
  <c r="K57" i="1"/>
  <c r="K58" i="1"/>
  <c r="K119" i="1"/>
  <c r="AN119" i="1" s="1"/>
  <c r="K61" i="1"/>
  <c r="K123" i="1"/>
  <c r="AN123" i="1" s="1"/>
  <c r="K63" i="1"/>
  <c r="AN63" i="1" s="1"/>
  <c r="K64" i="1"/>
  <c r="K125" i="1"/>
  <c r="AN125" i="1" s="1"/>
  <c r="K66" i="1"/>
  <c r="K67" i="1"/>
  <c r="AN67" i="1" s="1"/>
  <c r="K126" i="1"/>
  <c r="AN126" i="1" s="1"/>
  <c r="K127" i="1"/>
  <c r="AN127" i="1" s="1"/>
  <c r="K128" i="1"/>
  <c r="AN128" i="1" s="1"/>
  <c r="K129" i="1"/>
  <c r="AN129" i="1" s="1"/>
  <c r="K130" i="1"/>
  <c r="AN130" i="1" s="1"/>
  <c r="K131" i="1"/>
  <c r="AN131" i="1" s="1"/>
  <c r="K133" i="1"/>
  <c r="AN133" i="1" s="1"/>
  <c r="K75" i="1"/>
  <c r="AN75" i="1" s="1"/>
  <c r="K167" i="1"/>
  <c r="AN167" i="1" s="1"/>
  <c r="K136" i="1"/>
  <c r="K78" i="1"/>
  <c r="AN78" i="1" s="1"/>
  <c r="K79" i="1"/>
  <c r="AN79" i="1" s="1"/>
  <c r="K80" i="1"/>
  <c r="AN80" i="1" s="1"/>
  <c r="K81" i="1"/>
  <c r="AN81" i="1" s="1"/>
  <c r="K137" i="1"/>
  <c r="AN137" i="1" s="1"/>
  <c r="K83" i="1"/>
  <c r="AN83" i="1" s="1"/>
  <c r="K84" i="1"/>
  <c r="AN84" i="1" s="1"/>
  <c r="K142" i="1"/>
  <c r="AN142" i="1" s="1"/>
  <c r="K140" i="1"/>
  <c r="AN140" i="1" s="1"/>
  <c r="K141" i="1"/>
  <c r="AN141" i="1" s="1"/>
  <c r="K186" i="1"/>
  <c r="K237" i="1"/>
  <c r="AN237" i="1" s="1"/>
  <c r="K144" i="1"/>
  <c r="AN144" i="1" s="1"/>
  <c r="K145" i="1"/>
  <c r="AN145" i="1" s="1"/>
  <c r="K146" i="1"/>
  <c r="AN146" i="1" s="1"/>
  <c r="K147" i="1"/>
  <c r="AN147" i="1" s="1"/>
  <c r="K143" i="1"/>
  <c r="AN143" i="1" s="1"/>
  <c r="K149" i="1"/>
  <c r="AN149" i="1" s="1"/>
  <c r="K96" i="1"/>
  <c r="K150" i="1"/>
  <c r="AN150" i="1" s="1"/>
  <c r="K151" i="1"/>
  <c r="AN151" i="1" s="1"/>
  <c r="K152" i="1"/>
  <c r="AN152" i="1" s="1"/>
  <c r="K59" i="1"/>
  <c r="AN59" i="1" s="1"/>
  <c r="K60" i="1"/>
  <c r="AN60" i="1" s="1"/>
  <c r="K153" i="1"/>
  <c r="AN153" i="1" s="1"/>
  <c r="K103" i="1"/>
  <c r="AN103" i="1" s="1"/>
  <c r="K104" i="1"/>
  <c r="K154" i="1"/>
  <c r="AN154" i="1" s="1"/>
  <c r="K107" i="1"/>
  <c r="AN107" i="1" s="1"/>
  <c r="K108" i="1"/>
  <c r="AN108" i="1" s="1"/>
  <c r="K155" i="1"/>
  <c r="K62" i="1"/>
  <c r="AN62" i="1" s="1"/>
  <c r="K65" i="1"/>
  <c r="AN65" i="1" s="1"/>
  <c r="K156" i="1"/>
  <c r="K68" i="1"/>
  <c r="AN68" i="1" s="1"/>
  <c r="K172" i="1"/>
  <c r="AN172" i="1" s="1"/>
  <c r="K158" i="1"/>
  <c r="AN158" i="1" s="1"/>
  <c r="K135" i="1"/>
  <c r="AN135" i="1" s="1"/>
  <c r="K117" i="1"/>
  <c r="K118" i="1"/>
  <c r="AN118" i="1" s="1"/>
  <c r="K160" i="1"/>
  <c r="AN160" i="1" s="1"/>
  <c r="K120" i="1"/>
  <c r="K121" i="1"/>
  <c r="AN121" i="1" s="1"/>
  <c r="K122" i="1"/>
  <c r="K161" i="1"/>
  <c r="AN161" i="1" s="1"/>
  <c r="K124" i="1"/>
  <c r="AN124" i="1" s="1"/>
  <c r="K162" i="1"/>
  <c r="AN162" i="1" s="1"/>
  <c r="K163" i="1"/>
  <c r="AN163" i="1" s="1"/>
  <c r="K164" i="1"/>
  <c r="AN164" i="1" s="1"/>
  <c r="K165" i="1"/>
  <c r="AN165" i="1" s="1"/>
  <c r="K69" i="1"/>
  <c r="AN69" i="1" s="1"/>
  <c r="K166" i="1"/>
  <c r="AN166" i="1" s="1"/>
  <c r="K225" i="1"/>
  <c r="AN225" i="1" s="1"/>
  <c r="K132" i="1"/>
  <c r="AN132" i="1" s="1"/>
  <c r="K168" i="1"/>
  <c r="AN168" i="1" s="1"/>
  <c r="K134" i="1"/>
  <c r="AN134" i="1" s="1"/>
  <c r="K169" i="1"/>
  <c r="AN169" i="1" s="1"/>
  <c r="K170" i="1"/>
  <c r="AN170" i="1" s="1"/>
  <c r="K171" i="1"/>
  <c r="AN171" i="1" s="1"/>
  <c r="K228" i="1"/>
  <c r="AN228" i="1" s="1"/>
  <c r="K139" i="1"/>
  <c r="K173" i="1"/>
  <c r="AN173" i="1" s="1"/>
  <c r="K174" i="1"/>
  <c r="AN174" i="1" s="1"/>
  <c r="K175" i="1"/>
  <c r="AN175" i="1" s="1"/>
  <c r="K176" i="1"/>
  <c r="AN176" i="1" s="1"/>
  <c r="K178" i="1"/>
  <c r="K179" i="1"/>
  <c r="AN179" i="1" s="1"/>
  <c r="K180" i="1"/>
  <c r="AN180" i="1" s="1"/>
  <c r="K181" i="1"/>
  <c r="K182" i="1"/>
  <c r="AN182" i="1" s="1"/>
  <c r="K183" i="1"/>
  <c r="AN183" i="1" s="1"/>
  <c r="K72" i="1"/>
  <c r="AN72" i="1" s="1"/>
  <c r="K73" i="1"/>
  <c r="AN73" i="1" s="1"/>
  <c r="K74" i="1"/>
  <c r="K184" i="1"/>
  <c r="AN184" i="1" s="1"/>
  <c r="K185" i="1"/>
  <c r="AN185" i="1" s="1"/>
  <c r="K76" i="1"/>
  <c r="AN76" i="1" s="1"/>
  <c r="K77" i="1"/>
  <c r="AN77" i="1" s="1"/>
  <c r="K82" i="1"/>
  <c r="AN82" i="1" s="1"/>
  <c r="K71" i="1"/>
  <c r="AN71" i="1" s="1"/>
  <c r="K187" i="1"/>
  <c r="AN187" i="1" s="1"/>
  <c r="K85" i="1"/>
  <c r="AN85" i="1" s="1"/>
  <c r="K87" i="1"/>
  <c r="AN87" i="1" s="1"/>
  <c r="K188" i="1"/>
  <c r="AN188" i="1" s="1"/>
  <c r="K189" i="1"/>
  <c r="AN189" i="1" s="1"/>
  <c r="K88" i="1"/>
  <c r="AN88" i="1" s="1"/>
  <c r="K89" i="1"/>
  <c r="AN89" i="1" s="1"/>
  <c r="K90" i="1"/>
  <c r="AN90" i="1" s="1"/>
  <c r="K91" i="1"/>
  <c r="K92" i="1"/>
  <c r="AN92" i="1" s="1"/>
  <c r="K93" i="1"/>
  <c r="AN93" i="1" s="1"/>
  <c r="K190" i="1"/>
  <c r="AN190" i="1" s="1"/>
  <c r="K94" i="1"/>
  <c r="AN94" i="1" s="1"/>
  <c r="K191" i="1"/>
  <c r="AN191" i="1" s="1"/>
  <c r="K95" i="1"/>
  <c r="AN95" i="1" s="1"/>
  <c r="K97" i="1"/>
  <c r="AN97" i="1" s="1"/>
  <c r="K177" i="1"/>
  <c r="AN177" i="1" s="1"/>
  <c r="K193" i="1"/>
  <c r="AN193" i="1" s="1"/>
  <c r="K98" i="1"/>
  <c r="AN98" i="1" s="1"/>
  <c r="K99" i="1"/>
  <c r="AN99" i="1" s="1"/>
  <c r="K100" i="1"/>
  <c r="AN100" i="1" s="1"/>
  <c r="K101" i="1"/>
  <c r="AN101" i="1" s="1"/>
  <c r="K194" i="1"/>
  <c r="AN194" i="1" s="1"/>
  <c r="K195" i="1"/>
  <c r="K102" i="1"/>
  <c r="AN102" i="1" s="1"/>
  <c r="K106" i="1"/>
  <c r="AN106" i="1" s="1"/>
  <c r="K109" i="1"/>
  <c r="AN109" i="1" s="1"/>
  <c r="K110" i="1"/>
  <c r="K111" i="1"/>
  <c r="AN111" i="1" s="1"/>
  <c r="K112" i="1"/>
  <c r="AN112" i="1" s="1"/>
  <c r="K196" i="1"/>
  <c r="AN196" i="1" s="1"/>
  <c r="K197" i="1"/>
  <c r="AN197" i="1" s="1"/>
  <c r="K113" i="1"/>
  <c r="AN113" i="1" s="1"/>
  <c r="K198" i="1"/>
  <c r="AN198" i="1" s="1"/>
  <c r="K199" i="1"/>
  <c r="AN199" i="1" s="1"/>
  <c r="K207" i="1"/>
  <c r="AN207" i="1" s="1"/>
  <c r="K214" i="1"/>
  <c r="AN214" i="1" s="1"/>
  <c r="K215" i="1"/>
  <c r="K216" i="1"/>
  <c r="AN216" i="1" s="1"/>
  <c r="K200" i="1"/>
  <c r="AN200" i="1" s="1"/>
  <c r="K201" i="1"/>
  <c r="AN201" i="1" s="1"/>
  <c r="K202" i="1"/>
  <c r="K203" i="1"/>
  <c r="K204" i="1"/>
  <c r="AN204" i="1" s="1"/>
  <c r="K205" i="1"/>
  <c r="K206" i="1"/>
  <c r="K217" i="1"/>
  <c r="AN217" i="1" s="1"/>
  <c r="K208" i="1"/>
  <c r="AN208" i="1" s="1"/>
  <c r="K209" i="1"/>
  <c r="K210" i="1"/>
  <c r="K211" i="1"/>
  <c r="K212" i="1"/>
  <c r="K213" i="1"/>
  <c r="AN213" i="1" s="1"/>
  <c r="K218" i="1"/>
  <c r="AN218" i="1" s="1"/>
  <c r="K219" i="1"/>
  <c r="AN219" i="1" s="1"/>
  <c r="K220" i="1"/>
  <c r="AN220" i="1" s="1"/>
  <c r="K221" i="1"/>
  <c r="AN221" i="1" s="1"/>
  <c r="K222" i="1"/>
  <c r="AN222" i="1" s="1"/>
  <c r="K223" i="1"/>
  <c r="AN223" i="1" s="1"/>
  <c r="K224" i="1"/>
  <c r="AN224" i="1" s="1"/>
  <c r="K70" i="1"/>
  <c r="K240" i="1"/>
  <c r="AN240" i="1" s="1"/>
  <c r="K226" i="1"/>
  <c r="AN226" i="1" s="1"/>
  <c r="K227" i="1"/>
  <c r="AN227" i="1" s="1"/>
  <c r="K230" i="1"/>
  <c r="AN230" i="1" s="1"/>
  <c r="K229" i="1"/>
  <c r="AN229" i="1" s="1"/>
  <c r="K115" i="1"/>
  <c r="AN115" i="1" s="1"/>
  <c r="K148" i="1"/>
  <c r="AN148" i="1" s="1"/>
  <c r="K231" i="1"/>
  <c r="AN231" i="1" s="1"/>
  <c r="K138" i="1"/>
  <c r="AN138" i="1" s="1"/>
  <c r="K232" i="1"/>
  <c r="AN232" i="1" s="1"/>
  <c r="K233" i="1"/>
  <c r="AN233" i="1" s="1"/>
  <c r="K242" i="1"/>
  <c r="AN242" i="1" s="1"/>
  <c r="K235" i="1"/>
  <c r="AN235" i="1" s="1"/>
  <c r="K114" i="1"/>
  <c r="K236" i="1"/>
  <c r="AN236" i="1" s="1"/>
  <c r="K157" i="1"/>
  <c r="AN157" i="1" s="1"/>
  <c r="K238" i="1"/>
  <c r="AN238" i="1" s="1"/>
  <c r="K239" i="1"/>
  <c r="AN239" i="1" s="1"/>
  <c r="K234" i="1"/>
  <c r="AN234" i="1" s="1"/>
  <c r="K241" i="1"/>
  <c r="AN241" i="1" s="1"/>
  <c r="K159" i="1"/>
  <c r="AN159" i="1" s="1"/>
  <c r="K243" i="1"/>
  <c r="AN243" i="1" s="1"/>
  <c r="K244" i="1"/>
  <c r="AN244" i="1" s="1"/>
  <c r="K245" i="1"/>
  <c r="K246" i="1"/>
  <c r="K247" i="1"/>
  <c r="AN247" i="1" s="1"/>
  <c r="K248" i="1"/>
  <c r="AN248" i="1" s="1"/>
  <c r="K249" i="1"/>
  <c r="AN249" i="1" s="1"/>
  <c r="K250" i="1"/>
  <c r="K251" i="1"/>
  <c r="K252" i="1"/>
  <c r="AN252" i="1" s="1"/>
  <c r="K253" i="1"/>
  <c r="K254" i="1"/>
  <c r="K255" i="1"/>
  <c r="AN255" i="1" s="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AN289" i="1" s="1"/>
  <c r="K290" i="1"/>
  <c r="K291" i="1"/>
  <c r="K292" i="1"/>
  <c r="K293" i="1"/>
  <c r="K294" i="1"/>
  <c r="K295" i="1"/>
  <c r="K296" i="1"/>
  <c r="K297" i="1"/>
  <c r="K298" i="1"/>
  <c r="K299" i="1"/>
  <c r="K300" i="1"/>
  <c r="K301" i="1"/>
  <c r="K302" i="1"/>
  <c r="K303" i="1"/>
  <c r="AN303" i="1" s="1"/>
  <c r="K304" i="1"/>
  <c r="AN304" i="1" s="1"/>
  <c r="K305" i="1"/>
  <c r="K306" i="1"/>
  <c r="K307" i="1"/>
  <c r="K308" i="1"/>
  <c r="K309" i="1"/>
  <c r="K310" i="1"/>
  <c r="K311" i="1"/>
  <c r="K312" i="1"/>
  <c r="AN312" i="1" s="1"/>
  <c r="K313" i="1"/>
  <c r="AN313" i="1" s="1"/>
  <c r="K314" i="1"/>
  <c r="K116" i="1"/>
  <c r="AN116" i="1" s="1"/>
  <c r="L14" i="16" l="1"/>
  <c r="AC52" i="1"/>
  <c r="AN52" i="1"/>
  <c r="AC12" i="1"/>
  <c r="AN12" i="1"/>
  <c r="AC311" i="1"/>
  <c r="AN311" i="1"/>
  <c r="AC295" i="1"/>
  <c r="AN295" i="1"/>
  <c r="AC287" i="1"/>
  <c r="AN287" i="1"/>
  <c r="AC279" i="1"/>
  <c r="AN279" i="1"/>
  <c r="AC271" i="1"/>
  <c r="AN271" i="1"/>
  <c r="AC263" i="1"/>
  <c r="AN263" i="1"/>
  <c r="AC117" i="1"/>
  <c r="AN117" i="1"/>
  <c r="AC155" i="1"/>
  <c r="AN155" i="1"/>
  <c r="AC43" i="1"/>
  <c r="AN43" i="1"/>
  <c r="AC35" i="1"/>
  <c r="AN35" i="1"/>
  <c r="AC11" i="1"/>
  <c r="AN11" i="1"/>
  <c r="AC3" i="1"/>
  <c r="AN3" i="1"/>
  <c r="AO3" i="1" s="1"/>
  <c r="AP3" i="1" s="1"/>
  <c r="AC264" i="1"/>
  <c r="AN264" i="1"/>
  <c r="AC136" i="1"/>
  <c r="AN136" i="1"/>
  <c r="AC36" i="1"/>
  <c r="AN36" i="1"/>
  <c r="AC4" i="1"/>
  <c r="AN4" i="1"/>
  <c r="AC310" i="1"/>
  <c r="AN310" i="1"/>
  <c r="AC302" i="1"/>
  <c r="AN302" i="1"/>
  <c r="AC294" i="1"/>
  <c r="AN294" i="1"/>
  <c r="AC286" i="1"/>
  <c r="AN286" i="1"/>
  <c r="AC278" i="1"/>
  <c r="AN278" i="1"/>
  <c r="AC270" i="1"/>
  <c r="AN270" i="1"/>
  <c r="AC262" i="1"/>
  <c r="AN262" i="1"/>
  <c r="AC254" i="1"/>
  <c r="AN254" i="1"/>
  <c r="AC246" i="1"/>
  <c r="AN246" i="1"/>
  <c r="AC206" i="1"/>
  <c r="AN206" i="1"/>
  <c r="AC215" i="1"/>
  <c r="AN215" i="1"/>
  <c r="AC58" i="1"/>
  <c r="AN58" i="1"/>
  <c r="AC50" i="1"/>
  <c r="AN50" i="1"/>
  <c r="AC42" i="1"/>
  <c r="AN42" i="1"/>
  <c r="AC34" i="1"/>
  <c r="AN34" i="1"/>
  <c r="AC26" i="1"/>
  <c r="AN26" i="1"/>
  <c r="AC18" i="1"/>
  <c r="AN18" i="1"/>
  <c r="AC10" i="1"/>
  <c r="AN10" i="1"/>
  <c r="AC256" i="1"/>
  <c r="AN256" i="1"/>
  <c r="AC28" i="1"/>
  <c r="AN28" i="1"/>
  <c r="AC309" i="1"/>
  <c r="AN309" i="1"/>
  <c r="AC301" i="1"/>
  <c r="AN301" i="1"/>
  <c r="AC293" i="1"/>
  <c r="AN293" i="1"/>
  <c r="AC285" i="1"/>
  <c r="AN285" i="1"/>
  <c r="AC277" i="1"/>
  <c r="AN277" i="1"/>
  <c r="AC269" i="1"/>
  <c r="AN269" i="1"/>
  <c r="AC261" i="1"/>
  <c r="AN261" i="1"/>
  <c r="AC253" i="1"/>
  <c r="AN253" i="1"/>
  <c r="AC245" i="1"/>
  <c r="AN245" i="1"/>
  <c r="AC70" i="1"/>
  <c r="AN70" i="1"/>
  <c r="AC205" i="1"/>
  <c r="AN205" i="1"/>
  <c r="AC181" i="1"/>
  <c r="AN181" i="1"/>
  <c r="AC139" i="1"/>
  <c r="AN139" i="1"/>
  <c r="AC66" i="1"/>
  <c r="AN66" i="1"/>
  <c r="AC57" i="1"/>
  <c r="AN57" i="1"/>
  <c r="AC49" i="1"/>
  <c r="AN49" i="1"/>
  <c r="AC41" i="1"/>
  <c r="AN41" i="1"/>
  <c r="AC33" i="1"/>
  <c r="AN33" i="1"/>
  <c r="AC25" i="1"/>
  <c r="AN25" i="1"/>
  <c r="AC9" i="1"/>
  <c r="AN9" i="1"/>
  <c r="AC296" i="1"/>
  <c r="AN296" i="1"/>
  <c r="AC20" i="1"/>
  <c r="AN20" i="1"/>
  <c r="AC300" i="1"/>
  <c r="AN300" i="1"/>
  <c r="AC292" i="1"/>
  <c r="AN292" i="1"/>
  <c r="AC284" i="1"/>
  <c r="AN284" i="1"/>
  <c r="AC276" i="1"/>
  <c r="AN276" i="1"/>
  <c r="AC268" i="1"/>
  <c r="AN268" i="1"/>
  <c r="AC260" i="1"/>
  <c r="AN260" i="1"/>
  <c r="AC212" i="1"/>
  <c r="AN212" i="1"/>
  <c r="AC110" i="1"/>
  <c r="AN110" i="1"/>
  <c r="AC122" i="1"/>
  <c r="AN122" i="1"/>
  <c r="AC56" i="1"/>
  <c r="AN56" i="1"/>
  <c r="AC48" i="1"/>
  <c r="AN48" i="1"/>
  <c r="AC40" i="1"/>
  <c r="AN40" i="1"/>
  <c r="AC32" i="1"/>
  <c r="AN32" i="1"/>
  <c r="AC16" i="1"/>
  <c r="AN16" i="1"/>
  <c r="AC8" i="1"/>
  <c r="AN8" i="1"/>
  <c r="AC272" i="1"/>
  <c r="AN272" i="1"/>
  <c r="AC44" i="1"/>
  <c r="AN44" i="1"/>
  <c r="AC308" i="1"/>
  <c r="AN308" i="1"/>
  <c r="AC307" i="1"/>
  <c r="AN307" i="1"/>
  <c r="AC299" i="1"/>
  <c r="AN299" i="1"/>
  <c r="AC291" i="1"/>
  <c r="AN291" i="1"/>
  <c r="AC283" i="1"/>
  <c r="AN283" i="1"/>
  <c r="AC275" i="1"/>
  <c r="AN275" i="1"/>
  <c r="AC267" i="1"/>
  <c r="AN267" i="1"/>
  <c r="AC259" i="1"/>
  <c r="AN259" i="1"/>
  <c r="AC251" i="1"/>
  <c r="AN251" i="1"/>
  <c r="AC114" i="1"/>
  <c r="AN114" i="1"/>
  <c r="AC211" i="1"/>
  <c r="AN211" i="1"/>
  <c r="AC203" i="1"/>
  <c r="AN203" i="1"/>
  <c r="AC104" i="1"/>
  <c r="AN104" i="1"/>
  <c r="AC96" i="1"/>
  <c r="AN96" i="1"/>
  <c r="AC186" i="1"/>
  <c r="AN186" i="1"/>
  <c r="AC64" i="1"/>
  <c r="AN64" i="1"/>
  <c r="AC55" i="1"/>
  <c r="AN55" i="1"/>
  <c r="AC47" i="1"/>
  <c r="AN47" i="1"/>
  <c r="AC39" i="1"/>
  <c r="AN39" i="1"/>
  <c r="AC31" i="1"/>
  <c r="AN31" i="1"/>
  <c r="AC15" i="1"/>
  <c r="AN15" i="1"/>
  <c r="AC288" i="1"/>
  <c r="AN288" i="1"/>
  <c r="AC61" i="1"/>
  <c r="AN61" i="1"/>
  <c r="AC314" i="1"/>
  <c r="AN314" i="1"/>
  <c r="AC306" i="1"/>
  <c r="AN306" i="1"/>
  <c r="AC298" i="1"/>
  <c r="AN298" i="1"/>
  <c r="AC290" i="1"/>
  <c r="AN290" i="1"/>
  <c r="AC282" i="1"/>
  <c r="AN282" i="1"/>
  <c r="AC274" i="1"/>
  <c r="AN274" i="1"/>
  <c r="AC266" i="1"/>
  <c r="AN266" i="1"/>
  <c r="AC258" i="1"/>
  <c r="AN258" i="1"/>
  <c r="AC250" i="1"/>
  <c r="AN250" i="1"/>
  <c r="AC210" i="1"/>
  <c r="AN210" i="1"/>
  <c r="AC202" i="1"/>
  <c r="AN202" i="1"/>
  <c r="AC74" i="1"/>
  <c r="AN74" i="1"/>
  <c r="AC178" i="1"/>
  <c r="AN178" i="1"/>
  <c r="AC120" i="1"/>
  <c r="AN120" i="1"/>
  <c r="AC156" i="1"/>
  <c r="AN156" i="1"/>
  <c r="AC280" i="1"/>
  <c r="AN280" i="1"/>
  <c r="AC195" i="1"/>
  <c r="AN195" i="1"/>
  <c r="AC305" i="1"/>
  <c r="AN305" i="1"/>
  <c r="AC297" i="1"/>
  <c r="AN297" i="1"/>
  <c r="AC281" i="1"/>
  <c r="AN281" i="1"/>
  <c r="AC273" i="1"/>
  <c r="AN273" i="1"/>
  <c r="AC265" i="1"/>
  <c r="AN265" i="1"/>
  <c r="AC257" i="1"/>
  <c r="AN257" i="1"/>
  <c r="AC209" i="1"/>
  <c r="AN209" i="1"/>
  <c r="AC91" i="1"/>
  <c r="AN91" i="1"/>
  <c r="Q5" i="16"/>
  <c r="Q6" i="16"/>
  <c r="Q7" i="16"/>
  <c r="Q2" i="16"/>
  <c r="C67" i="16"/>
  <c r="D67" i="16" s="1"/>
  <c r="AP2" i="1"/>
  <c r="G50" i="16"/>
  <c r="G59" i="16"/>
  <c r="AQ2" i="1"/>
  <c r="AR2" i="1" s="1"/>
  <c r="AC17" i="1"/>
  <c r="AF144" i="1"/>
  <c r="AF151" i="1"/>
  <c r="AF172" i="1"/>
  <c r="AF67" i="1"/>
  <c r="AF83" i="1"/>
  <c r="AF158" i="1"/>
  <c r="AF161" i="1"/>
  <c r="AF126" i="1"/>
  <c r="AF167" i="1"/>
  <c r="AF84" i="1"/>
  <c r="AF59" i="1"/>
  <c r="AF135" i="1"/>
  <c r="AF124" i="1"/>
  <c r="AF173" i="1"/>
  <c r="AF77" i="1"/>
  <c r="AF94" i="1"/>
  <c r="AF175" i="1"/>
  <c r="AF86" i="1"/>
  <c r="AF113" i="1"/>
  <c r="AF313" i="1"/>
  <c r="AF228" i="1"/>
  <c r="AF61" i="1"/>
  <c r="AF127" i="1"/>
  <c r="AF142" i="1"/>
  <c r="AF60" i="1"/>
  <c r="AF162" i="1"/>
  <c r="AF174" i="1"/>
  <c r="AF191" i="1"/>
  <c r="AF100" i="1"/>
  <c r="AF157" i="1"/>
  <c r="AF102" i="1"/>
  <c r="AF193" i="1"/>
  <c r="AF225" i="1"/>
  <c r="AF78" i="1"/>
  <c r="AF153" i="1"/>
  <c r="AF118" i="1"/>
  <c r="AF163" i="1"/>
  <c r="AF63" i="1"/>
  <c r="AF79" i="1"/>
  <c r="AF141" i="1"/>
  <c r="AF149" i="1"/>
  <c r="AF164" i="1"/>
  <c r="AF169" i="1"/>
  <c r="AF176" i="1"/>
  <c r="AF187" i="1"/>
  <c r="AF95" i="1"/>
  <c r="AF194" i="1"/>
  <c r="AF196" i="1"/>
  <c r="AF217" i="1"/>
  <c r="AF170" i="1"/>
  <c r="AF85" i="1"/>
  <c r="AF195" i="1"/>
  <c r="AF197" i="1"/>
  <c r="AF220" i="1"/>
  <c r="AF312" i="1"/>
  <c r="AF184" i="1"/>
  <c r="AF76" i="1"/>
  <c r="AF223" i="1"/>
  <c r="AF130" i="1"/>
  <c r="AF80" i="1"/>
  <c r="AF186" i="1"/>
  <c r="AF104" i="1"/>
  <c r="AF81" i="1"/>
  <c r="AF237" i="1"/>
  <c r="AF150" i="1"/>
  <c r="AF105" i="1"/>
  <c r="AF69" i="1"/>
  <c r="AF185" i="1"/>
  <c r="AF154" i="1"/>
  <c r="AF110" i="1"/>
  <c r="AF136" i="1"/>
  <c r="AF155" i="1"/>
  <c r="AF123" i="1"/>
  <c r="AF62" i="1"/>
  <c r="AF65" i="1"/>
  <c r="AF152" i="1"/>
  <c r="AF119" i="1"/>
  <c r="AF99" i="1"/>
  <c r="AF112" i="1"/>
  <c r="AF198" i="1"/>
  <c r="AF199" i="1"/>
  <c r="AF111" i="1"/>
  <c r="AF214" i="1"/>
  <c r="AF190" i="1"/>
  <c r="AF233" i="1"/>
  <c r="AF106" i="1"/>
  <c r="AF64" i="1"/>
  <c r="AF72" i="1"/>
  <c r="AF171" i="1"/>
  <c r="AF180" i="1"/>
  <c r="AF140" i="1"/>
  <c r="AF129" i="1"/>
  <c r="AF73" i="1"/>
  <c r="AF178" i="1"/>
  <c r="AF74" i="1"/>
  <c r="AF125" i="1"/>
  <c r="AF240" i="1"/>
  <c r="AF221" i="1"/>
  <c r="AF218" i="1"/>
  <c r="AF224" i="1"/>
  <c r="AF148" i="1"/>
  <c r="AF147" i="1"/>
  <c r="AF219" i="1"/>
  <c r="AF226" i="1"/>
  <c r="AF303" i="1"/>
  <c r="AF227" i="1"/>
  <c r="AF230" i="1"/>
  <c r="AF131" i="1"/>
  <c r="AF146" i="1"/>
  <c r="AF168" i="1"/>
  <c r="AF183" i="1"/>
  <c r="AF143" i="1"/>
  <c r="AF87" i="1"/>
  <c r="AF96" i="1"/>
  <c r="AF75" i="1"/>
  <c r="AF98" i="1"/>
  <c r="AF93" i="1"/>
  <c r="AF88" i="1"/>
  <c r="AF89" i="1"/>
  <c r="AF92" i="1"/>
  <c r="AF90" i="1"/>
  <c r="AF91" i="1"/>
  <c r="AF97" i="1"/>
  <c r="AF133" i="1"/>
  <c r="AF137" i="1"/>
  <c r="AF166" i="1"/>
  <c r="AF189" i="1"/>
  <c r="AF188" i="1"/>
  <c r="AF82" i="1"/>
  <c r="AF156" i="1"/>
  <c r="AF109" i="1"/>
  <c r="AF145" i="1"/>
  <c r="AF182" i="1"/>
  <c r="AF192" i="1"/>
  <c r="AF286" i="1"/>
  <c r="AF179" i="1"/>
  <c r="AF101" i="1"/>
  <c r="AF160" i="1"/>
  <c r="AF68" i="1"/>
  <c r="AF181" i="1"/>
  <c r="AC289" i="1"/>
  <c r="AC241" i="1"/>
  <c r="AO113" i="1"/>
  <c r="AC113" i="1"/>
  <c r="AC171" i="1"/>
  <c r="L24" i="1"/>
  <c r="T24" i="1" s="1"/>
  <c r="AC24" i="1"/>
  <c r="AC233" i="1"/>
  <c r="L7" i="1"/>
  <c r="T7" i="1" s="1"/>
  <c r="AC7" i="1"/>
  <c r="AC303" i="1"/>
  <c r="AC255" i="1"/>
  <c r="AC247" i="1"/>
  <c r="AO239" i="1"/>
  <c r="AQ239" i="1" s="1"/>
  <c r="AR239" i="1" s="1"/>
  <c r="AC239" i="1"/>
  <c r="AC232" i="1"/>
  <c r="AC219" i="1"/>
  <c r="AO217" i="1"/>
  <c r="AQ217" i="1" s="1"/>
  <c r="AC217" i="1"/>
  <c r="AC216" i="1"/>
  <c r="AC196" i="1"/>
  <c r="AC194" i="1"/>
  <c r="AO95" i="1"/>
  <c r="AC95" i="1"/>
  <c r="AC90" i="1"/>
  <c r="AC187" i="1"/>
  <c r="AC73" i="1"/>
  <c r="AO176" i="1"/>
  <c r="AQ176" i="1" s="1"/>
  <c r="AC176" i="1"/>
  <c r="AC169" i="1"/>
  <c r="AC164" i="1"/>
  <c r="AC160" i="1"/>
  <c r="AO65" i="1"/>
  <c r="AC65" i="1"/>
  <c r="AC103" i="1"/>
  <c r="AC149" i="1"/>
  <c r="AC141" i="1"/>
  <c r="AO79" i="1"/>
  <c r="AQ79" i="1" s="1"/>
  <c r="AR79" i="1" s="1"/>
  <c r="AC79" i="1"/>
  <c r="AC129" i="1"/>
  <c r="AO63" i="1"/>
  <c r="AQ63" i="1" s="1"/>
  <c r="AR63" i="1" s="1"/>
  <c r="AC63" i="1"/>
  <c r="AC54" i="1"/>
  <c r="AO46" i="1"/>
  <c r="AP46" i="1" s="1"/>
  <c r="AC46" i="1"/>
  <c r="AC38" i="1"/>
  <c r="AC30" i="1"/>
  <c r="AC22" i="1"/>
  <c r="AO14" i="1"/>
  <c r="AP14" i="1" s="1"/>
  <c r="AC14" i="1"/>
  <c r="AC6" i="1"/>
  <c r="AC249" i="1"/>
  <c r="AC201" i="1"/>
  <c r="AO184" i="1"/>
  <c r="AQ184" i="1" s="1"/>
  <c r="AC184" i="1"/>
  <c r="AC105" i="1"/>
  <c r="AC125" i="1"/>
  <c r="AC248" i="1"/>
  <c r="AO200" i="1"/>
  <c r="AP200" i="1" s="1"/>
  <c r="AC200" i="1"/>
  <c r="AC130" i="1"/>
  <c r="L23" i="1"/>
  <c r="T23" i="1" s="1"/>
  <c r="AC23" i="1"/>
  <c r="AC238" i="1"/>
  <c r="AO138" i="1"/>
  <c r="AC138" i="1"/>
  <c r="AC240" i="1"/>
  <c r="AC218" i="1"/>
  <c r="AC112" i="1"/>
  <c r="AO101" i="1"/>
  <c r="AC101" i="1"/>
  <c r="AC192" i="1"/>
  <c r="AC89" i="1"/>
  <c r="AC71" i="1"/>
  <c r="AC72" i="1"/>
  <c r="AC175" i="1"/>
  <c r="AC134" i="1"/>
  <c r="AC163" i="1"/>
  <c r="AC118" i="1"/>
  <c r="AC62" i="1"/>
  <c r="AC153" i="1"/>
  <c r="AC143" i="1"/>
  <c r="AO140" i="1"/>
  <c r="AQ140" i="1" s="1"/>
  <c r="AC140" i="1"/>
  <c r="AC78" i="1"/>
  <c r="AC128" i="1"/>
  <c r="AC123" i="1"/>
  <c r="AC53" i="1"/>
  <c r="AC45" i="1"/>
  <c r="AC37" i="1"/>
  <c r="AC29" i="1"/>
  <c r="AC21" i="1"/>
  <c r="AC13" i="1"/>
  <c r="AC5" i="1"/>
  <c r="AC221" i="1"/>
  <c r="AC92" i="1"/>
  <c r="AC69" i="1"/>
  <c r="AC150" i="1"/>
  <c r="AC220" i="1"/>
  <c r="AC97" i="1"/>
  <c r="AC170" i="1"/>
  <c r="AC157" i="1"/>
  <c r="AC231" i="1"/>
  <c r="AC213" i="1"/>
  <c r="AC214" i="1"/>
  <c r="AC111" i="1"/>
  <c r="AC100" i="1"/>
  <c r="AC191" i="1"/>
  <c r="AC88" i="1"/>
  <c r="AC82" i="1"/>
  <c r="AC183" i="1"/>
  <c r="AC174" i="1"/>
  <c r="AC168" i="1"/>
  <c r="AC162" i="1"/>
  <c r="AC60" i="1"/>
  <c r="AC147" i="1"/>
  <c r="AC142" i="1"/>
  <c r="AC127" i="1"/>
  <c r="AO86" i="1"/>
  <c r="AP86" i="1" s="1"/>
  <c r="AC68" i="1"/>
  <c r="AC81" i="1"/>
  <c r="AC304" i="1"/>
  <c r="AC208" i="1"/>
  <c r="AC85" i="1"/>
  <c r="AO252" i="1"/>
  <c r="AP252" i="1" s="1"/>
  <c r="AC252" i="1"/>
  <c r="AC244" i="1"/>
  <c r="AC236" i="1"/>
  <c r="AC148" i="1"/>
  <c r="AC224" i="1"/>
  <c r="AC204" i="1"/>
  <c r="AC207" i="1"/>
  <c r="AC99" i="1"/>
  <c r="AO94" i="1"/>
  <c r="AC94" i="1"/>
  <c r="AC189" i="1"/>
  <c r="AC77" i="1"/>
  <c r="AC182" i="1"/>
  <c r="AC173" i="1"/>
  <c r="AC132" i="1"/>
  <c r="AC124" i="1"/>
  <c r="AC135" i="1"/>
  <c r="AC108" i="1"/>
  <c r="AC59" i="1"/>
  <c r="AC146" i="1"/>
  <c r="AC84" i="1"/>
  <c r="AC167" i="1"/>
  <c r="AC126" i="1"/>
  <c r="AC119" i="1"/>
  <c r="AC51" i="1"/>
  <c r="AC27" i="1"/>
  <c r="AC19" i="1"/>
  <c r="AC313" i="1"/>
  <c r="AC230" i="1"/>
  <c r="L177" i="1"/>
  <c r="T177" i="1" s="1"/>
  <c r="AC177" i="1"/>
  <c r="AC121" i="1"/>
  <c r="AC237" i="1"/>
  <c r="AC312" i="1"/>
  <c r="AC227" i="1"/>
  <c r="AC80" i="1"/>
  <c r="AC116" i="1"/>
  <c r="AC243" i="1"/>
  <c r="AC115" i="1"/>
  <c r="AC223" i="1"/>
  <c r="AC199" i="1"/>
  <c r="AC109" i="1"/>
  <c r="AC98" i="1"/>
  <c r="AC190" i="1"/>
  <c r="AC188" i="1"/>
  <c r="AC76" i="1"/>
  <c r="AC225" i="1"/>
  <c r="AC161" i="1"/>
  <c r="AC158" i="1"/>
  <c r="AC107" i="1"/>
  <c r="AC152" i="1"/>
  <c r="AC145" i="1"/>
  <c r="AC83" i="1"/>
  <c r="AC75" i="1"/>
  <c r="AC67" i="1"/>
  <c r="AC242" i="1"/>
  <c r="AC102" i="1"/>
  <c r="AC179" i="1"/>
  <c r="AC131" i="1"/>
  <c r="AC234" i="1"/>
  <c r="AC197" i="1"/>
  <c r="AC165" i="1"/>
  <c r="AC159" i="1"/>
  <c r="AC235" i="1"/>
  <c r="AC229" i="1"/>
  <c r="AC222" i="1"/>
  <c r="AC198" i="1"/>
  <c r="AC106" i="1"/>
  <c r="AC193" i="1"/>
  <c r="AC93" i="1"/>
  <c r="AC87" i="1"/>
  <c r="AC185" i="1"/>
  <c r="AC180" i="1"/>
  <c r="AC228" i="1"/>
  <c r="AC166" i="1"/>
  <c r="AC172" i="1"/>
  <c r="AC154" i="1"/>
  <c r="AC151" i="1"/>
  <c r="AC144" i="1"/>
  <c r="AC137" i="1"/>
  <c r="AC133" i="1"/>
  <c r="L227" i="1"/>
  <c r="T227" i="1" s="1"/>
  <c r="L170" i="1"/>
  <c r="T170" i="1" s="1"/>
  <c r="L165" i="1"/>
  <c r="T165" i="1" s="1"/>
  <c r="L80" i="1"/>
  <c r="T80" i="1" s="1"/>
  <c r="L130" i="1"/>
  <c r="T130" i="1" s="1"/>
  <c r="L184" i="1"/>
  <c r="T184" i="1" s="1"/>
  <c r="L81" i="1"/>
  <c r="T81" i="1" s="1"/>
  <c r="L195" i="1"/>
  <c r="T195" i="1" s="1"/>
  <c r="L91" i="1"/>
  <c r="T91" i="1" s="1"/>
  <c r="L74" i="1"/>
  <c r="T74" i="1" s="1"/>
  <c r="L178" i="1"/>
  <c r="T178" i="1" s="1"/>
  <c r="L156" i="1"/>
  <c r="T156" i="1" s="1"/>
  <c r="L104" i="1"/>
  <c r="T104" i="1" s="1"/>
  <c r="L96" i="1"/>
  <c r="T96" i="1" s="1"/>
  <c r="L186" i="1"/>
  <c r="T186" i="1" s="1"/>
  <c r="L64" i="1"/>
  <c r="T64" i="1" s="1"/>
  <c r="L120" i="1"/>
  <c r="T120" i="1" s="1"/>
  <c r="L15" i="1"/>
  <c r="T15" i="1" s="1"/>
  <c r="L55" i="1"/>
  <c r="T55" i="1" s="1"/>
  <c r="L47" i="1"/>
  <c r="T47" i="1" s="1"/>
  <c r="L39" i="1"/>
  <c r="T39" i="1" s="1"/>
  <c r="L31" i="1"/>
  <c r="T31" i="1" s="1"/>
  <c r="L255" i="1"/>
  <c r="T255" i="1" s="1"/>
  <c r="L247" i="1"/>
  <c r="T247" i="1" s="1"/>
  <c r="L216" i="1"/>
  <c r="T216" i="1" s="1"/>
  <c r="L65" i="1"/>
  <c r="T65" i="1" s="1"/>
  <c r="L103" i="1"/>
  <c r="T103" i="1" s="1"/>
  <c r="L54" i="1"/>
  <c r="T54" i="1" s="1"/>
  <c r="L46" i="1"/>
  <c r="T46" i="1" s="1"/>
  <c r="L38" i="1"/>
  <c r="T38" i="1" s="1"/>
  <c r="L30" i="1"/>
  <c r="T30" i="1" s="1"/>
  <c r="L22" i="1"/>
  <c r="T22" i="1" s="1"/>
  <c r="L14" i="1"/>
  <c r="T14" i="1" s="1"/>
  <c r="L6" i="1"/>
  <c r="T6" i="1" s="1"/>
  <c r="L134" i="1"/>
  <c r="T134" i="1" s="1"/>
  <c r="L62" i="1"/>
  <c r="T62" i="1" s="1"/>
  <c r="L123" i="1"/>
  <c r="T123" i="1" s="1"/>
  <c r="L53" i="1"/>
  <c r="T53" i="1" s="1"/>
  <c r="L45" i="1"/>
  <c r="T45" i="1" s="1"/>
  <c r="L37" i="1"/>
  <c r="T37" i="1" s="1"/>
  <c r="L29" i="1"/>
  <c r="T29" i="1" s="1"/>
  <c r="L21" i="1"/>
  <c r="T21" i="1" s="1"/>
  <c r="L13" i="1"/>
  <c r="T13" i="1" s="1"/>
  <c r="L5" i="1"/>
  <c r="T5" i="1" s="1"/>
  <c r="L213" i="1"/>
  <c r="T213" i="1" s="1"/>
  <c r="L252" i="1"/>
  <c r="T252" i="1" s="1"/>
  <c r="L204" i="1"/>
  <c r="T204" i="1" s="1"/>
  <c r="L207" i="1"/>
  <c r="T207" i="1" s="1"/>
  <c r="L182" i="1"/>
  <c r="T182" i="1" s="1"/>
  <c r="L119" i="1"/>
  <c r="T119" i="1" s="1"/>
  <c r="L51" i="1"/>
  <c r="T51" i="1" s="1"/>
  <c r="L27" i="1"/>
  <c r="T27" i="1" s="1"/>
  <c r="L19" i="1"/>
  <c r="T19" i="1" s="1"/>
  <c r="L249" i="1"/>
  <c r="T249" i="1" s="1"/>
  <c r="L201" i="1"/>
  <c r="T201" i="1" s="1"/>
  <c r="L179" i="1"/>
  <c r="T179" i="1" s="1"/>
  <c r="L248" i="1"/>
  <c r="T248" i="1" s="1"/>
  <c r="L208" i="1"/>
  <c r="T208" i="1" s="1"/>
  <c r="L200" i="1"/>
  <c r="T200" i="1" s="1"/>
  <c r="L97" i="1"/>
  <c r="T97" i="1" s="1"/>
  <c r="L220" i="1"/>
  <c r="T220" i="1" s="1"/>
  <c r="L85" i="1"/>
  <c r="T85" i="1" s="1"/>
  <c r="L197" i="1"/>
  <c r="T197" i="1" s="1"/>
  <c r="L233" i="1"/>
  <c r="T233" i="1" s="1"/>
  <c r="L242" i="1"/>
  <c r="T242" i="1" s="1"/>
  <c r="L149" i="1"/>
  <c r="T149" i="1" s="1"/>
  <c r="L237" i="1"/>
  <c r="T237" i="1" s="1"/>
  <c r="L95" i="1"/>
  <c r="T95" i="1" s="1"/>
  <c r="L69" i="1"/>
  <c r="T69" i="1" s="1"/>
  <c r="L183" i="1"/>
  <c r="T183" i="1" s="1"/>
  <c r="L239" i="1"/>
  <c r="T239" i="1" s="1"/>
  <c r="L226" i="1"/>
  <c r="T226" i="1" s="1"/>
  <c r="L219" i="1"/>
  <c r="T219" i="1" s="1"/>
  <c r="L217" i="1"/>
  <c r="T217" i="1" s="1"/>
  <c r="L196" i="1"/>
  <c r="T196" i="1" s="1"/>
  <c r="L194" i="1"/>
  <c r="T194" i="1" s="1"/>
  <c r="L90" i="1"/>
  <c r="T90" i="1" s="1"/>
  <c r="L187" i="1"/>
  <c r="T187" i="1" s="1"/>
  <c r="L73" i="1"/>
  <c r="T73" i="1" s="1"/>
  <c r="L176" i="1"/>
  <c r="T176" i="1" s="1"/>
  <c r="L169" i="1"/>
  <c r="T169" i="1" s="1"/>
  <c r="L160" i="1"/>
  <c r="T160" i="1" s="1"/>
  <c r="L141" i="1"/>
  <c r="T141" i="1" s="1"/>
  <c r="L79" i="1"/>
  <c r="T79" i="1" s="1"/>
  <c r="L63" i="1"/>
  <c r="T63" i="1" s="1"/>
  <c r="L192" i="1"/>
  <c r="T192" i="1" s="1"/>
  <c r="L89" i="1"/>
  <c r="T89" i="1" s="1"/>
  <c r="L71" i="1"/>
  <c r="T71" i="1" s="1"/>
  <c r="L72" i="1"/>
  <c r="T72" i="1" s="1"/>
  <c r="L175" i="1"/>
  <c r="T175" i="1" s="1"/>
  <c r="L163" i="1"/>
  <c r="T163" i="1" s="1"/>
  <c r="L118" i="1"/>
  <c r="T118" i="1" s="1"/>
  <c r="L153" i="1"/>
  <c r="T153" i="1" s="1"/>
  <c r="L143" i="1"/>
  <c r="T143" i="1" s="1"/>
  <c r="L140" i="1"/>
  <c r="T140" i="1" s="1"/>
  <c r="L78" i="1"/>
  <c r="T78" i="1" s="1"/>
  <c r="L128" i="1"/>
  <c r="T128" i="1" s="1"/>
  <c r="L142" i="1"/>
  <c r="T142" i="1" s="1"/>
  <c r="L234" i="1"/>
  <c r="T234" i="1" s="1"/>
  <c r="L164" i="1"/>
  <c r="T164" i="1" s="1"/>
  <c r="L236" i="1"/>
  <c r="T236" i="1" s="1"/>
  <c r="L148" i="1"/>
  <c r="T148" i="1" s="1"/>
  <c r="L94" i="1"/>
  <c r="T94" i="1" s="1"/>
  <c r="L189" i="1"/>
  <c r="T189" i="1" s="1"/>
  <c r="L77" i="1"/>
  <c r="T77" i="1" s="1"/>
  <c r="L173" i="1"/>
  <c r="T173" i="1" s="1"/>
  <c r="L132" i="1"/>
  <c r="T132" i="1" s="1"/>
  <c r="L135" i="1"/>
  <c r="T135" i="1" s="1"/>
  <c r="L108" i="1"/>
  <c r="T108" i="1" s="1"/>
  <c r="L59" i="1"/>
  <c r="T59" i="1" s="1"/>
  <c r="L84" i="1"/>
  <c r="T84" i="1" s="1"/>
  <c r="L126" i="1"/>
  <c r="T126" i="1" s="1"/>
  <c r="L232" i="1"/>
  <c r="T232" i="1" s="1"/>
  <c r="L129" i="1"/>
  <c r="T129" i="1" s="1"/>
  <c r="L105" i="1"/>
  <c r="T105" i="1" s="1"/>
  <c r="L125" i="1"/>
  <c r="T125" i="1" s="1"/>
  <c r="L116" i="1"/>
  <c r="T116" i="1" s="1"/>
  <c r="M307" i="1"/>
  <c r="M299" i="1"/>
  <c r="M291" i="1"/>
  <c r="M283" i="1"/>
  <c r="M275" i="1"/>
  <c r="M267" i="1"/>
  <c r="M259" i="1"/>
  <c r="M251" i="1"/>
  <c r="M243" i="1"/>
  <c r="M114" i="1"/>
  <c r="S114" i="1" s="1"/>
  <c r="U114" i="1" s="1"/>
  <c r="M115" i="1"/>
  <c r="M223" i="1"/>
  <c r="S223" i="1" s="1"/>
  <c r="U223" i="1" s="1"/>
  <c r="M211" i="1"/>
  <c r="M203" i="1"/>
  <c r="M199" i="1"/>
  <c r="M109" i="1"/>
  <c r="M98" i="1"/>
  <c r="S98" i="1" s="1"/>
  <c r="U98" i="1" s="1"/>
  <c r="M190" i="1"/>
  <c r="S190" i="1" s="1"/>
  <c r="U190" i="1" s="1"/>
  <c r="M188" i="1"/>
  <c r="M76" i="1"/>
  <c r="M181" i="1"/>
  <c r="M139" i="1"/>
  <c r="M225" i="1"/>
  <c r="M161" i="1"/>
  <c r="S161" i="1" s="1"/>
  <c r="U161" i="1" s="1"/>
  <c r="M158" i="1"/>
  <c r="S158" i="1" s="1"/>
  <c r="U158" i="1" s="1"/>
  <c r="M107" i="1"/>
  <c r="M152" i="1"/>
  <c r="S152" i="1" s="1"/>
  <c r="U152" i="1" s="1"/>
  <c r="M145" i="1"/>
  <c r="S145" i="1" s="1"/>
  <c r="U145" i="1" s="1"/>
  <c r="M83" i="1"/>
  <c r="S83" i="1" s="1"/>
  <c r="U83" i="1" s="1"/>
  <c r="M75" i="1"/>
  <c r="S75" i="1" s="1"/>
  <c r="U75" i="1" s="1"/>
  <c r="M67" i="1"/>
  <c r="S67" i="1" s="1"/>
  <c r="U67" i="1" s="1"/>
  <c r="M58" i="1"/>
  <c r="M50" i="1"/>
  <c r="M42" i="1"/>
  <c r="M34" i="1"/>
  <c r="M26" i="1"/>
  <c r="M18" i="1"/>
  <c r="M10" i="1"/>
  <c r="M2" i="1"/>
  <c r="L2" i="1"/>
  <c r="T2" i="1" s="1"/>
  <c r="L76" i="1"/>
  <c r="T76" i="1" s="1"/>
  <c r="L314" i="1"/>
  <c r="T314" i="1" s="1"/>
  <c r="M306" i="1"/>
  <c r="M298" i="1"/>
  <c r="L290" i="1"/>
  <c r="T290" i="1" s="1"/>
  <c r="M282" i="1"/>
  <c r="M274" i="1"/>
  <c r="M266" i="1"/>
  <c r="L258" i="1"/>
  <c r="T258" i="1" s="1"/>
  <c r="L250" i="1"/>
  <c r="T250" i="1" s="1"/>
  <c r="L235" i="1"/>
  <c r="T235" i="1" s="1"/>
  <c r="L229" i="1"/>
  <c r="T229" i="1" s="1"/>
  <c r="L222" i="1"/>
  <c r="T222" i="1" s="1"/>
  <c r="L210" i="1"/>
  <c r="T210" i="1" s="1"/>
  <c r="L202" i="1"/>
  <c r="T202" i="1" s="1"/>
  <c r="L198" i="1"/>
  <c r="T198" i="1" s="1"/>
  <c r="L106" i="1"/>
  <c r="T106" i="1" s="1"/>
  <c r="L193" i="1"/>
  <c r="T193" i="1" s="1"/>
  <c r="L93" i="1"/>
  <c r="T93" i="1" s="1"/>
  <c r="L87" i="1"/>
  <c r="T87" i="1" s="1"/>
  <c r="L185" i="1"/>
  <c r="T185" i="1" s="1"/>
  <c r="M180" i="1"/>
  <c r="L228" i="1"/>
  <c r="T228" i="1" s="1"/>
  <c r="L166" i="1"/>
  <c r="T166" i="1" s="1"/>
  <c r="L122" i="1"/>
  <c r="T122" i="1" s="1"/>
  <c r="L172" i="1"/>
  <c r="T172" i="1" s="1"/>
  <c r="M154" i="1"/>
  <c r="S154" i="1" s="1"/>
  <c r="U154" i="1" s="1"/>
  <c r="L151" i="1"/>
  <c r="T151" i="1" s="1"/>
  <c r="L144" i="1"/>
  <c r="T144" i="1" s="1"/>
  <c r="L137" i="1"/>
  <c r="T137" i="1" s="1"/>
  <c r="L133" i="1"/>
  <c r="T133" i="1" s="1"/>
  <c r="L66" i="1"/>
  <c r="T66" i="1" s="1"/>
  <c r="M57" i="1"/>
  <c r="M49" i="1"/>
  <c r="M41" i="1"/>
  <c r="M33" i="1"/>
  <c r="M25" i="1"/>
  <c r="M17" i="1"/>
  <c r="M9" i="1"/>
  <c r="M305" i="1"/>
  <c r="M297" i="1"/>
  <c r="M281" i="1"/>
  <c r="M265" i="1"/>
  <c r="M257" i="1"/>
  <c r="M249" i="1"/>
  <c r="M230" i="1"/>
  <c r="M221" i="1"/>
  <c r="M209" i="1"/>
  <c r="M201" i="1"/>
  <c r="M113" i="1"/>
  <c r="M102" i="1"/>
  <c r="M177" i="1"/>
  <c r="M92" i="1"/>
  <c r="M86" i="1"/>
  <c r="M184" i="1"/>
  <c r="M179" i="1"/>
  <c r="M171" i="1"/>
  <c r="M69" i="1"/>
  <c r="M121" i="1"/>
  <c r="M68" i="1"/>
  <c r="M105" i="1"/>
  <c r="S105" i="1" s="1"/>
  <c r="U105" i="1" s="1"/>
  <c r="M81" i="1"/>
  <c r="S81" i="1" s="1"/>
  <c r="U81" i="1" s="1"/>
  <c r="M131" i="1"/>
  <c r="S131" i="1" s="1"/>
  <c r="U131" i="1" s="1"/>
  <c r="M125" i="1"/>
  <c r="S125" i="1" s="1"/>
  <c r="U125" i="1" s="1"/>
  <c r="M56" i="1"/>
  <c r="M48" i="1"/>
  <c r="M40" i="1"/>
  <c r="M32" i="1"/>
  <c r="M24" i="1"/>
  <c r="M16" i="1"/>
  <c r="M8" i="1"/>
  <c r="L243" i="1"/>
  <c r="T243" i="1" s="1"/>
  <c r="L209" i="1"/>
  <c r="T209" i="1" s="1"/>
  <c r="L48" i="1"/>
  <c r="T48" i="1" s="1"/>
  <c r="L8" i="1"/>
  <c r="T8" i="1" s="1"/>
  <c r="M304" i="1"/>
  <c r="M296" i="1"/>
  <c r="M288" i="1"/>
  <c r="M280" i="1"/>
  <c r="M272" i="1"/>
  <c r="M264" i="1"/>
  <c r="M256" i="1"/>
  <c r="M248" i="1"/>
  <c r="M234" i="1"/>
  <c r="M233" i="1"/>
  <c r="S233" i="1" s="1"/>
  <c r="U233" i="1" s="1"/>
  <c r="M227" i="1"/>
  <c r="M208" i="1"/>
  <c r="M200" i="1"/>
  <c r="M197" i="1"/>
  <c r="S197" i="1" s="1"/>
  <c r="U197" i="1" s="1"/>
  <c r="M195" i="1"/>
  <c r="S195" i="1" s="1"/>
  <c r="U195" i="1" s="1"/>
  <c r="M97" i="1"/>
  <c r="M91" i="1"/>
  <c r="M85" i="1"/>
  <c r="S85" i="1" s="1"/>
  <c r="U85" i="1" s="1"/>
  <c r="M74" i="1"/>
  <c r="M178" i="1"/>
  <c r="S178" i="1" s="1"/>
  <c r="U178" i="1" s="1"/>
  <c r="M165" i="1"/>
  <c r="M120" i="1"/>
  <c r="M156" i="1"/>
  <c r="S156" i="1" s="1"/>
  <c r="U156" i="1" s="1"/>
  <c r="M104" i="1"/>
  <c r="S104" i="1" s="1"/>
  <c r="U104" i="1" s="1"/>
  <c r="M96" i="1"/>
  <c r="S96" i="1" s="1"/>
  <c r="U96" i="1" s="1"/>
  <c r="M80" i="1"/>
  <c r="S80" i="1" s="1"/>
  <c r="U80" i="1" s="1"/>
  <c r="M130" i="1"/>
  <c r="S130" i="1" s="1"/>
  <c r="U130" i="1" s="1"/>
  <c r="M64" i="1"/>
  <c r="S64" i="1" s="1"/>
  <c r="U64" i="1" s="1"/>
  <c r="M55" i="1"/>
  <c r="M47" i="1"/>
  <c r="M39" i="1"/>
  <c r="M31" i="1"/>
  <c r="M23" i="1"/>
  <c r="M15" i="1"/>
  <c r="M7" i="1"/>
  <c r="L241" i="1"/>
  <c r="T241" i="1" s="1"/>
  <c r="L230" i="1"/>
  <c r="T230" i="1" s="1"/>
  <c r="L113" i="1"/>
  <c r="T113" i="1" s="1"/>
  <c r="L86" i="1"/>
  <c r="T86" i="1" s="1"/>
  <c r="L68" i="1"/>
  <c r="T68" i="1" s="1"/>
  <c r="L131" i="1"/>
  <c r="T131" i="1" s="1"/>
  <c r="L34" i="1"/>
  <c r="T34" i="1" s="1"/>
  <c r="M311" i="1"/>
  <c r="M303" i="1"/>
  <c r="S303" i="1" s="1"/>
  <c r="U303" i="1" s="1"/>
  <c r="M295" i="1"/>
  <c r="M287" i="1"/>
  <c r="M279" i="1"/>
  <c r="M271" i="1"/>
  <c r="M263" i="1"/>
  <c r="M255" i="1"/>
  <c r="M247" i="1"/>
  <c r="M239" i="1"/>
  <c r="M232" i="1"/>
  <c r="M226" i="1"/>
  <c r="M219" i="1"/>
  <c r="M217" i="1"/>
  <c r="S217" i="1" s="1"/>
  <c r="U217" i="1" s="1"/>
  <c r="M216" i="1"/>
  <c r="M196" i="1"/>
  <c r="S196" i="1" s="1"/>
  <c r="U196" i="1" s="1"/>
  <c r="M194" i="1"/>
  <c r="M95" i="1"/>
  <c r="M90" i="1"/>
  <c r="M73" i="1"/>
  <c r="M164" i="1"/>
  <c r="S164" i="1" s="1"/>
  <c r="U164" i="1" s="1"/>
  <c r="M160" i="1"/>
  <c r="M65" i="1"/>
  <c r="M79" i="1"/>
  <c r="S79" i="1" s="1"/>
  <c r="U79" i="1" s="1"/>
  <c r="M63" i="1"/>
  <c r="S63" i="1" s="1"/>
  <c r="U63" i="1" s="1"/>
  <c r="M54" i="1"/>
  <c r="M46" i="1"/>
  <c r="M38" i="1"/>
  <c r="M30" i="1"/>
  <c r="M22" i="1"/>
  <c r="M14" i="1"/>
  <c r="M6" i="1"/>
  <c r="L171" i="1"/>
  <c r="T171" i="1" s="1"/>
  <c r="L32" i="1"/>
  <c r="T32" i="1" s="1"/>
  <c r="M310" i="1"/>
  <c r="M302" i="1"/>
  <c r="M294" i="1"/>
  <c r="M286" i="1"/>
  <c r="M278" i="1"/>
  <c r="M270" i="1"/>
  <c r="M262" i="1"/>
  <c r="M254" i="1"/>
  <c r="M246" i="1"/>
  <c r="M238" i="1"/>
  <c r="M138" i="1"/>
  <c r="M240" i="1"/>
  <c r="M218" i="1"/>
  <c r="M206" i="1"/>
  <c r="M215" i="1"/>
  <c r="M112" i="1"/>
  <c r="S112" i="1" s="1"/>
  <c r="U112" i="1" s="1"/>
  <c r="M101" i="1"/>
  <c r="S101" i="1" s="1"/>
  <c r="U101" i="1" s="1"/>
  <c r="M192" i="1"/>
  <c r="M89" i="1"/>
  <c r="M71" i="1"/>
  <c r="M72" i="1"/>
  <c r="M134" i="1"/>
  <c r="M118" i="1"/>
  <c r="S118" i="1" s="1"/>
  <c r="U118" i="1" s="1"/>
  <c r="M62" i="1"/>
  <c r="M153" i="1"/>
  <c r="S153" i="1" s="1"/>
  <c r="U153" i="1" s="1"/>
  <c r="M143" i="1"/>
  <c r="S143" i="1" s="1"/>
  <c r="U143" i="1" s="1"/>
  <c r="M140" i="1"/>
  <c r="S140" i="1" s="1"/>
  <c r="U140" i="1" s="1"/>
  <c r="M78" i="1"/>
  <c r="S78" i="1" s="1"/>
  <c r="U78" i="1" s="1"/>
  <c r="M128" i="1"/>
  <c r="M123" i="1"/>
  <c r="M53" i="1"/>
  <c r="M45" i="1"/>
  <c r="M37" i="1"/>
  <c r="M29" i="1"/>
  <c r="M21" i="1"/>
  <c r="M13" i="1"/>
  <c r="M5" i="1"/>
  <c r="L161" i="1"/>
  <c r="T161" i="1" s="1"/>
  <c r="L150" i="1"/>
  <c r="T150" i="1" s="1"/>
  <c r="L56" i="1"/>
  <c r="T56" i="1" s="1"/>
  <c r="M309" i="1"/>
  <c r="L301" i="1"/>
  <c r="T301" i="1" s="1"/>
  <c r="M293" i="1"/>
  <c r="M285" i="1"/>
  <c r="L277" i="1"/>
  <c r="T277" i="1" s="1"/>
  <c r="M269" i="1"/>
  <c r="M261" i="1"/>
  <c r="M253" i="1"/>
  <c r="M245" i="1"/>
  <c r="M157" i="1"/>
  <c r="S157" i="1" s="1"/>
  <c r="U157" i="1" s="1"/>
  <c r="M70" i="1"/>
  <c r="M213" i="1"/>
  <c r="L205" i="1"/>
  <c r="T205" i="1" s="1"/>
  <c r="L214" i="1"/>
  <c r="T214" i="1" s="1"/>
  <c r="M111" i="1"/>
  <c r="S111" i="1" s="1"/>
  <c r="U111" i="1" s="1"/>
  <c r="M100" i="1"/>
  <c r="M191" i="1"/>
  <c r="M88" i="1"/>
  <c r="M82" i="1"/>
  <c r="M183" i="1"/>
  <c r="L174" i="1"/>
  <c r="T174" i="1" s="1"/>
  <c r="L168" i="1"/>
  <c r="T168" i="1" s="1"/>
  <c r="M117" i="1"/>
  <c r="M155" i="1"/>
  <c r="M60" i="1"/>
  <c r="S60" i="1" s="1"/>
  <c r="U60" i="1" s="1"/>
  <c r="M147" i="1"/>
  <c r="S147" i="1" s="1"/>
  <c r="U147" i="1" s="1"/>
  <c r="L136" i="1"/>
  <c r="T136" i="1" s="1"/>
  <c r="L127" i="1"/>
  <c r="T127" i="1" s="1"/>
  <c r="M61" i="1"/>
  <c r="S61" i="1" s="1"/>
  <c r="U61" i="1" s="1"/>
  <c r="M52" i="1"/>
  <c r="M44" i="1"/>
  <c r="M36" i="1"/>
  <c r="M28" i="1"/>
  <c r="M20" i="1"/>
  <c r="M12" i="1"/>
  <c r="M4" i="1"/>
  <c r="L221" i="1"/>
  <c r="T221" i="1" s="1"/>
  <c r="L203" i="1"/>
  <c r="T203" i="1" s="1"/>
  <c r="L102" i="1"/>
  <c r="T102" i="1" s="1"/>
  <c r="L92" i="1"/>
  <c r="T92" i="1" s="1"/>
  <c r="L121" i="1"/>
  <c r="T121" i="1" s="1"/>
  <c r="L40" i="1"/>
  <c r="T40" i="1" s="1"/>
  <c r="L16" i="1"/>
  <c r="T16" i="1" s="1"/>
  <c r="M308" i="1"/>
  <c r="M300" i="1"/>
  <c r="M292" i="1"/>
  <c r="M284" i="1"/>
  <c r="M276" i="1"/>
  <c r="M268" i="1"/>
  <c r="M260" i="1"/>
  <c r="M252" i="1"/>
  <c r="M244" i="1"/>
  <c r="M236" i="1"/>
  <c r="M148" i="1"/>
  <c r="M224" i="1"/>
  <c r="M212" i="1"/>
  <c r="M204" i="1"/>
  <c r="M207" i="1"/>
  <c r="M110" i="1"/>
  <c r="M99" i="1"/>
  <c r="M189" i="1"/>
  <c r="S189" i="1" s="1"/>
  <c r="U189" i="1" s="1"/>
  <c r="M77" i="1"/>
  <c r="S77" i="1" s="1"/>
  <c r="U77" i="1" s="1"/>
  <c r="M182" i="1"/>
  <c r="M132" i="1"/>
  <c r="M124" i="1"/>
  <c r="S124" i="1" s="1"/>
  <c r="U124" i="1" s="1"/>
  <c r="M135" i="1"/>
  <c r="S135" i="1" s="1"/>
  <c r="U135" i="1" s="1"/>
  <c r="M108" i="1"/>
  <c r="M59" i="1"/>
  <c r="S59" i="1" s="1"/>
  <c r="U59" i="1" s="1"/>
  <c r="M146" i="1"/>
  <c r="S146" i="1" s="1"/>
  <c r="U146" i="1" s="1"/>
  <c r="M84" i="1"/>
  <c r="S84" i="1" s="1"/>
  <c r="U84" i="1" s="1"/>
  <c r="M167" i="1"/>
  <c r="S167" i="1" s="1"/>
  <c r="U167" i="1" s="1"/>
  <c r="M126" i="1"/>
  <c r="S126" i="1" s="1"/>
  <c r="U126" i="1" s="1"/>
  <c r="M119" i="1"/>
  <c r="M51" i="1"/>
  <c r="M43" i="1"/>
  <c r="M35" i="1"/>
  <c r="M27" i="1"/>
  <c r="M19" i="1"/>
  <c r="M11" i="1"/>
  <c r="M3" i="1"/>
  <c r="L101" i="1"/>
  <c r="T101" i="1" s="1"/>
  <c r="V101" i="1" s="1"/>
  <c r="L262" i="1"/>
  <c r="T262" i="1" s="1"/>
  <c r="L256" i="1"/>
  <c r="T256" i="1" s="1"/>
  <c r="L109" i="1"/>
  <c r="T109" i="1" s="1"/>
  <c r="L67" i="1"/>
  <c r="T67" i="1" s="1"/>
  <c r="L10" i="1"/>
  <c r="T10" i="1" s="1"/>
  <c r="L115" i="1"/>
  <c r="T115" i="1" s="1"/>
  <c r="L188" i="1"/>
  <c r="T188" i="1" s="1"/>
  <c r="L152" i="1"/>
  <c r="T152" i="1" s="1"/>
  <c r="L42" i="1"/>
  <c r="T42" i="1" s="1"/>
  <c r="L211" i="1"/>
  <c r="T211" i="1" s="1"/>
  <c r="L225" i="1"/>
  <c r="T225" i="1" s="1"/>
  <c r="L75" i="1"/>
  <c r="T75" i="1" s="1"/>
  <c r="L251" i="1"/>
  <c r="T251" i="1" s="1"/>
  <c r="L190" i="1"/>
  <c r="T190" i="1" s="1"/>
  <c r="L107" i="1"/>
  <c r="T107" i="1" s="1"/>
  <c r="L18" i="1"/>
  <c r="T18" i="1" s="1"/>
  <c r="L114" i="1"/>
  <c r="T114" i="1" s="1"/>
  <c r="L199" i="1"/>
  <c r="T199" i="1" s="1"/>
  <c r="L139" i="1"/>
  <c r="T139" i="1" s="1"/>
  <c r="L50" i="1"/>
  <c r="T50" i="1" s="1"/>
  <c r="L286" i="1"/>
  <c r="T286" i="1" s="1"/>
  <c r="L223" i="1"/>
  <c r="T223" i="1" s="1"/>
  <c r="L98" i="1"/>
  <c r="T98" i="1" s="1"/>
  <c r="L158" i="1"/>
  <c r="T158" i="1" s="1"/>
  <c r="L83" i="1"/>
  <c r="T83" i="1" s="1"/>
  <c r="L26" i="1"/>
  <c r="T26" i="1" s="1"/>
  <c r="L283" i="1"/>
  <c r="T283" i="1" s="1"/>
  <c r="L181" i="1"/>
  <c r="T181" i="1" s="1"/>
  <c r="L145" i="1"/>
  <c r="T145" i="1" s="1"/>
  <c r="L58" i="1"/>
  <c r="T58" i="1" s="1"/>
  <c r="L311" i="1"/>
  <c r="T311" i="1" s="1"/>
  <c r="L295" i="1"/>
  <c r="T295" i="1" s="1"/>
  <c r="L218" i="1"/>
  <c r="T218" i="1" s="1"/>
  <c r="L294" i="1"/>
  <c r="T294" i="1" s="1"/>
  <c r="L267" i="1"/>
  <c r="T267" i="1" s="1"/>
  <c r="L259" i="1"/>
  <c r="T259" i="1" s="1"/>
  <c r="M313" i="1"/>
  <c r="S313" i="1" s="1"/>
  <c r="U313" i="1" s="1"/>
  <c r="M289" i="1"/>
  <c r="M273" i="1"/>
  <c r="M241" i="1"/>
  <c r="M242" i="1"/>
  <c r="M150" i="1"/>
  <c r="S150" i="1" s="1"/>
  <c r="U150" i="1" s="1"/>
  <c r="M237" i="1"/>
  <c r="S237" i="1" s="1"/>
  <c r="U237" i="1" s="1"/>
  <c r="M220" i="1"/>
  <c r="M170" i="1"/>
  <c r="S170" i="1" s="1"/>
  <c r="U170" i="1" s="1"/>
  <c r="M186" i="1"/>
  <c r="S186" i="1" s="1"/>
  <c r="U186" i="1" s="1"/>
  <c r="M187" i="1"/>
  <c r="M176" i="1"/>
  <c r="S176" i="1" s="1"/>
  <c r="U176" i="1" s="1"/>
  <c r="M169" i="1"/>
  <c r="S169" i="1" s="1"/>
  <c r="U169" i="1" s="1"/>
  <c r="M103" i="1"/>
  <c r="M149" i="1"/>
  <c r="S149" i="1" s="1"/>
  <c r="U149" i="1" s="1"/>
  <c r="M141" i="1"/>
  <c r="S141" i="1" s="1"/>
  <c r="U141" i="1" s="1"/>
  <c r="M129" i="1"/>
  <c r="S129" i="1" s="1"/>
  <c r="U129" i="1" s="1"/>
  <c r="M175" i="1"/>
  <c r="M163" i="1"/>
  <c r="S163" i="1" s="1"/>
  <c r="U163" i="1" s="1"/>
  <c r="M231" i="1"/>
  <c r="M162" i="1"/>
  <c r="S162" i="1" s="1"/>
  <c r="U162" i="1" s="1"/>
  <c r="M142" i="1"/>
  <c r="S142" i="1" s="1"/>
  <c r="U142" i="1" s="1"/>
  <c r="M159" i="1"/>
  <c r="M312" i="1"/>
  <c r="S312" i="1" s="1"/>
  <c r="U312" i="1" s="1"/>
  <c r="M94" i="1"/>
  <c r="M173" i="1"/>
  <c r="L310" i="1"/>
  <c r="T310" i="1" s="1"/>
  <c r="L99" i="1"/>
  <c r="T99" i="1" s="1"/>
  <c r="L167" i="1"/>
  <c r="T167" i="1" s="1"/>
  <c r="L43" i="1"/>
  <c r="T43" i="1" s="1"/>
  <c r="L11" i="1"/>
  <c r="T11" i="1" s="1"/>
  <c r="L303" i="1"/>
  <c r="T303" i="1" s="1"/>
  <c r="L279" i="1"/>
  <c r="T279" i="1" s="1"/>
  <c r="L246" i="1"/>
  <c r="T246" i="1" s="1"/>
  <c r="L240" i="1"/>
  <c r="T240" i="1" s="1"/>
  <c r="L212" i="1"/>
  <c r="T212" i="1" s="1"/>
  <c r="L302" i="1"/>
  <c r="T302" i="1" s="1"/>
  <c r="L278" i="1"/>
  <c r="T278" i="1" s="1"/>
  <c r="L244" i="1"/>
  <c r="T244" i="1" s="1"/>
  <c r="L224" i="1"/>
  <c r="T224" i="1" s="1"/>
  <c r="L110" i="1"/>
  <c r="T110" i="1" s="1"/>
  <c r="L299" i="1"/>
  <c r="T299" i="1" s="1"/>
  <c r="L271" i="1"/>
  <c r="T271" i="1" s="1"/>
  <c r="L254" i="1"/>
  <c r="T254" i="1" s="1"/>
  <c r="L124" i="1"/>
  <c r="T124" i="1" s="1"/>
  <c r="L146" i="1"/>
  <c r="T146" i="1" s="1"/>
  <c r="L270" i="1"/>
  <c r="T270" i="1" s="1"/>
  <c r="L215" i="1"/>
  <c r="T215" i="1" s="1"/>
  <c r="L287" i="1"/>
  <c r="T287" i="1" s="1"/>
  <c r="L263" i="1"/>
  <c r="T263" i="1" s="1"/>
  <c r="L206" i="1"/>
  <c r="T206" i="1" s="1"/>
  <c r="M314" i="1"/>
  <c r="M250" i="1"/>
  <c r="M106" i="1"/>
  <c r="S106" i="1" s="1"/>
  <c r="U106" i="1" s="1"/>
  <c r="M122" i="1"/>
  <c r="M193" i="1"/>
  <c r="M172" i="1"/>
  <c r="L312" i="1"/>
  <c r="T312" i="1" s="1"/>
  <c r="L296" i="1"/>
  <c r="T296" i="1" s="1"/>
  <c r="L280" i="1"/>
  <c r="T280" i="1" s="1"/>
  <c r="L264" i="1"/>
  <c r="T264" i="1" s="1"/>
  <c r="L112" i="1"/>
  <c r="T112" i="1" s="1"/>
  <c r="M235" i="1"/>
  <c r="M93" i="1"/>
  <c r="L138" i="1"/>
  <c r="T138" i="1" s="1"/>
  <c r="M290" i="1"/>
  <c r="M229" i="1"/>
  <c r="M87" i="1"/>
  <c r="S87" i="1" s="1"/>
  <c r="U87" i="1" s="1"/>
  <c r="M151" i="1"/>
  <c r="S151" i="1" s="1"/>
  <c r="U151" i="1" s="1"/>
  <c r="M222" i="1"/>
  <c r="M185" i="1"/>
  <c r="S185" i="1" s="1"/>
  <c r="U185" i="1" s="1"/>
  <c r="M144" i="1"/>
  <c r="S144" i="1" s="1"/>
  <c r="U144" i="1" s="1"/>
  <c r="L307" i="1"/>
  <c r="T307" i="1" s="1"/>
  <c r="L291" i="1"/>
  <c r="T291" i="1" s="1"/>
  <c r="L275" i="1"/>
  <c r="T275" i="1" s="1"/>
  <c r="L261" i="1"/>
  <c r="T261" i="1" s="1"/>
  <c r="L238" i="1"/>
  <c r="T238" i="1" s="1"/>
  <c r="M210" i="1"/>
  <c r="M137" i="1"/>
  <c r="S137" i="1" s="1"/>
  <c r="U137" i="1" s="1"/>
  <c r="L304" i="1"/>
  <c r="T304" i="1" s="1"/>
  <c r="L288" i="1"/>
  <c r="T288" i="1" s="1"/>
  <c r="L272" i="1"/>
  <c r="T272" i="1" s="1"/>
  <c r="M202" i="1"/>
  <c r="M228" i="1"/>
  <c r="M133" i="1"/>
  <c r="S133" i="1" s="1"/>
  <c r="U133" i="1" s="1"/>
  <c r="M258" i="1"/>
  <c r="M198" i="1"/>
  <c r="M166" i="1"/>
  <c r="S166" i="1" s="1"/>
  <c r="U166" i="1" s="1"/>
  <c r="M66" i="1"/>
  <c r="L285" i="1"/>
  <c r="T285" i="1" s="1"/>
  <c r="L70" i="1"/>
  <c r="T70" i="1" s="1"/>
  <c r="L82" i="1"/>
  <c r="T82" i="1" s="1"/>
  <c r="L147" i="1"/>
  <c r="T147" i="1" s="1"/>
  <c r="V147" i="1" s="1"/>
  <c r="L309" i="1"/>
  <c r="T309" i="1" s="1"/>
  <c r="L88" i="1"/>
  <c r="T88" i="1" s="1"/>
  <c r="L60" i="1"/>
  <c r="T60" i="1" s="1"/>
  <c r="L269" i="1"/>
  <c r="T269" i="1" s="1"/>
  <c r="L157" i="1"/>
  <c r="T157" i="1" s="1"/>
  <c r="L191" i="1"/>
  <c r="T191" i="1" s="1"/>
  <c r="L155" i="1"/>
  <c r="T155" i="1" s="1"/>
  <c r="L293" i="1"/>
  <c r="T293" i="1" s="1"/>
  <c r="L245" i="1"/>
  <c r="T245" i="1" s="1"/>
  <c r="L100" i="1"/>
  <c r="T100" i="1" s="1"/>
  <c r="L117" i="1"/>
  <c r="T117" i="1" s="1"/>
  <c r="L253" i="1"/>
  <c r="T253" i="1" s="1"/>
  <c r="L111" i="1"/>
  <c r="T111" i="1" s="1"/>
  <c r="L162" i="1"/>
  <c r="T162" i="1" s="1"/>
  <c r="L61" i="1"/>
  <c r="T61" i="1" s="1"/>
  <c r="M301" i="1"/>
  <c r="M277" i="1"/>
  <c r="M205" i="1"/>
  <c r="M214" i="1"/>
  <c r="M174" i="1"/>
  <c r="S174" i="1" s="1"/>
  <c r="U174" i="1" s="1"/>
  <c r="M168" i="1"/>
  <c r="M136" i="1"/>
  <c r="M127" i="1"/>
  <c r="S127" i="1" s="1"/>
  <c r="U127" i="1" s="1"/>
  <c r="M116" i="1"/>
  <c r="S116" i="1" s="1"/>
  <c r="L298" i="1"/>
  <c r="T298" i="1" s="1"/>
  <c r="L266" i="1"/>
  <c r="T266" i="1" s="1"/>
  <c r="L306" i="1"/>
  <c r="T306" i="1" s="1"/>
  <c r="L274" i="1"/>
  <c r="T274" i="1" s="1"/>
  <c r="L282" i="1"/>
  <c r="T282" i="1" s="1"/>
  <c r="L159" i="1"/>
  <c r="T159" i="1" s="1"/>
  <c r="L180" i="1"/>
  <c r="T180" i="1" s="1"/>
  <c r="L154" i="1"/>
  <c r="T154" i="1" s="1"/>
  <c r="L313" i="1"/>
  <c r="T313" i="1" s="1"/>
  <c r="L305" i="1"/>
  <c r="T305" i="1" s="1"/>
  <c r="L297" i="1"/>
  <c r="T297" i="1" s="1"/>
  <c r="L289" i="1"/>
  <c r="T289" i="1" s="1"/>
  <c r="L281" i="1"/>
  <c r="T281" i="1" s="1"/>
  <c r="L273" i="1"/>
  <c r="T273" i="1" s="1"/>
  <c r="L265" i="1"/>
  <c r="T265" i="1" s="1"/>
  <c r="L257" i="1"/>
  <c r="T257" i="1" s="1"/>
  <c r="L308" i="1"/>
  <c r="T308" i="1" s="1"/>
  <c r="L300" i="1"/>
  <c r="T300" i="1" s="1"/>
  <c r="L292" i="1"/>
  <c r="T292" i="1" s="1"/>
  <c r="L284" i="1"/>
  <c r="T284" i="1" s="1"/>
  <c r="L276" i="1"/>
  <c r="T276" i="1" s="1"/>
  <c r="L268" i="1"/>
  <c r="T268" i="1" s="1"/>
  <c r="L260" i="1"/>
  <c r="T260" i="1" s="1"/>
  <c r="L52" i="1"/>
  <c r="T52" i="1" s="1"/>
  <c r="L44" i="1"/>
  <c r="T44" i="1" s="1"/>
  <c r="L36" i="1"/>
  <c r="T36" i="1" s="1"/>
  <c r="L28" i="1"/>
  <c r="T28" i="1" s="1"/>
  <c r="L20" i="1"/>
  <c r="T20" i="1" s="1"/>
  <c r="L12" i="1"/>
  <c r="T12" i="1" s="1"/>
  <c r="L4" i="1"/>
  <c r="T4" i="1" s="1"/>
  <c r="L57" i="1"/>
  <c r="T57" i="1" s="1"/>
  <c r="L49" i="1"/>
  <c r="T49" i="1" s="1"/>
  <c r="L41" i="1"/>
  <c r="T41" i="1" s="1"/>
  <c r="L33" i="1"/>
  <c r="T33" i="1" s="1"/>
  <c r="L25" i="1"/>
  <c r="T25" i="1" s="1"/>
  <c r="L17" i="1"/>
  <c r="T17" i="1" s="1"/>
  <c r="L9" i="1"/>
  <c r="T9" i="1" s="1"/>
  <c r="C66" i="16" l="1"/>
  <c r="D66" i="16" s="1"/>
  <c r="AQ65" i="1"/>
  <c r="AP65" i="1"/>
  <c r="AQ94" i="1"/>
  <c r="AP94" i="1"/>
  <c r="AQ113" i="1"/>
  <c r="AP113" i="1"/>
  <c r="AQ101" i="1"/>
  <c r="AP101" i="1"/>
  <c r="AQ138" i="1"/>
  <c r="AP138" i="1"/>
  <c r="AQ95" i="1"/>
  <c r="AP95" i="1"/>
  <c r="G60" i="16"/>
  <c r="Q4" i="16"/>
  <c r="AQ252" i="1"/>
  <c r="AR252" i="1" s="1"/>
  <c r="AQ14" i="1"/>
  <c r="AR14" i="1" s="1"/>
  <c r="AQ200" i="1"/>
  <c r="AR200" i="1" s="1"/>
  <c r="AQ46" i="1"/>
  <c r="AR46" i="1" s="1"/>
  <c r="AO16" i="1"/>
  <c r="AO58" i="1"/>
  <c r="AO206" i="1"/>
  <c r="AO93" i="1"/>
  <c r="AO76" i="1"/>
  <c r="AO84" i="1"/>
  <c r="AQ84" i="1" s="1"/>
  <c r="AR84" i="1" s="1"/>
  <c r="AO68" i="1"/>
  <c r="AO23" i="1"/>
  <c r="AO178" i="1"/>
  <c r="AQ178" i="1" s="1"/>
  <c r="AO256" i="1"/>
  <c r="AO24" i="1"/>
  <c r="AO265" i="1"/>
  <c r="AO33" i="1"/>
  <c r="AO250" i="1"/>
  <c r="AO314" i="1"/>
  <c r="AO139" i="1"/>
  <c r="AO275" i="1"/>
  <c r="AO43" i="1"/>
  <c r="AO300" i="1"/>
  <c r="AQ300" i="1" s="1"/>
  <c r="AR300" i="1" s="1"/>
  <c r="AO4" i="1"/>
  <c r="AO136" i="1"/>
  <c r="AQ136" i="1" s="1"/>
  <c r="AO269" i="1"/>
  <c r="AO246" i="1"/>
  <c r="AO310" i="1"/>
  <c r="AO60" i="1"/>
  <c r="AO183" i="1"/>
  <c r="AQ183" i="1" s="1"/>
  <c r="AO100" i="1"/>
  <c r="AO231" i="1"/>
  <c r="AQ231" i="1" s="1"/>
  <c r="AO220" i="1"/>
  <c r="AQ220" i="1" s="1"/>
  <c r="AO221" i="1"/>
  <c r="AQ221" i="1" s="1"/>
  <c r="AR217" i="1" s="1"/>
  <c r="AO29" i="1"/>
  <c r="AO123" i="1"/>
  <c r="AQ123" i="1" s="1"/>
  <c r="AO143" i="1"/>
  <c r="AQ143" i="1" s="1"/>
  <c r="AO163" i="1"/>
  <c r="AQ163" i="1" s="1"/>
  <c r="AO71" i="1"/>
  <c r="AO112" i="1"/>
  <c r="AO238" i="1"/>
  <c r="AQ238" i="1" s="1"/>
  <c r="AR238" i="1" s="1"/>
  <c r="AO248" i="1"/>
  <c r="AO201" i="1"/>
  <c r="AO22" i="1"/>
  <c r="AO54" i="1"/>
  <c r="AO141" i="1"/>
  <c r="AQ141" i="1" s="1"/>
  <c r="AO160" i="1"/>
  <c r="AQ160" i="1" s="1"/>
  <c r="AO73" i="1"/>
  <c r="AO194" i="1"/>
  <c r="AQ194" i="1" s="1"/>
  <c r="AO219" i="1"/>
  <c r="AQ219" i="1" s="1"/>
  <c r="AO247" i="1"/>
  <c r="AO233" i="1"/>
  <c r="AQ233" i="1" s="1"/>
  <c r="AO241" i="1"/>
  <c r="AQ241" i="1" s="1"/>
  <c r="AR241" i="1" s="1"/>
  <c r="AO35" i="1"/>
  <c r="AO302" i="1"/>
  <c r="AQ302" i="1" s="1"/>
  <c r="AR302" i="1" s="1"/>
  <c r="AO165" i="1"/>
  <c r="AQ165" i="1" s="1"/>
  <c r="AO243" i="1"/>
  <c r="AQ243" i="1" s="1"/>
  <c r="AR243" i="1" s="1"/>
  <c r="AO182" i="1"/>
  <c r="AQ182" i="1" s="1"/>
  <c r="AO31" i="1"/>
  <c r="AO96" i="1"/>
  <c r="AQ96" i="1" s="1"/>
  <c r="AR96" i="1" s="1"/>
  <c r="AO264" i="1"/>
  <c r="AO32" i="1"/>
  <c r="AO273" i="1"/>
  <c r="AO41" i="1"/>
  <c r="AO258" i="1"/>
  <c r="AO10" i="1"/>
  <c r="AO181" i="1"/>
  <c r="AQ181" i="1" s="1"/>
  <c r="AO283" i="1"/>
  <c r="AQ283" i="1" s="1"/>
  <c r="AR283" i="1" s="1"/>
  <c r="AO110" i="1"/>
  <c r="AO308" i="1"/>
  <c r="AO12" i="1"/>
  <c r="AO155" i="1"/>
  <c r="AQ155" i="1" s="1"/>
  <c r="AO277" i="1"/>
  <c r="AO254" i="1"/>
  <c r="AO133" i="1"/>
  <c r="AQ133" i="1" s="1"/>
  <c r="AO154" i="1"/>
  <c r="AQ154" i="1" s="1"/>
  <c r="AO180" i="1"/>
  <c r="AQ180" i="1" s="1"/>
  <c r="AO193" i="1"/>
  <c r="AQ193" i="1" s="1"/>
  <c r="AR193" i="1" s="1"/>
  <c r="AO229" i="1"/>
  <c r="AQ229" i="1" s="1"/>
  <c r="AO197" i="1"/>
  <c r="AQ197" i="1" s="1"/>
  <c r="AO102" i="1"/>
  <c r="AO83" i="1"/>
  <c r="AQ83" i="1" s="1"/>
  <c r="AR83" i="1" s="1"/>
  <c r="AO158" i="1"/>
  <c r="AQ158" i="1" s="1"/>
  <c r="AO188" i="1"/>
  <c r="AQ188" i="1" s="1"/>
  <c r="AO199" i="1"/>
  <c r="AQ199" i="1" s="1"/>
  <c r="AO116" i="1"/>
  <c r="AQ116" i="1" s="1"/>
  <c r="AO237" i="1"/>
  <c r="AQ237" i="1" s="1"/>
  <c r="AO313" i="1"/>
  <c r="AQ313" i="1" s="1"/>
  <c r="AR313" i="1" s="1"/>
  <c r="AO119" i="1"/>
  <c r="AQ119" i="1" s="1"/>
  <c r="AO146" i="1"/>
  <c r="AQ146" i="1" s="1"/>
  <c r="AO124" i="1"/>
  <c r="AQ124" i="1" s="1"/>
  <c r="AR124" i="1" s="1"/>
  <c r="AO77" i="1"/>
  <c r="AO207" i="1"/>
  <c r="AQ207" i="1" s="1"/>
  <c r="AO236" i="1"/>
  <c r="AQ236" i="1" s="1"/>
  <c r="AR236" i="1" s="1"/>
  <c r="AO208" i="1"/>
  <c r="AO15" i="1"/>
  <c r="AO25" i="1"/>
  <c r="AO311" i="1"/>
  <c r="AO222" i="1"/>
  <c r="AQ222" i="1" s="1"/>
  <c r="AO109" i="1"/>
  <c r="AO135" i="1"/>
  <c r="AO39" i="1"/>
  <c r="AO74" i="1"/>
  <c r="AO272" i="1"/>
  <c r="AO40" i="1"/>
  <c r="AO281" i="1"/>
  <c r="AQ281" i="1" s="1"/>
  <c r="AR281" i="1" s="1"/>
  <c r="AO49" i="1"/>
  <c r="AO266" i="1"/>
  <c r="AO18" i="1"/>
  <c r="AO203" i="1"/>
  <c r="AO291" i="1"/>
  <c r="AQ291" i="1" s="1"/>
  <c r="AR291" i="1" s="1"/>
  <c r="AO212" i="1"/>
  <c r="AO263" i="1"/>
  <c r="AO20" i="1"/>
  <c r="AO117" i="1"/>
  <c r="AO285" i="1"/>
  <c r="AO262" i="1"/>
  <c r="AO127" i="1"/>
  <c r="AQ127" i="1" s="1"/>
  <c r="AO162" i="1"/>
  <c r="AQ162" i="1" s="1"/>
  <c r="AO82" i="1"/>
  <c r="AO111" i="1"/>
  <c r="AO157" i="1"/>
  <c r="AQ157" i="1" s="1"/>
  <c r="AO150" i="1"/>
  <c r="AQ150" i="1" s="1"/>
  <c r="AO5" i="1"/>
  <c r="AO37" i="1"/>
  <c r="AO128" i="1"/>
  <c r="AQ128" i="1" s="1"/>
  <c r="AO153" i="1"/>
  <c r="AQ153" i="1" s="1"/>
  <c r="AR153" i="1" s="1"/>
  <c r="AO134" i="1"/>
  <c r="AO89" i="1"/>
  <c r="AO218" i="1"/>
  <c r="AQ218" i="1" s="1"/>
  <c r="AO125" i="1"/>
  <c r="AQ125" i="1" s="1"/>
  <c r="AR65" i="1" s="1"/>
  <c r="AO249" i="1"/>
  <c r="AO30" i="1"/>
  <c r="AO149" i="1"/>
  <c r="AQ149" i="1" s="1"/>
  <c r="AO164" i="1"/>
  <c r="AQ164" i="1" s="1"/>
  <c r="AO187" i="1"/>
  <c r="AQ187" i="1" s="1"/>
  <c r="AO196" i="1"/>
  <c r="AQ196" i="1" s="1"/>
  <c r="AO226" i="1"/>
  <c r="AQ226" i="1" s="1"/>
  <c r="AO255" i="1"/>
  <c r="AO289" i="1"/>
  <c r="AQ289" i="1" s="1"/>
  <c r="AR289" i="1" s="1"/>
  <c r="AO257" i="1"/>
  <c r="AO267" i="1"/>
  <c r="AO261" i="1"/>
  <c r="AO228" i="1"/>
  <c r="AQ228" i="1" s="1"/>
  <c r="AO107" i="1"/>
  <c r="AO51" i="1"/>
  <c r="AO85" i="1"/>
  <c r="AO47" i="1"/>
  <c r="AO104" i="1"/>
  <c r="AQ104" i="1" s="1"/>
  <c r="AR104" i="1" s="1"/>
  <c r="AO280" i="1"/>
  <c r="AQ280" i="1" s="1"/>
  <c r="AR280" i="1" s="1"/>
  <c r="AO48" i="1"/>
  <c r="AO297" i="1"/>
  <c r="AQ297" i="1" s="1"/>
  <c r="AR297" i="1" s="1"/>
  <c r="AO57" i="1"/>
  <c r="AO274" i="1"/>
  <c r="AO26" i="1"/>
  <c r="AO211" i="1"/>
  <c r="AO299" i="1"/>
  <c r="AQ299" i="1" s="1"/>
  <c r="AR299" i="1" s="1"/>
  <c r="AO260" i="1"/>
  <c r="AO271" i="1"/>
  <c r="AO28" i="1"/>
  <c r="AO205" i="1"/>
  <c r="AO293" i="1"/>
  <c r="AO270" i="1"/>
  <c r="AO137" i="1"/>
  <c r="AQ137" i="1" s="1"/>
  <c r="AO172" i="1"/>
  <c r="AQ172" i="1" s="1"/>
  <c r="AO185" i="1"/>
  <c r="AQ185" i="1" s="1"/>
  <c r="AO106" i="1"/>
  <c r="AO235" i="1"/>
  <c r="AQ235" i="1" s="1"/>
  <c r="AO234" i="1"/>
  <c r="AQ234" i="1" s="1"/>
  <c r="AO242" i="1"/>
  <c r="AQ242" i="1" s="1"/>
  <c r="AO145" i="1"/>
  <c r="AQ145" i="1" s="1"/>
  <c r="AO161" i="1"/>
  <c r="AQ161" i="1" s="1"/>
  <c r="AR123" i="1" s="1"/>
  <c r="AO190" i="1"/>
  <c r="AQ190" i="1" s="1"/>
  <c r="AO223" i="1"/>
  <c r="AQ223" i="1" s="1"/>
  <c r="AO80" i="1"/>
  <c r="AQ80" i="1" s="1"/>
  <c r="AR80" i="1" s="1"/>
  <c r="AO121" i="1"/>
  <c r="AO19" i="1"/>
  <c r="AO126" i="1"/>
  <c r="AQ126" i="1" s="1"/>
  <c r="AO59" i="1"/>
  <c r="AO132" i="1"/>
  <c r="AO189" i="1"/>
  <c r="AQ189" i="1" s="1"/>
  <c r="AO204" i="1"/>
  <c r="AO244" i="1"/>
  <c r="AQ244" i="1" s="1"/>
  <c r="AR244" i="1" s="1"/>
  <c r="AO304" i="1"/>
  <c r="AQ304" i="1" s="1"/>
  <c r="AR304" i="1" s="1"/>
  <c r="AO186" i="1"/>
  <c r="AQ186" i="1" s="1"/>
  <c r="AO210" i="1"/>
  <c r="AO292" i="1"/>
  <c r="AO179" i="1"/>
  <c r="AQ179" i="1" s="1"/>
  <c r="AO230" i="1"/>
  <c r="AQ230" i="1" s="1"/>
  <c r="AO99" i="1"/>
  <c r="AO55" i="1"/>
  <c r="AO91" i="1"/>
  <c r="AO288" i="1"/>
  <c r="AO56" i="1"/>
  <c r="AO305" i="1"/>
  <c r="AO66" i="1"/>
  <c r="AO282" i="1"/>
  <c r="AQ282" i="1" s="1"/>
  <c r="AR282" i="1" s="1"/>
  <c r="AO34" i="1"/>
  <c r="AO114" i="1"/>
  <c r="AO307" i="1"/>
  <c r="AQ307" i="1" s="1"/>
  <c r="AR307" i="1" s="1"/>
  <c r="AO268" i="1"/>
  <c r="AO279" i="1"/>
  <c r="AO36" i="1"/>
  <c r="AO70" i="1"/>
  <c r="AO301" i="1"/>
  <c r="AQ301" i="1" s="1"/>
  <c r="AR301" i="1" s="1"/>
  <c r="AO278" i="1"/>
  <c r="AO142" i="1"/>
  <c r="AQ142" i="1" s="1"/>
  <c r="AO168" i="1"/>
  <c r="AQ168" i="1" s="1"/>
  <c r="AO88" i="1"/>
  <c r="AO214" i="1"/>
  <c r="AQ214" i="1" s="1"/>
  <c r="AO170" i="1"/>
  <c r="AQ170" i="1" s="1"/>
  <c r="AO69" i="1"/>
  <c r="AO13" i="1"/>
  <c r="AO45" i="1"/>
  <c r="AO78" i="1"/>
  <c r="AQ78" i="1" s="1"/>
  <c r="AR78" i="1" s="1"/>
  <c r="AO62" i="1"/>
  <c r="AO175" i="1"/>
  <c r="AQ175" i="1" s="1"/>
  <c r="AO192" i="1"/>
  <c r="AQ192" i="1" s="1"/>
  <c r="AO240" i="1"/>
  <c r="AQ240" i="1" s="1"/>
  <c r="AR222" i="1" s="1"/>
  <c r="AO130" i="1"/>
  <c r="AQ130" i="1" s="1"/>
  <c r="AO105" i="1"/>
  <c r="AQ105" i="1" s="1"/>
  <c r="AR105" i="1" s="1"/>
  <c r="AO6" i="1"/>
  <c r="AO38" i="1"/>
  <c r="AO129" i="1"/>
  <c r="AQ129" i="1" s="1"/>
  <c r="AO103" i="1"/>
  <c r="AO169" i="1"/>
  <c r="AQ169" i="1" s="1"/>
  <c r="AO90" i="1"/>
  <c r="AO216" i="1"/>
  <c r="AQ216" i="1" s="1"/>
  <c r="AO232" i="1"/>
  <c r="AQ232" i="1" s="1"/>
  <c r="AO303" i="1"/>
  <c r="AQ303" i="1" s="1"/>
  <c r="AR303" i="1" s="1"/>
  <c r="AO171" i="1"/>
  <c r="AQ171" i="1" s="1"/>
  <c r="AO120" i="1"/>
  <c r="AO306" i="1"/>
  <c r="AQ306" i="1" s="1"/>
  <c r="AR306" i="1" s="1"/>
  <c r="AO61" i="1"/>
  <c r="AQ61" i="1" s="1"/>
  <c r="AR61" i="1" s="1"/>
  <c r="AO151" i="1"/>
  <c r="AQ151" i="1" s="1"/>
  <c r="AO75" i="1"/>
  <c r="AQ75" i="1" s="1"/>
  <c r="AR75" i="1" s="1"/>
  <c r="AO312" i="1"/>
  <c r="AQ312" i="1" s="1"/>
  <c r="AR312" i="1" s="1"/>
  <c r="AO148" i="1"/>
  <c r="AO64" i="1"/>
  <c r="AQ64" i="1" s="1"/>
  <c r="AR64" i="1" s="1"/>
  <c r="AO156" i="1"/>
  <c r="AQ156" i="1" s="1"/>
  <c r="AO296" i="1"/>
  <c r="AQ296" i="1" s="1"/>
  <c r="AR296" i="1" s="1"/>
  <c r="AO177" i="1"/>
  <c r="AO9" i="1"/>
  <c r="AO122" i="1"/>
  <c r="AO290" i="1"/>
  <c r="AO42" i="1"/>
  <c r="AO251" i="1"/>
  <c r="AQ3" i="1"/>
  <c r="AR3" i="1" s="1"/>
  <c r="AO276" i="1"/>
  <c r="AO287" i="1"/>
  <c r="AO44" i="1"/>
  <c r="AO245" i="1"/>
  <c r="AO309" i="1"/>
  <c r="AO286" i="1"/>
  <c r="AQ286" i="1" s="1"/>
  <c r="AR286" i="1" s="1"/>
  <c r="AO144" i="1"/>
  <c r="AQ144" i="1" s="1"/>
  <c r="AO166" i="1"/>
  <c r="AQ166" i="1" s="1"/>
  <c r="AO87" i="1"/>
  <c r="AO198" i="1"/>
  <c r="AQ198" i="1" s="1"/>
  <c r="AO159" i="1"/>
  <c r="AQ159" i="1" s="1"/>
  <c r="AO131" i="1"/>
  <c r="AQ131" i="1" s="1"/>
  <c r="AO67" i="1"/>
  <c r="AQ67" i="1" s="1"/>
  <c r="AR67" i="1" s="1"/>
  <c r="AO152" i="1"/>
  <c r="AQ152" i="1" s="1"/>
  <c r="AO225" i="1"/>
  <c r="AQ225" i="1" s="1"/>
  <c r="AO98" i="1"/>
  <c r="AO115" i="1"/>
  <c r="AO227" i="1"/>
  <c r="AQ227" i="1" s="1"/>
  <c r="AO27" i="1"/>
  <c r="AO167" i="1"/>
  <c r="AQ167" i="1" s="1"/>
  <c r="AO108" i="1"/>
  <c r="AO173" i="1"/>
  <c r="AQ173" i="1" s="1"/>
  <c r="AR140" i="1" s="1"/>
  <c r="AO224" i="1"/>
  <c r="AQ224" i="1" s="1"/>
  <c r="AO81" i="1"/>
  <c r="AQ81" i="1" s="1"/>
  <c r="AR81" i="1" s="1"/>
  <c r="AO7" i="1"/>
  <c r="AO195" i="1"/>
  <c r="AQ195" i="1" s="1"/>
  <c r="AR184" i="1" s="1"/>
  <c r="AO8" i="1"/>
  <c r="AO209" i="1"/>
  <c r="AO17" i="1"/>
  <c r="AO202" i="1"/>
  <c r="AO298" i="1"/>
  <c r="AO50" i="1"/>
  <c r="AO259" i="1"/>
  <c r="AO11" i="1"/>
  <c r="AO284" i="1"/>
  <c r="AQ284" i="1" s="1"/>
  <c r="AR284" i="1" s="1"/>
  <c r="AO295" i="1"/>
  <c r="AQ295" i="1" s="1"/>
  <c r="AR295" i="1" s="1"/>
  <c r="AO52" i="1"/>
  <c r="AO253" i="1"/>
  <c r="AO215" i="1"/>
  <c r="AQ215" i="1" s="1"/>
  <c r="AO294" i="1"/>
  <c r="AQ294" i="1" s="1"/>
  <c r="AR294" i="1" s="1"/>
  <c r="AO147" i="1"/>
  <c r="AQ147" i="1" s="1"/>
  <c r="AO174" i="1"/>
  <c r="AQ174" i="1" s="1"/>
  <c r="AO191" i="1"/>
  <c r="AQ191" i="1" s="1"/>
  <c r="AO213" i="1"/>
  <c r="AO97" i="1"/>
  <c r="AO92" i="1"/>
  <c r="AO21" i="1"/>
  <c r="AO53" i="1"/>
  <c r="AO118" i="1"/>
  <c r="AQ118" i="1" s="1"/>
  <c r="AR118" i="1" s="1"/>
  <c r="AO72" i="1"/>
  <c r="V190" i="1"/>
  <c r="AQ86" i="1"/>
  <c r="AR161" i="1" s="1"/>
  <c r="V303" i="1"/>
  <c r="V131" i="1"/>
  <c r="V112" i="1"/>
  <c r="V67" i="1"/>
  <c r="V83" i="1"/>
  <c r="V312" i="1"/>
  <c r="V223" i="1"/>
  <c r="U116" i="1"/>
  <c r="AI116" i="1" s="1"/>
  <c r="V154" i="1"/>
  <c r="V152" i="1"/>
  <c r="V60" i="1"/>
  <c r="V313" i="1"/>
  <c r="V124" i="1"/>
  <c r="V125" i="1"/>
  <c r="V161" i="1"/>
  <c r="V145" i="1"/>
  <c r="V146" i="1"/>
  <c r="V61" i="1"/>
  <c r="V167" i="1"/>
  <c r="V162" i="1"/>
  <c r="V158" i="1"/>
  <c r="V75" i="1"/>
  <c r="V111" i="1"/>
  <c r="V157" i="1"/>
  <c r="V98" i="1"/>
  <c r="S168" i="1"/>
  <c r="S202" i="1"/>
  <c r="S229" i="1"/>
  <c r="S187" i="1"/>
  <c r="S273" i="1"/>
  <c r="S3" i="1"/>
  <c r="S132" i="1"/>
  <c r="S212" i="1"/>
  <c r="S276" i="1"/>
  <c r="S36" i="1"/>
  <c r="S155" i="1"/>
  <c r="S100" i="1"/>
  <c r="S253" i="1"/>
  <c r="S45" i="1"/>
  <c r="S62" i="1"/>
  <c r="S254" i="1"/>
  <c r="S54" i="1"/>
  <c r="S95" i="1"/>
  <c r="S239" i="1"/>
  <c r="S208" i="1"/>
  <c r="S280" i="1"/>
  <c r="S8" i="1"/>
  <c r="S184" i="1"/>
  <c r="S221" i="1"/>
  <c r="S9" i="1"/>
  <c r="V133" i="1"/>
  <c r="S274" i="1"/>
  <c r="S2" i="1"/>
  <c r="S225" i="1"/>
  <c r="S199" i="1"/>
  <c r="S259" i="1"/>
  <c r="V64" i="1"/>
  <c r="V156" i="1"/>
  <c r="V170" i="1"/>
  <c r="S290" i="1"/>
  <c r="S173" i="1"/>
  <c r="S175" i="1"/>
  <c r="S289" i="1"/>
  <c r="S11" i="1"/>
  <c r="S182" i="1"/>
  <c r="S224" i="1"/>
  <c r="S284" i="1"/>
  <c r="S44" i="1"/>
  <c r="S117" i="1"/>
  <c r="U117" i="1" s="1"/>
  <c r="V117" i="1" s="1"/>
  <c r="S261" i="1"/>
  <c r="V150" i="1"/>
  <c r="S53" i="1"/>
  <c r="S215" i="1"/>
  <c r="S262" i="1"/>
  <c r="S194" i="1"/>
  <c r="S247" i="1"/>
  <c r="S311" i="1"/>
  <c r="S7" i="1"/>
  <c r="S74" i="1"/>
  <c r="S227" i="1"/>
  <c r="S288" i="1"/>
  <c r="S16" i="1"/>
  <c r="S86" i="1"/>
  <c r="S230" i="1"/>
  <c r="S17" i="1"/>
  <c r="V137" i="1"/>
  <c r="S180" i="1"/>
  <c r="S282" i="1"/>
  <c r="S10" i="1"/>
  <c r="S139" i="1"/>
  <c r="S203" i="1"/>
  <c r="S267" i="1"/>
  <c r="V84" i="1"/>
  <c r="V142" i="1"/>
  <c r="V143" i="1"/>
  <c r="V217" i="1"/>
  <c r="V195" i="1"/>
  <c r="S172" i="1"/>
  <c r="S94" i="1"/>
  <c r="S19" i="1"/>
  <c r="S148" i="1"/>
  <c r="S292" i="1"/>
  <c r="S52" i="1"/>
  <c r="S269" i="1"/>
  <c r="S123" i="1"/>
  <c r="S134" i="1"/>
  <c r="S206" i="1"/>
  <c r="S270" i="1"/>
  <c r="S6" i="1"/>
  <c r="S255" i="1"/>
  <c r="S15" i="1"/>
  <c r="S296" i="1"/>
  <c r="S24" i="1"/>
  <c r="S92" i="1"/>
  <c r="S249" i="1"/>
  <c r="S25" i="1"/>
  <c r="V144" i="1"/>
  <c r="V185" i="1"/>
  <c r="S18" i="1"/>
  <c r="S181" i="1"/>
  <c r="S211" i="1"/>
  <c r="S275" i="1"/>
  <c r="V186" i="1"/>
  <c r="S214" i="1"/>
  <c r="S66" i="1"/>
  <c r="S205" i="1"/>
  <c r="S93" i="1"/>
  <c r="S193" i="1"/>
  <c r="U193" i="1" s="1"/>
  <c r="AI193" i="1" s="1"/>
  <c r="S220" i="1"/>
  <c r="S27" i="1"/>
  <c r="S236" i="1"/>
  <c r="S300" i="1"/>
  <c r="V174" i="1"/>
  <c r="S5" i="1"/>
  <c r="S128" i="1"/>
  <c r="S72" i="1"/>
  <c r="S218" i="1"/>
  <c r="S278" i="1"/>
  <c r="S14" i="1"/>
  <c r="S65" i="1"/>
  <c r="S216" i="1"/>
  <c r="S263" i="1"/>
  <c r="S23" i="1"/>
  <c r="S91" i="1"/>
  <c r="S234" i="1"/>
  <c r="S304" i="1"/>
  <c r="S32" i="1"/>
  <c r="S68" i="1"/>
  <c r="S177" i="1"/>
  <c r="S257" i="1"/>
  <c r="S33" i="1"/>
  <c r="V151" i="1"/>
  <c r="V87" i="1"/>
  <c r="S298" i="1"/>
  <c r="S26" i="1"/>
  <c r="S76" i="1"/>
  <c r="S283" i="1"/>
  <c r="V105" i="1"/>
  <c r="V59" i="1"/>
  <c r="V153" i="1"/>
  <c r="V63" i="1"/>
  <c r="V169" i="1"/>
  <c r="V237" i="1"/>
  <c r="V178" i="1"/>
  <c r="V81" i="1"/>
  <c r="S277" i="1"/>
  <c r="S198" i="1"/>
  <c r="S235" i="1"/>
  <c r="S122" i="1"/>
  <c r="S159" i="1"/>
  <c r="S35" i="1"/>
  <c r="S99" i="1"/>
  <c r="S244" i="1"/>
  <c r="S308" i="1"/>
  <c r="S4" i="1"/>
  <c r="V127" i="1"/>
  <c r="S183" i="1"/>
  <c r="S213" i="1"/>
  <c r="S285" i="1"/>
  <c r="S13" i="1"/>
  <c r="S71" i="1"/>
  <c r="S240" i="1"/>
  <c r="S286" i="1"/>
  <c r="S22" i="1"/>
  <c r="S160" i="1"/>
  <c r="U160" i="1" s="1"/>
  <c r="S271" i="1"/>
  <c r="S31" i="1"/>
  <c r="S97" i="1"/>
  <c r="S248" i="1"/>
  <c r="S40" i="1"/>
  <c r="S121" i="1"/>
  <c r="S102" i="1"/>
  <c r="S265" i="1"/>
  <c r="S41" i="1"/>
  <c r="S306" i="1"/>
  <c r="S34" i="1"/>
  <c r="S188" i="1"/>
  <c r="S115" i="1"/>
  <c r="S291" i="1"/>
  <c r="V129" i="1"/>
  <c r="V149" i="1"/>
  <c r="V96" i="1"/>
  <c r="S301" i="1"/>
  <c r="S258" i="1"/>
  <c r="S210" i="1"/>
  <c r="S222" i="1"/>
  <c r="S103" i="1"/>
  <c r="S43" i="1"/>
  <c r="S108" i="1"/>
  <c r="S110" i="1"/>
  <c r="S252" i="1"/>
  <c r="S12" i="1"/>
  <c r="S82" i="1"/>
  <c r="S70" i="1"/>
  <c r="U70" i="1" s="1"/>
  <c r="S293" i="1"/>
  <c r="S21" i="1"/>
  <c r="S89" i="1"/>
  <c r="S138" i="1"/>
  <c r="S294" i="1"/>
  <c r="S30" i="1"/>
  <c r="S219" i="1"/>
  <c r="S279" i="1"/>
  <c r="S39" i="1"/>
  <c r="S256" i="1"/>
  <c r="S48" i="1"/>
  <c r="S69" i="1"/>
  <c r="S113" i="1"/>
  <c r="S281" i="1"/>
  <c r="S49" i="1"/>
  <c r="S42" i="1"/>
  <c r="S107" i="1"/>
  <c r="S299" i="1"/>
  <c r="V77" i="1"/>
  <c r="V78" i="1"/>
  <c r="V118" i="1"/>
  <c r="V79" i="1"/>
  <c r="V176" i="1"/>
  <c r="V197" i="1"/>
  <c r="V130" i="1"/>
  <c r="S250" i="1"/>
  <c r="S242" i="1"/>
  <c r="S51" i="1"/>
  <c r="S207" i="1"/>
  <c r="S260" i="1"/>
  <c r="S20" i="1"/>
  <c r="S88" i="1"/>
  <c r="S29" i="1"/>
  <c r="S192" i="1"/>
  <c r="S238" i="1"/>
  <c r="S302" i="1"/>
  <c r="S38" i="1"/>
  <c r="S73" i="1"/>
  <c r="S226" i="1"/>
  <c r="S287" i="1"/>
  <c r="S47" i="1"/>
  <c r="S120" i="1"/>
  <c r="S264" i="1"/>
  <c r="S56" i="1"/>
  <c r="S171" i="1"/>
  <c r="S201" i="1"/>
  <c r="S297" i="1"/>
  <c r="S57" i="1"/>
  <c r="V106" i="1"/>
  <c r="S50" i="1"/>
  <c r="S243" i="1"/>
  <c r="S307" i="1"/>
  <c r="V164" i="1"/>
  <c r="V233" i="1"/>
  <c r="V85" i="1"/>
  <c r="V104" i="1"/>
  <c r="V80" i="1"/>
  <c r="S136" i="1"/>
  <c r="S228" i="1"/>
  <c r="S314" i="1"/>
  <c r="S231" i="1"/>
  <c r="S241" i="1"/>
  <c r="S119" i="1"/>
  <c r="S204" i="1"/>
  <c r="S268" i="1"/>
  <c r="S28" i="1"/>
  <c r="S191" i="1"/>
  <c r="S245" i="1"/>
  <c r="S309" i="1"/>
  <c r="S37" i="1"/>
  <c r="S246" i="1"/>
  <c r="S310" i="1"/>
  <c r="S46" i="1"/>
  <c r="S90" i="1"/>
  <c r="S232" i="1"/>
  <c r="S295" i="1"/>
  <c r="S55" i="1"/>
  <c r="S165" i="1"/>
  <c r="S200" i="1"/>
  <c r="S272" i="1"/>
  <c r="S179" i="1"/>
  <c r="S209" i="1"/>
  <c r="S305" i="1"/>
  <c r="V166" i="1"/>
  <c r="S266" i="1"/>
  <c r="S58" i="1"/>
  <c r="S109" i="1"/>
  <c r="S251" i="1"/>
  <c r="V126" i="1"/>
  <c r="V135" i="1"/>
  <c r="V189" i="1"/>
  <c r="V140" i="1"/>
  <c r="V163" i="1"/>
  <c r="V141" i="1"/>
  <c r="V196" i="1"/>
  <c r="AI64" i="1"/>
  <c r="AI81" i="1"/>
  <c r="AI190" i="1"/>
  <c r="AI83" i="1"/>
  <c r="AI111" i="1"/>
  <c r="AI185" i="1"/>
  <c r="AI78" i="1"/>
  <c r="AI237" i="1"/>
  <c r="AI189" i="1"/>
  <c r="AI59" i="1"/>
  <c r="AI217" i="1"/>
  <c r="AI158" i="1"/>
  <c r="AI147" i="1"/>
  <c r="AI125" i="1"/>
  <c r="AI151" i="1"/>
  <c r="AI313" i="1"/>
  <c r="AI142" i="1"/>
  <c r="AI85" i="1"/>
  <c r="AI186" i="1"/>
  <c r="AI196" i="1"/>
  <c r="AI149" i="1"/>
  <c r="AI96" i="1"/>
  <c r="AI112" i="1"/>
  <c r="AI144" i="1"/>
  <c r="AI157" i="1"/>
  <c r="AI77" i="1"/>
  <c r="AI84" i="1"/>
  <c r="AI98" i="1"/>
  <c r="AI141" i="1"/>
  <c r="AI146" i="1"/>
  <c r="AI101" i="1"/>
  <c r="AI152" i="1"/>
  <c r="AI137" i="1"/>
  <c r="AI174" i="1"/>
  <c r="AI127" i="1"/>
  <c r="AI178" i="1"/>
  <c r="AI80" i="1"/>
  <c r="AI166" i="1"/>
  <c r="AI87" i="1"/>
  <c r="AI145" i="1"/>
  <c r="AI163" i="1"/>
  <c r="AI162" i="1"/>
  <c r="AI312" i="1"/>
  <c r="AI170" i="1"/>
  <c r="AI167" i="1"/>
  <c r="AI176" i="1"/>
  <c r="AI79" i="1"/>
  <c r="AI133" i="1"/>
  <c r="AI154" i="1"/>
  <c r="AI61" i="1"/>
  <c r="AI118" i="1"/>
  <c r="AI105" i="1"/>
  <c r="AI233" i="1"/>
  <c r="AI124" i="1"/>
  <c r="AI130" i="1"/>
  <c r="AI169" i="1"/>
  <c r="AI129" i="1"/>
  <c r="AI156" i="1"/>
  <c r="AI106" i="1"/>
  <c r="AI153" i="1"/>
  <c r="AI60" i="1"/>
  <c r="AI197" i="1"/>
  <c r="AI135" i="1"/>
  <c r="AI126" i="1"/>
  <c r="AI164" i="1"/>
  <c r="AI67" i="1"/>
  <c r="AI131" i="1"/>
  <c r="AI143" i="1"/>
  <c r="AI75" i="1"/>
  <c r="AI140" i="1"/>
  <c r="AI150" i="1"/>
  <c r="AI195" i="1"/>
  <c r="AI104" i="1"/>
  <c r="AI223" i="1"/>
  <c r="AI161" i="1"/>
  <c r="AI63" i="1"/>
  <c r="AI303" i="1"/>
  <c r="C63" i="16" l="1"/>
  <c r="AQ148" i="1"/>
  <c r="AR148" i="1" s="1"/>
  <c r="AP148" i="1"/>
  <c r="AQ135" i="1"/>
  <c r="AR135" i="1" s="1"/>
  <c r="AP135" i="1"/>
  <c r="AR142" i="1"/>
  <c r="AQ71" i="1"/>
  <c r="AP71" i="1"/>
  <c r="AR133" i="1"/>
  <c r="AR242" i="1"/>
  <c r="AR237" i="1"/>
  <c r="AR143" i="1"/>
  <c r="AR141" i="1"/>
  <c r="AR164" i="1"/>
  <c r="AR145" i="1"/>
  <c r="AR163" i="1"/>
  <c r="AR198" i="1"/>
  <c r="AQ74" i="1"/>
  <c r="AP74" i="1"/>
  <c r="AR219" i="1"/>
  <c r="AQ62" i="1"/>
  <c r="AR62" i="1" s="1"/>
  <c r="AP62" i="1"/>
  <c r="AQ82" i="1"/>
  <c r="AR82" i="1" s="1"/>
  <c r="AP82" i="1"/>
  <c r="AQ73" i="1"/>
  <c r="AP73" i="1"/>
  <c r="AQ60" i="1"/>
  <c r="AR225" i="1" s="1"/>
  <c r="AP60" i="1"/>
  <c r="AQ69" i="1"/>
  <c r="AP69" i="1"/>
  <c r="AQ77" i="1"/>
  <c r="AP77" i="1"/>
  <c r="AQ76" i="1"/>
  <c r="AP76" i="1"/>
  <c r="AQ59" i="1"/>
  <c r="AR59" i="1" s="1"/>
  <c r="AP59" i="1"/>
  <c r="AQ68" i="1"/>
  <c r="AR68" i="1" s="1"/>
  <c r="AP68" i="1"/>
  <c r="AQ72" i="1"/>
  <c r="AR150" i="1" s="1"/>
  <c r="AP72" i="1"/>
  <c r="AR173" i="1"/>
  <c r="AR183" i="1"/>
  <c r="AR127" i="1"/>
  <c r="AR125" i="1"/>
  <c r="AR116" i="1"/>
  <c r="AQ89" i="1"/>
  <c r="AR89" i="1" s="1"/>
  <c r="AP89" i="1"/>
  <c r="AQ91" i="1"/>
  <c r="AP91" i="1"/>
  <c r="AQ112" i="1"/>
  <c r="AP112" i="1"/>
  <c r="AR220" i="1"/>
  <c r="AQ114" i="1"/>
  <c r="AR235" i="1" s="1"/>
  <c r="AP114" i="1"/>
  <c r="AQ106" i="1"/>
  <c r="AR186" i="1" s="1"/>
  <c r="AP106" i="1"/>
  <c r="AQ100" i="1"/>
  <c r="AP100" i="1"/>
  <c r="AQ92" i="1"/>
  <c r="AR169" i="1" s="1"/>
  <c r="AP92" i="1"/>
  <c r="AQ99" i="1"/>
  <c r="AR99" i="1" s="1"/>
  <c r="AP99" i="1"/>
  <c r="AQ111" i="1"/>
  <c r="AP111" i="1"/>
  <c r="AQ97" i="1"/>
  <c r="AR176" i="1" s="1"/>
  <c r="AP97" i="1"/>
  <c r="AR231" i="1"/>
  <c r="AR171" i="1"/>
  <c r="AR196" i="1"/>
  <c r="AR195" i="1"/>
  <c r="AR146" i="1"/>
  <c r="AQ110" i="1"/>
  <c r="AR188" i="1" s="1"/>
  <c r="AP110" i="1"/>
  <c r="AR144" i="1"/>
  <c r="AQ115" i="1"/>
  <c r="AR227" i="1" s="1"/>
  <c r="AP115" i="1"/>
  <c r="AR129" i="1"/>
  <c r="AQ70" i="1"/>
  <c r="AR221" i="1" s="1"/>
  <c r="AP70" i="1"/>
  <c r="AQ109" i="1"/>
  <c r="AR187" i="1" s="1"/>
  <c r="AP109" i="1"/>
  <c r="AR156" i="1"/>
  <c r="AQ87" i="1"/>
  <c r="AR162" i="1" s="1"/>
  <c r="AP87" i="1"/>
  <c r="AQ88" i="1"/>
  <c r="AR165" i="1" s="1"/>
  <c r="AP88" i="1"/>
  <c r="AQ98" i="1"/>
  <c r="AR95" i="1" s="1"/>
  <c r="AP98" i="1"/>
  <c r="AQ93" i="1"/>
  <c r="AP93" i="1"/>
  <c r="AQ90" i="1"/>
  <c r="AR90" i="1" s="1"/>
  <c r="AP90" i="1"/>
  <c r="AR136" i="1"/>
  <c r="AQ85" i="1"/>
  <c r="AR160" i="1" s="1"/>
  <c r="AP85" i="1"/>
  <c r="AQ102" i="1"/>
  <c r="AP102" i="1"/>
  <c r="AR194" i="1"/>
  <c r="AR197" i="1"/>
  <c r="AR199" i="1"/>
  <c r="AR167" i="1"/>
  <c r="AR218" i="1"/>
  <c r="AR147" i="1"/>
  <c r="AR207" i="1"/>
  <c r="AR94" i="1"/>
  <c r="AR224" i="1"/>
  <c r="AR174" i="1"/>
  <c r="AR233" i="1"/>
  <c r="AR223" i="1"/>
  <c r="AR214" i="1"/>
  <c r="AR215" i="1"/>
  <c r="AR191" i="1"/>
  <c r="AR166" i="1"/>
  <c r="AR189" i="1"/>
  <c r="AR185" i="1"/>
  <c r="AR216" i="1"/>
  <c r="AR155" i="1"/>
  <c r="AR179" i="1"/>
  <c r="AR130" i="1"/>
  <c r="AR168" i="1"/>
  <c r="AR138" i="1"/>
  <c r="AR159" i="1"/>
  <c r="AR157" i="1"/>
  <c r="AR192" i="1"/>
  <c r="AR128" i="1"/>
  <c r="AR151" i="1"/>
  <c r="AR190" i="1"/>
  <c r="AR229" i="1"/>
  <c r="AR170" i="1"/>
  <c r="AR131" i="1"/>
  <c r="AR137" i="1"/>
  <c r="AR152" i="1"/>
  <c r="AR226" i="1"/>
  <c r="AR119" i="1"/>
  <c r="AR158" i="1"/>
  <c r="AR181" i="1"/>
  <c r="AR172" i="1"/>
  <c r="AR228" i="1"/>
  <c r="AR180" i="1"/>
  <c r="AR154" i="1"/>
  <c r="AR69" i="1"/>
  <c r="AR178" i="1"/>
  <c r="AR126" i="1"/>
  <c r="AR149" i="1"/>
  <c r="AR175" i="1"/>
  <c r="AR182" i="1"/>
  <c r="AQ213" i="1"/>
  <c r="AR213" i="1" s="1"/>
  <c r="AP213" i="1"/>
  <c r="AQ209" i="1"/>
  <c r="AR209" i="1" s="1"/>
  <c r="AP209" i="1"/>
  <c r="AQ245" i="1"/>
  <c r="AR245" i="1" s="1"/>
  <c r="AP245" i="1"/>
  <c r="AQ122" i="1"/>
  <c r="AR122" i="1" s="1"/>
  <c r="AP122" i="1"/>
  <c r="AQ66" i="1"/>
  <c r="AR66" i="1" s="1"/>
  <c r="AP66" i="1"/>
  <c r="AQ132" i="1"/>
  <c r="AR132" i="1" s="1"/>
  <c r="AP132" i="1"/>
  <c r="AQ211" i="1"/>
  <c r="AR211" i="1" s="1"/>
  <c r="AP211" i="1"/>
  <c r="AQ47" i="1"/>
  <c r="AR47" i="1" s="1"/>
  <c r="AP47" i="1"/>
  <c r="AQ249" i="1"/>
  <c r="AR249" i="1" s="1"/>
  <c r="AP249" i="1"/>
  <c r="AQ5" i="1"/>
  <c r="AR5" i="1" s="1"/>
  <c r="AP5" i="1"/>
  <c r="AQ285" i="1"/>
  <c r="AR285" i="1" s="1"/>
  <c r="AP285" i="1"/>
  <c r="AQ266" i="1"/>
  <c r="AR266" i="1" s="1"/>
  <c r="AP266" i="1"/>
  <c r="AQ22" i="1"/>
  <c r="AR22" i="1" s="1"/>
  <c r="AP22" i="1"/>
  <c r="AQ310" i="1"/>
  <c r="AR310" i="1" s="1"/>
  <c r="AP310" i="1"/>
  <c r="AQ139" i="1"/>
  <c r="AR139" i="1" s="1"/>
  <c r="AP139" i="1"/>
  <c r="AQ23" i="1"/>
  <c r="AR23" i="1" s="1"/>
  <c r="AP23" i="1"/>
  <c r="AQ8" i="1"/>
  <c r="AR8" i="1" s="1"/>
  <c r="AP8" i="1"/>
  <c r="AQ27" i="1"/>
  <c r="AR27" i="1" s="1"/>
  <c r="AP27" i="1"/>
  <c r="AQ44" i="1"/>
  <c r="AR44" i="1" s="1"/>
  <c r="AP44" i="1"/>
  <c r="AQ9" i="1"/>
  <c r="AR9" i="1" s="1"/>
  <c r="AP9" i="1"/>
  <c r="AQ36" i="1"/>
  <c r="AR36" i="1" s="1"/>
  <c r="AP36" i="1"/>
  <c r="AQ305" i="1"/>
  <c r="AR305" i="1" s="1"/>
  <c r="AP305" i="1"/>
  <c r="AQ292" i="1"/>
  <c r="AR292" i="1" s="1"/>
  <c r="AP292" i="1"/>
  <c r="AQ270" i="1"/>
  <c r="AR270" i="1" s="1"/>
  <c r="AP270" i="1"/>
  <c r="AQ26" i="1"/>
  <c r="AR26" i="1" s="1"/>
  <c r="AP26" i="1"/>
  <c r="AQ255" i="1"/>
  <c r="AR255" i="1" s="1"/>
  <c r="AP255" i="1"/>
  <c r="AQ117" i="1"/>
  <c r="AR117" i="1" s="1"/>
  <c r="AP117" i="1"/>
  <c r="AQ49" i="1"/>
  <c r="AR49" i="1" s="1"/>
  <c r="AP49" i="1"/>
  <c r="AQ31" i="1"/>
  <c r="AR31" i="1" s="1"/>
  <c r="AP31" i="1"/>
  <c r="AQ247" i="1"/>
  <c r="AR247" i="1" s="1"/>
  <c r="AP247" i="1"/>
  <c r="AQ201" i="1"/>
  <c r="AR201" i="1" s="1"/>
  <c r="AP201" i="1"/>
  <c r="AQ29" i="1"/>
  <c r="AR29" i="1" s="1"/>
  <c r="AP29" i="1"/>
  <c r="AQ246" i="1"/>
  <c r="AR246" i="1" s="1"/>
  <c r="AP246" i="1"/>
  <c r="AQ314" i="1"/>
  <c r="AR314" i="1" s="1"/>
  <c r="AP314" i="1"/>
  <c r="AQ11" i="1"/>
  <c r="AR11" i="1" s="1"/>
  <c r="AP11" i="1"/>
  <c r="AQ287" i="1"/>
  <c r="AR287" i="1" s="1"/>
  <c r="AP287" i="1"/>
  <c r="AQ177" i="1"/>
  <c r="AR177" i="1" s="1"/>
  <c r="AP177" i="1"/>
  <c r="AQ279" i="1"/>
  <c r="AR279" i="1" s="1"/>
  <c r="AP279" i="1"/>
  <c r="AQ56" i="1"/>
  <c r="AR56" i="1" s="1"/>
  <c r="AP56" i="1"/>
  <c r="AQ210" i="1"/>
  <c r="AR210" i="1" s="1"/>
  <c r="AP210" i="1"/>
  <c r="AQ293" i="1"/>
  <c r="AR293" i="1" s="1"/>
  <c r="AP293" i="1"/>
  <c r="AQ274" i="1"/>
  <c r="AR274" i="1" s="1"/>
  <c r="AP274" i="1"/>
  <c r="AQ51" i="1"/>
  <c r="AR51" i="1" s="1"/>
  <c r="AP51" i="1"/>
  <c r="AQ20" i="1"/>
  <c r="AR20" i="1" s="1"/>
  <c r="AP20" i="1"/>
  <c r="AQ311" i="1"/>
  <c r="AR311" i="1" s="1"/>
  <c r="AP311" i="1"/>
  <c r="AQ254" i="1"/>
  <c r="AR254" i="1" s="1"/>
  <c r="AP254" i="1"/>
  <c r="AQ10" i="1"/>
  <c r="AR10" i="1" s="1"/>
  <c r="AP10" i="1"/>
  <c r="AQ248" i="1"/>
  <c r="AR248" i="1" s="1"/>
  <c r="AP248" i="1"/>
  <c r="AQ269" i="1"/>
  <c r="AR269" i="1" s="1"/>
  <c r="AP269" i="1"/>
  <c r="AQ250" i="1"/>
  <c r="AR250" i="1" s="1"/>
  <c r="AP250" i="1"/>
  <c r="AQ259" i="1"/>
  <c r="AR259" i="1" s="1"/>
  <c r="AP259" i="1"/>
  <c r="AQ7" i="1"/>
  <c r="AR7" i="1" s="1"/>
  <c r="AP7" i="1"/>
  <c r="AQ276" i="1"/>
  <c r="AR276" i="1" s="1"/>
  <c r="AP276" i="1"/>
  <c r="AQ103" i="1"/>
  <c r="AR103" i="1" s="1"/>
  <c r="AP103" i="1"/>
  <c r="AQ268" i="1"/>
  <c r="AR268" i="1" s="1"/>
  <c r="AP268" i="1"/>
  <c r="AQ288" i="1"/>
  <c r="AR288" i="1" s="1"/>
  <c r="AP288" i="1"/>
  <c r="AQ19" i="1"/>
  <c r="AR19" i="1" s="1"/>
  <c r="AP19" i="1"/>
  <c r="AQ205" i="1"/>
  <c r="AR205" i="1" s="1"/>
  <c r="AP205" i="1"/>
  <c r="AQ57" i="1"/>
  <c r="AR57" i="1" s="1"/>
  <c r="AP57" i="1"/>
  <c r="AQ107" i="1"/>
  <c r="AR107" i="1" s="1"/>
  <c r="AP107" i="1"/>
  <c r="AQ263" i="1"/>
  <c r="AR263" i="1" s="1"/>
  <c r="AP263" i="1"/>
  <c r="AQ40" i="1"/>
  <c r="AR40" i="1" s="1"/>
  <c r="AP40" i="1"/>
  <c r="AQ25" i="1"/>
  <c r="AR25" i="1" s="1"/>
  <c r="AP25" i="1"/>
  <c r="AQ277" i="1"/>
  <c r="AR277" i="1" s="1"/>
  <c r="AP277" i="1"/>
  <c r="AQ258" i="1"/>
  <c r="AR258" i="1" s="1"/>
  <c r="AP258" i="1"/>
  <c r="AQ33" i="1"/>
  <c r="AR33" i="1" s="1"/>
  <c r="AP33" i="1"/>
  <c r="AQ53" i="1"/>
  <c r="AR53" i="1" s="1"/>
  <c r="AP53" i="1"/>
  <c r="AQ50" i="1"/>
  <c r="AR50" i="1" s="1"/>
  <c r="AP50" i="1"/>
  <c r="AQ120" i="1"/>
  <c r="AR120" i="1" s="1"/>
  <c r="AP120" i="1"/>
  <c r="AQ121" i="1"/>
  <c r="AR121" i="1" s="1"/>
  <c r="AP121" i="1"/>
  <c r="AQ28" i="1"/>
  <c r="AR28" i="1" s="1"/>
  <c r="AP28" i="1"/>
  <c r="AQ134" i="1"/>
  <c r="AR134" i="1" s="1"/>
  <c r="AP134" i="1"/>
  <c r="AQ212" i="1"/>
  <c r="AR212" i="1" s="1"/>
  <c r="AP212" i="1"/>
  <c r="AQ272" i="1"/>
  <c r="AR272" i="1" s="1"/>
  <c r="AP272" i="1"/>
  <c r="AQ15" i="1"/>
  <c r="AR15" i="1" s="1"/>
  <c r="AP15" i="1"/>
  <c r="AQ41" i="1"/>
  <c r="AR41" i="1" s="1"/>
  <c r="AP41" i="1"/>
  <c r="AQ4" i="1"/>
  <c r="AR4" i="1" s="1"/>
  <c r="AP4" i="1"/>
  <c r="AQ265" i="1"/>
  <c r="AR265" i="1" s="1"/>
  <c r="AP265" i="1"/>
  <c r="AQ21" i="1"/>
  <c r="AR21" i="1" s="1"/>
  <c r="AP21" i="1"/>
  <c r="AQ298" i="1"/>
  <c r="AR298" i="1" s="1"/>
  <c r="AP298" i="1"/>
  <c r="AQ251" i="1"/>
  <c r="AR251" i="1" s="1"/>
  <c r="AP251" i="1"/>
  <c r="AQ38" i="1"/>
  <c r="AR38" i="1" s="1"/>
  <c r="AP38" i="1"/>
  <c r="AQ55" i="1"/>
  <c r="AR55" i="1" s="1"/>
  <c r="AP55" i="1"/>
  <c r="AQ271" i="1"/>
  <c r="AR271" i="1" s="1"/>
  <c r="AP271" i="1"/>
  <c r="AQ48" i="1"/>
  <c r="AR48" i="1" s="1"/>
  <c r="AP48" i="1"/>
  <c r="AQ261" i="1"/>
  <c r="AR261" i="1" s="1"/>
  <c r="AP261" i="1"/>
  <c r="AQ208" i="1"/>
  <c r="AR208" i="1" s="1"/>
  <c r="AP208" i="1"/>
  <c r="AQ12" i="1"/>
  <c r="AR12" i="1" s="1"/>
  <c r="AP12" i="1"/>
  <c r="AQ273" i="1"/>
  <c r="AR273" i="1" s="1"/>
  <c r="AP273" i="1"/>
  <c r="AQ24" i="1"/>
  <c r="AR24" i="1" s="1"/>
  <c r="AP24" i="1"/>
  <c r="AQ206" i="1"/>
  <c r="AR206" i="1" s="1"/>
  <c r="AP206" i="1"/>
  <c r="AQ253" i="1"/>
  <c r="AR253" i="1" s="1"/>
  <c r="AP253" i="1"/>
  <c r="AQ202" i="1"/>
  <c r="AR202" i="1" s="1"/>
  <c r="AP202" i="1"/>
  <c r="AQ42" i="1"/>
  <c r="AR42" i="1" s="1"/>
  <c r="AP42" i="1"/>
  <c r="AQ6" i="1"/>
  <c r="AR6" i="1" s="1"/>
  <c r="AP6" i="1"/>
  <c r="AQ45" i="1"/>
  <c r="AR45" i="1" s="1"/>
  <c r="AP45" i="1"/>
  <c r="AQ278" i="1"/>
  <c r="AR278" i="1" s="1"/>
  <c r="AP278" i="1"/>
  <c r="AQ34" i="1"/>
  <c r="AR34" i="1" s="1"/>
  <c r="AP34" i="1"/>
  <c r="AQ204" i="1"/>
  <c r="AR204" i="1" s="1"/>
  <c r="AP204" i="1"/>
  <c r="AQ260" i="1"/>
  <c r="AR260" i="1" s="1"/>
  <c r="AP260" i="1"/>
  <c r="AQ267" i="1"/>
  <c r="AR267" i="1" s="1"/>
  <c r="AP267" i="1"/>
  <c r="AQ203" i="1"/>
  <c r="AR203" i="1" s="1"/>
  <c r="AP203" i="1"/>
  <c r="AQ39" i="1"/>
  <c r="AR39" i="1" s="1"/>
  <c r="AP39" i="1"/>
  <c r="AQ308" i="1"/>
  <c r="AR308" i="1" s="1"/>
  <c r="AP308" i="1"/>
  <c r="AQ32" i="1"/>
  <c r="AR32" i="1" s="1"/>
  <c r="AP32" i="1"/>
  <c r="AQ35" i="1"/>
  <c r="AR35" i="1" s="1"/>
  <c r="AP35" i="1"/>
  <c r="AQ43" i="1"/>
  <c r="AR43" i="1" s="1"/>
  <c r="AP43" i="1"/>
  <c r="AQ256" i="1"/>
  <c r="AR256" i="1" s="1"/>
  <c r="AP256" i="1"/>
  <c r="AQ58" i="1"/>
  <c r="AR58" i="1" s="1"/>
  <c r="AP58" i="1"/>
  <c r="AQ52" i="1"/>
  <c r="AR52" i="1" s="1"/>
  <c r="AP52" i="1"/>
  <c r="AQ17" i="1"/>
  <c r="AR17" i="1" s="1"/>
  <c r="AP17" i="1"/>
  <c r="AQ108" i="1"/>
  <c r="AR108" i="1" s="1"/>
  <c r="AP108" i="1"/>
  <c r="AQ309" i="1"/>
  <c r="AR309" i="1" s="1"/>
  <c r="AP309" i="1"/>
  <c r="AQ290" i="1"/>
  <c r="AR290" i="1" s="1"/>
  <c r="AP290" i="1"/>
  <c r="AQ13" i="1"/>
  <c r="AR13" i="1" s="1"/>
  <c r="AP13" i="1"/>
  <c r="AQ257" i="1"/>
  <c r="AR257" i="1" s="1"/>
  <c r="AP257" i="1"/>
  <c r="AQ30" i="1"/>
  <c r="AR30" i="1" s="1"/>
  <c r="AP30" i="1"/>
  <c r="AQ37" i="1"/>
  <c r="AR37" i="1" s="1"/>
  <c r="AP37" i="1"/>
  <c r="AQ262" i="1"/>
  <c r="AR262" i="1" s="1"/>
  <c r="AP262" i="1"/>
  <c r="AQ18" i="1"/>
  <c r="AR18" i="1" s="1"/>
  <c r="AP18" i="1"/>
  <c r="AQ264" i="1"/>
  <c r="AR264" i="1" s="1"/>
  <c r="AP264" i="1"/>
  <c r="AQ54" i="1"/>
  <c r="AR54" i="1" s="1"/>
  <c r="AP54" i="1"/>
  <c r="AQ275" i="1"/>
  <c r="AR275" i="1" s="1"/>
  <c r="AP275" i="1"/>
  <c r="AQ16" i="1"/>
  <c r="AR16" i="1" s="1"/>
  <c r="AP16" i="1"/>
  <c r="V116" i="1"/>
  <c r="V193" i="1"/>
  <c r="AI117" i="1"/>
  <c r="U20" i="1"/>
  <c r="AI20" i="1" s="1"/>
  <c r="U97" i="1"/>
  <c r="AI97" i="1" s="1"/>
  <c r="U278" i="1"/>
  <c r="V278" i="1" s="1"/>
  <c r="U267" i="1"/>
  <c r="AI267" i="1" s="1"/>
  <c r="U247" i="1"/>
  <c r="V247" i="1" s="1"/>
  <c r="U309" i="1"/>
  <c r="V309" i="1" s="1"/>
  <c r="U231" i="1"/>
  <c r="V231" i="1" s="1"/>
  <c r="U201" i="1"/>
  <c r="AI201" i="1" s="1"/>
  <c r="U73" i="1"/>
  <c r="AI73" i="1" s="1"/>
  <c r="U260" i="1"/>
  <c r="V260" i="1" s="1"/>
  <c r="U281" i="1"/>
  <c r="AI281" i="1" s="1"/>
  <c r="U30" i="1"/>
  <c r="AI30" i="1" s="1"/>
  <c r="U12" i="1"/>
  <c r="V12" i="1" s="1"/>
  <c r="U222" i="1"/>
  <c r="AI222" i="1" s="1"/>
  <c r="U41" i="1"/>
  <c r="AI41" i="1" s="1"/>
  <c r="U31" i="1"/>
  <c r="V31" i="1" s="1"/>
  <c r="U285" i="1"/>
  <c r="AI285" i="1" s="1"/>
  <c r="U35" i="1"/>
  <c r="V35" i="1" s="1"/>
  <c r="U234" i="1"/>
  <c r="V234" i="1" s="1"/>
  <c r="U218" i="1"/>
  <c r="AI218" i="1" s="1"/>
  <c r="U66" i="1"/>
  <c r="V66" i="1" s="1"/>
  <c r="U18" i="1"/>
  <c r="AI18" i="1" s="1"/>
  <c r="U15" i="1"/>
  <c r="AI15" i="1" s="1"/>
  <c r="U203" i="1"/>
  <c r="AI203" i="1" s="1"/>
  <c r="U86" i="1"/>
  <c r="AI86" i="1" s="1"/>
  <c r="U194" i="1"/>
  <c r="V194" i="1" s="1"/>
  <c r="U44" i="1"/>
  <c r="V44" i="1" s="1"/>
  <c r="U290" i="1"/>
  <c r="AI290" i="1" s="1"/>
  <c r="U2" i="1"/>
  <c r="V2" i="1" s="1"/>
  <c r="U208" i="1"/>
  <c r="AI208" i="1" s="1"/>
  <c r="U100" i="1"/>
  <c r="V100" i="1" s="1"/>
  <c r="U187" i="1"/>
  <c r="V187" i="1" s="1"/>
  <c r="U297" i="1"/>
  <c r="V297" i="1" s="1"/>
  <c r="U219" i="1"/>
  <c r="AI219" i="1" s="1"/>
  <c r="U99" i="1"/>
  <c r="V99" i="1" s="1"/>
  <c r="U296" i="1"/>
  <c r="AI296" i="1" s="1"/>
  <c r="U253" i="1"/>
  <c r="V253" i="1" s="1"/>
  <c r="U305" i="1"/>
  <c r="V305" i="1" s="1"/>
  <c r="U295" i="1"/>
  <c r="V295" i="1" s="1"/>
  <c r="U245" i="1"/>
  <c r="AI245" i="1" s="1"/>
  <c r="U307" i="1"/>
  <c r="V307" i="1" s="1"/>
  <c r="U171" i="1"/>
  <c r="V171" i="1" s="1"/>
  <c r="U38" i="1"/>
  <c r="V38" i="1" s="1"/>
  <c r="U207" i="1"/>
  <c r="V207" i="1" s="1"/>
  <c r="U299" i="1"/>
  <c r="V299" i="1" s="1"/>
  <c r="U113" i="1"/>
  <c r="AI113" i="1" s="1"/>
  <c r="U294" i="1"/>
  <c r="AI294" i="1" s="1"/>
  <c r="U252" i="1"/>
  <c r="AI252" i="1" s="1"/>
  <c r="U210" i="1"/>
  <c r="V210" i="1" s="1"/>
  <c r="U291" i="1"/>
  <c r="V291" i="1" s="1"/>
  <c r="U265" i="1"/>
  <c r="V265" i="1" s="1"/>
  <c r="U271" i="1"/>
  <c r="V271" i="1" s="1"/>
  <c r="U213" i="1"/>
  <c r="AI213" i="1" s="1"/>
  <c r="U91" i="1"/>
  <c r="AI91" i="1" s="1"/>
  <c r="U72" i="1"/>
  <c r="AI72" i="1" s="1"/>
  <c r="U220" i="1"/>
  <c r="V220" i="1" s="1"/>
  <c r="U214" i="1"/>
  <c r="V214" i="1" s="1"/>
  <c r="U255" i="1"/>
  <c r="V255" i="1" s="1"/>
  <c r="U52" i="1"/>
  <c r="V52" i="1" s="1"/>
  <c r="U139" i="1"/>
  <c r="V139" i="1" s="1"/>
  <c r="U16" i="1"/>
  <c r="AI16" i="1" s="1"/>
  <c r="U262" i="1"/>
  <c r="V262" i="1" s="1"/>
  <c r="U284" i="1"/>
  <c r="V284" i="1" s="1"/>
  <c r="U274" i="1"/>
  <c r="V274" i="1" s="1"/>
  <c r="U239" i="1"/>
  <c r="V239" i="1" s="1"/>
  <c r="U155" i="1"/>
  <c r="AI155" i="1" s="1"/>
  <c r="U229" i="1"/>
  <c r="V229" i="1" s="1"/>
  <c r="U103" i="1"/>
  <c r="AI103" i="1" s="1"/>
  <c r="U298" i="1"/>
  <c r="AI298" i="1" s="1"/>
  <c r="U269" i="1"/>
  <c r="AI269" i="1" s="1"/>
  <c r="U230" i="1"/>
  <c r="V230" i="1" s="1"/>
  <c r="U251" i="1"/>
  <c r="AI251" i="1" s="1"/>
  <c r="U209" i="1"/>
  <c r="AI209" i="1" s="1"/>
  <c r="U232" i="1"/>
  <c r="V232" i="1" s="1"/>
  <c r="U191" i="1"/>
  <c r="V191" i="1" s="1"/>
  <c r="U243" i="1"/>
  <c r="AI243" i="1" s="1"/>
  <c r="U56" i="1"/>
  <c r="V56" i="1" s="1"/>
  <c r="U302" i="1"/>
  <c r="V302" i="1" s="1"/>
  <c r="U51" i="1"/>
  <c r="V51" i="1" s="1"/>
  <c r="V114" i="1"/>
  <c r="U69" i="1"/>
  <c r="V69" i="1" s="1"/>
  <c r="U138" i="1"/>
  <c r="V138" i="1" s="1"/>
  <c r="U110" i="1"/>
  <c r="AI110" i="1" s="1"/>
  <c r="U258" i="1"/>
  <c r="V258" i="1" s="1"/>
  <c r="U115" i="1"/>
  <c r="AI115" i="1" s="1"/>
  <c r="U102" i="1"/>
  <c r="AI102" i="1" s="1"/>
  <c r="U183" i="1"/>
  <c r="V183" i="1" s="1"/>
  <c r="U159" i="1"/>
  <c r="AI159" i="1" s="1"/>
  <c r="U33" i="1"/>
  <c r="AI33" i="1" s="1"/>
  <c r="U23" i="1"/>
  <c r="V23" i="1" s="1"/>
  <c r="U128" i="1"/>
  <c r="AI128" i="1" s="1"/>
  <c r="U6" i="1"/>
  <c r="V6" i="1" s="1"/>
  <c r="U292" i="1"/>
  <c r="V292" i="1" s="1"/>
  <c r="U10" i="1"/>
  <c r="V10" i="1" s="1"/>
  <c r="U288" i="1"/>
  <c r="V288" i="1" s="1"/>
  <c r="U215" i="1"/>
  <c r="V215" i="1" s="1"/>
  <c r="U224" i="1"/>
  <c r="V224" i="1" s="1"/>
  <c r="U95" i="1"/>
  <c r="V95" i="1" s="1"/>
  <c r="U36" i="1"/>
  <c r="V36" i="1" s="1"/>
  <c r="U202" i="1"/>
  <c r="V202" i="1" s="1"/>
  <c r="U241" i="1"/>
  <c r="V241" i="1" s="1"/>
  <c r="U82" i="1"/>
  <c r="AI82" i="1" s="1"/>
  <c r="U205" i="1"/>
  <c r="AI205" i="1" s="1"/>
  <c r="U273" i="1"/>
  <c r="V273" i="1" s="1"/>
  <c r="U109" i="1"/>
  <c r="V109" i="1" s="1"/>
  <c r="U179" i="1"/>
  <c r="V179" i="1" s="1"/>
  <c r="U90" i="1"/>
  <c r="AI90" i="1" s="1"/>
  <c r="U28" i="1"/>
  <c r="AI28" i="1" s="1"/>
  <c r="U314" i="1"/>
  <c r="V314" i="1" s="1"/>
  <c r="U50" i="1"/>
  <c r="AI50" i="1" s="1"/>
  <c r="U264" i="1"/>
  <c r="V264" i="1" s="1"/>
  <c r="U238" i="1"/>
  <c r="V238" i="1" s="1"/>
  <c r="U107" i="1"/>
  <c r="V107" i="1" s="1"/>
  <c r="U48" i="1"/>
  <c r="AI48" i="1" s="1"/>
  <c r="U89" i="1"/>
  <c r="V89" i="1" s="1"/>
  <c r="U108" i="1"/>
  <c r="AI108" i="1" s="1"/>
  <c r="U301" i="1"/>
  <c r="AI301" i="1" s="1"/>
  <c r="U188" i="1"/>
  <c r="AI188" i="1" s="1"/>
  <c r="U121" i="1"/>
  <c r="V121" i="1" s="1"/>
  <c r="U22" i="1"/>
  <c r="AI22" i="1" s="1"/>
  <c r="U257" i="1"/>
  <c r="AI257" i="1" s="1"/>
  <c r="U263" i="1"/>
  <c r="V263" i="1" s="1"/>
  <c r="U5" i="1"/>
  <c r="V5" i="1" s="1"/>
  <c r="U25" i="1"/>
  <c r="AI25" i="1" s="1"/>
  <c r="U270" i="1"/>
  <c r="AI270" i="1" s="1"/>
  <c r="U148" i="1"/>
  <c r="V148" i="1" s="1"/>
  <c r="U282" i="1"/>
  <c r="AI282" i="1" s="1"/>
  <c r="U227" i="1"/>
  <c r="AI227" i="1" s="1"/>
  <c r="U53" i="1"/>
  <c r="V53" i="1" s="1"/>
  <c r="U182" i="1"/>
  <c r="V182" i="1" s="1"/>
  <c r="U9" i="1"/>
  <c r="AI9" i="1" s="1"/>
  <c r="U54" i="1"/>
  <c r="V54" i="1" s="1"/>
  <c r="U276" i="1"/>
  <c r="AI276" i="1" s="1"/>
  <c r="U168" i="1"/>
  <c r="V168" i="1" s="1"/>
  <c r="U226" i="1"/>
  <c r="AI226" i="1" s="1"/>
  <c r="U304" i="1"/>
  <c r="V304" i="1" s="1"/>
  <c r="U173" i="1"/>
  <c r="V173" i="1" s="1"/>
  <c r="U58" i="1"/>
  <c r="AI58" i="1" s="1"/>
  <c r="U46" i="1"/>
  <c r="V46" i="1" s="1"/>
  <c r="U268" i="1"/>
  <c r="V268" i="1" s="1"/>
  <c r="U120" i="1"/>
  <c r="AI120" i="1" s="1"/>
  <c r="U192" i="1"/>
  <c r="V192" i="1" s="1"/>
  <c r="U242" i="1"/>
  <c r="AI242" i="1" s="1"/>
  <c r="U42" i="1"/>
  <c r="AI42" i="1" s="1"/>
  <c r="U256" i="1"/>
  <c r="V256" i="1" s="1"/>
  <c r="U21" i="1"/>
  <c r="V21" i="1" s="1"/>
  <c r="U43" i="1"/>
  <c r="V43" i="1" s="1"/>
  <c r="U34" i="1"/>
  <c r="AI34" i="1" s="1"/>
  <c r="U40" i="1"/>
  <c r="AI40" i="1" s="1"/>
  <c r="U286" i="1"/>
  <c r="AI286" i="1" s="1"/>
  <c r="U4" i="1"/>
  <c r="AI4" i="1" s="1"/>
  <c r="U122" i="1"/>
  <c r="V122" i="1" s="1"/>
  <c r="U283" i="1"/>
  <c r="V283" i="1" s="1"/>
  <c r="U177" i="1"/>
  <c r="V177" i="1" s="1"/>
  <c r="U216" i="1"/>
  <c r="AI216" i="1" s="1"/>
  <c r="U249" i="1"/>
  <c r="AI249" i="1" s="1"/>
  <c r="U206" i="1"/>
  <c r="V206" i="1" s="1"/>
  <c r="U19" i="1"/>
  <c r="V19" i="1" s="1"/>
  <c r="U180" i="1"/>
  <c r="V180" i="1" s="1"/>
  <c r="U74" i="1"/>
  <c r="AI74" i="1" s="1"/>
  <c r="U11" i="1"/>
  <c r="V11" i="1" s="1"/>
  <c r="U221" i="1"/>
  <c r="AI221" i="1" s="1"/>
  <c r="U254" i="1"/>
  <c r="AI254" i="1" s="1"/>
  <c r="U212" i="1"/>
  <c r="V212" i="1" s="1"/>
  <c r="U37" i="1"/>
  <c r="AI37" i="1" s="1"/>
  <c r="U49" i="1"/>
  <c r="AI49" i="1" s="1"/>
  <c r="U277" i="1"/>
  <c r="V277" i="1" s="1"/>
  <c r="U27" i="1"/>
  <c r="V27" i="1" s="1"/>
  <c r="U172" i="1"/>
  <c r="V172" i="1" s="1"/>
  <c r="U225" i="1"/>
  <c r="V225" i="1" s="1"/>
  <c r="U272" i="1"/>
  <c r="V272" i="1" s="1"/>
  <c r="U200" i="1"/>
  <c r="V200" i="1" s="1"/>
  <c r="U310" i="1"/>
  <c r="V310" i="1" s="1"/>
  <c r="U204" i="1"/>
  <c r="AI204" i="1" s="1"/>
  <c r="U228" i="1"/>
  <c r="V228" i="1" s="1"/>
  <c r="U47" i="1"/>
  <c r="AI47" i="1" s="1"/>
  <c r="U29" i="1"/>
  <c r="V29" i="1" s="1"/>
  <c r="U250" i="1"/>
  <c r="V250" i="1" s="1"/>
  <c r="U39" i="1"/>
  <c r="AI39" i="1" s="1"/>
  <c r="U293" i="1"/>
  <c r="AI293" i="1" s="1"/>
  <c r="U240" i="1"/>
  <c r="V240" i="1" s="1"/>
  <c r="U308" i="1"/>
  <c r="V308" i="1" s="1"/>
  <c r="U235" i="1"/>
  <c r="V235" i="1" s="1"/>
  <c r="U76" i="1"/>
  <c r="V76" i="1" s="1"/>
  <c r="U68" i="1"/>
  <c r="V68" i="1" s="1"/>
  <c r="U65" i="1"/>
  <c r="AI65" i="1" s="1"/>
  <c r="U300" i="1"/>
  <c r="AI300" i="1" s="1"/>
  <c r="U93" i="1"/>
  <c r="V93" i="1" s="1"/>
  <c r="U275" i="1"/>
  <c r="V275" i="1" s="1"/>
  <c r="U92" i="1"/>
  <c r="V92" i="1" s="1"/>
  <c r="U134" i="1"/>
  <c r="V134" i="1" s="1"/>
  <c r="U7" i="1"/>
  <c r="AI7" i="1" s="1"/>
  <c r="U261" i="1"/>
  <c r="AI261" i="1" s="1"/>
  <c r="U289" i="1"/>
  <c r="V289" i="1" s="1"/>
  <c r="U259" i="1"/>
  <c r="V259" i="1" s="1"/>
  <c r="U184" i="1"/>
  <c r="V184" i="1" s="1"/>
  <c r="U62" i="1"/>
  <c r="V62" i="1" s="1"/>
  <c r="U132" i="1"/>
  <c r="V132" i="1" s="1"/>
  <c r="U55" i="1"/>
  <c r="V55" i="1" s="1"/>
  <c r="U13" i="1"/>
  <c r="V13" i="1" s="1"/>
  <c r="U181" i="1"/>
  <c r="AI181" i="1" s="1"/>
  <c r="U280" i="1"/>
  <c r="V280" i="1" s="1"/>
  <c r="U266" i="1"/>
  <c r="V266" i="1" s="1"/>
  <c r="U165" i="1"/>
  <c r="AI165" i="1" s="1"/>
  <c r="U246" i="1"/>
  <c r="V246" i="1" s="1"/>
  <c r="U119" i="1"/>
  <c r="AI119" i="1" s="1"/>
  <c r="U136" i="1"/>
  <c r="AI136" i="1" s="1"/>
  <c r="U57" i="1"/>
  <c r="AI57" i="1" s="1"/>
  <c r="U287" i="1"/>
  <c r="V287" i="1" s="1"/>
  <c r="U88" i="1"/>
  <c r="AI88" i="1" s="1"/>
  <c r="U279" i="1"/>
  <c r="AI279" i="1" s="1"/>
  <c r="AI70" i="1"/>
  <c r="U306" i="1"/>
  <c r="AI306" i="1" s="1"/>
  <c r="U248" i="1"/>
  <c r="AI248" i="1" s="1"/>
  <c r="U71" i="1"/>
  <c r="AI71" i="1" s="1"/>
  <c r="U244" i="1"/>
  <c r="AI244" i="1" s="1"/>
  <c r="U198" i="1"/>
  <c r="AI198" i="1" s="1"/>
  <c r="U26" i="1"/>
  <c r="AI26" i="1" s="1"/>
  <c r="U32" i="1"/>
  <c r="V32" i="1" s="1"/>
  <c r="U14" i="1"/>
  <c r="V14" i="1" s="1"/>
  <c r="U236" i="1"/>
  <c r="V236" i="1" s="1"/>
  <c r="U211" i="1"/>
  <c r="V211" i="1" s="1"/>
  <c r="U24" i="1"/>
  <c r="AI24" i="1" s="1"/>
  <c r="U123" i="1"/>
  <c r="AI123" i="1" s="1"/>
  <c r="U94" i="1"/>
  <c r="AI94" i="1" s="1"/>
  <c r="U17" i="1"/>
  <c r="AI17" i="1" s="1"/>
  <c r="U311" i="1"/>
  <c r="V311" i="1" s="1"/>
  <c r="U175" i="1"/>
  <c r="V175" i="1" s="1"/>
  <c r="U199" i="1"/>
  <c r="V199" i="1" s="1"/>
  <c r="U8" i="1"/>
  <c r="V8" i="1" s="1"/>
  <c r="U45" i="1"/>
  <c r="V45" i="1" s="1"/>
  <c r="U3" i="1"/>
  <c r="AI3" i="1" s="1"/>
  <c r="V160" i="1"/>
  <c r="AI160" i="1"/>
  <c r="AI278" i="1"/>
  <c r="AR60" i="1" l="1"/>
  <c r="D63" i="16"/>
  <c r="AR232" i="1"/>
  <c r="AR100" i="1"/>
  <c r="AR240" i="1"/>
  <c r="AR234" i="1"/>
  <c r="AR91" i="1"/>
  <c r="AR73" i="1"/>
  <c r="AR87" i="1"/>
  <c r="AR88" i="1"/>
  <c r="AR110" i="1"/>
  <c r="AR85" i="1"/>
  <c r="AR109" i="1"/>
  <c r="AR111" i="1"/>
  <c r="AR71" i="1"/>
  <c r="AR72" i="1"/>
  <c r="AR98" i="1"/>
  <c r="AR114" i="1"/>
  <c r="AR97" i="1"/>
  <c r="AR74" i="1"/>
  <c r="AR76" i="1"/>
  <c r="AR92" i="1"/>
  <c r="AR93" i="1"/>
  <c r="AR230" i="1"/>
  <c r="AR70" i="1"/>
  <c r="AR115" i="1"/>
  <c r="AR112" i="1"/>
  <c r="AR106" i="1"/>
  <c r="AR101" i="1"/>
  <c r="AR77" i="1"/>
  <c r="AR86" i="1"/>
  <c r="AR113" i="1"/>
  <c r="AR102" i="1"/>
  <c r="V2" i="16"/>
  <c r="V20" i="1"/>
  <c r="C64" i="16"/>
  <c r="C65" i="16" s="1"/>
  <c r="V294" i="1"/>
  <c r="V41" i="1"/>
  <c r="AI260" i="1"/>
  <c r="AI264" i="1"/>
  <c r="AI295" i="1"/>
  <c r="V281" i="1"/>
  <c r="AI31" i="1"/>
  <c r="AI231" i="1"/>
  <c r="AI52" i="1"/>
  <c r="V97" i="1"/>
  <c r="AI38" i="1"/>
  <c r="AI191" i="1"/>
  <c r="V110" i="1"/>
  <c r="V218" i="1"/>
  <c r="V28" i="1"/>
  <c r="V249" i="1"/>
  <c r="V267" i="1"/>
  <c r="AI5" i="1"/>
  <c r="V128" i="1"/>
  <c r="AI291" i="1"/>
  <c r="AI35" i="1"/>
  <c r="AI232" i="1"/>
  <c r="AI229" i="1"/>
  <c r="V252" i="1"/>
  <c r="AI258" i="1"/>
  <c r="V290" i="1"/>
  <c r="AI271" i="1"/>
  <c r="AI43" i="1"/>
  <c r="AI207" i="1"/>
  <c r="AI228" i="1"/>
  <c r="V209" i="1"/>
  <c r="V4" i="1"/>
  <c r="V73" i="1"/>
  <c r="AI121" i="1"/>
  <c r="V203" i="1"/>
  <c r="AI297" i="1"/>
  <c r="V42" i="1"/>
  <c r="V18" i="1"/>
  <c r="V227" i="1"/>
  <c r="V159" i="1"/>
  <c r="V245" i="1"/>
  <c r="V257" i="1"/>
  <c r="V261" i="1"/>
  <c r="AI55" i="1"/>
  <c r="AI314" i="1"/>
  <c r="V242" i="1"/>
  <c r="V94" i="1"/>
  <c r="V226" i="1"/>
  <c r="V72" i="1"/>
  <c r="AI277" i="1"/>
  <c r="V248" i="1"/>
  <c r="AI183" i="1"/>
  <c r="V222" i="1"/>
  <c r="V286" i="1"/>
  <c r="V15" i="1"/>
  <c r="AI12" i="1"/>
  <c r="V16" i="1"/>
  <c r="AI299" i="1"/>
  <c r="AI92" i="1"/>
  <c r="V113" i="1"/>
  <c r="V120" i="1"/>
  <c r="AI214" i="1"/>
  <c r="AI246" i="1"/>
  <c r="V301" i="1"/>
  <c r="V37" i="1"/>
  <c r="V181" i="1"/>
  <c r="V298" i="1"/>
  <c r="AI56" i="1"/>
  <c r="AI109" i="1"/>
  <c r="AI283" i="1"/>
  <c r="V86" i="1"/>
  <c r="V208" i="1"/>
  <c r="AI132" i="1"/>
  <c r="AI192" i="1"/>
  <c r="V26" i="1"/>
  <c r="AI305" i="1"/>
  <c r="V58" i="1"/>
  <c r="V285" i="1"/>
  <c r="AI171" i="1"/>
  <c r="AI241" i="1"/>
  <c r="V71" i="1"/>
  <c r="AI253" i="1"/>
  <c r="AI263" i="1"/>
  <c r="V198" i="1"/>
  <c r="V276" i="1"/>
  <c r="AI69" i="1"/>
  <c r="AI23" i="1"/>
  <c r="AI307" i="1"/>
  <c r="V219" i="1"/>
  <c r="AI302" i="1"/>
  <c r="V115" i="1"/>
  <c r="V213" i="1"/>
  <c r="AI308" i="1"/>
  <c r="V82" i="1"/>
  <c r="AI292" i="1"/>
  <c r="AI177" i="1"/>
  <c r="V91" i="1"/>
  <c r="AI275" i="1"/>
  <c r="AI210" i="1"/>
  <c r="AI309" i="1"/>
  <c r="V50" i="1"/>
  <c r="V251" i="1"/>
  <c r="AI54" i="1"/>
  <c r="AI310" i="1"/>
  <c r="AI19" i="1"/>
  <c r="V90" i="1"/>
  <c r="AI29" i="1"/>
  <c r="V296" i="1"/>
  <c r="AI32" i="1"/>
  <c r="V40" i="1"/>
  <c r="V254" i="1"/>
  <c r="V33" i="1"/>
  <c r="V165" i="1"/>
  <c r="V216" i="1"/>
  <c r="AI266" i="1"/>
  <c r="AI311" i="1"/>
  <c r="V74" i="1"/>
  <c r="V205" i="1"/>
  <c r="V108" i="1"/>
  <c r="AI240" i="1"/>
  <c r="V3" i="1"/>
  <c r="AI175" i="1"/>
  <c r="V123" i="1"/>
  <c r="AI14" i="1"/>
  <c r="V244" i="1"/>
  <c r="V70" i="1"/>
  <c r="V57" i="1"/>
  <c r="AI13" i="1"/>
  <c r="AI184" i="1"/>
  <c r="V7" i="1"/>
  <c r="AI93" i="1"/>
  <c r="AI76" i="1"/>
  <c r="V293" i="1"/>
  <c r="V47" i="1"/>
  <c r="AI200" i="1"/>
  <c r="AI27" i="1"/>
  <c r="AI212" i="1"/>
  <c r="AI122" i="1"/>
  <c r="V34" i="1"/>
  <c r="AI268" i="1"/>
  <c r="AI304" i="1"/>
  <c r="V25" i="1"/>
  <c r="V22" i="1"/>
  <c r="AI238" i="1"/>
  <c r="AI273" i="1"/>
  <c r="AI202" i="1"/>
  <c r="AI215" i="1"/>
  <c r="AI6" i="1"/>
  <c r="AI114" i="1"/>
  <c r="V243" i="1"/>
  <c r="V103" i="1"/>
  <c r="AI274" i="1"/>
  <c r="AI139" i="1"/>
  <c r="AI220" i="1"/>
  <c r="AI187" i="1"/>
  <c r="V30" i="1"/>
  <c r="V201" i="1"/>
  <c r="AI51" i="1"/>
  <c r="V65" i="1"/>
  <c r="V102" i="1"/>
  <c r="V270" i="1"/>
  <c r="AI179" i="1"/>
  <c r="V282" i="1"/>
  <c r="AI272" i="1"/>
  <c r="V221" i="1"/>
  <c r="V269" i="1"/>
  <c r="V49" i="1"/>
  <c r="AI45" i="1"/>
  <c r="V24" i="1"/>
  <c r="V279" i="1"/>
  <c r="V136" i="1"/>
  <c r="AI259" i="1"/>
  <c r="AI134" i="1"/>
  <c r="V300" i="1"/>
  <c r="AI235" i="1"/>
  <c r="V39" i="1"/>
  <c r="AI180" i="1"/>
  <c r="AI46" i="1"/>
  <c r="V9" i="1"/>
  <c r="AI89" i="1"/>
  <c r="AI36" i="1"/>
  <c r="AI288" i="1"/>
  <c r="AI230" i="1"/>
  <c r="AI284" i="1"/>
  <c r="AI265" i="1"/>
  <c r="AI99" i="1"/>
  <c r="AI100" i="1"/>
  <c r="AI44" i="1"/>
  <c r="AI234" i="1"/>
  <c r="V188" i="1"/>
  <c r="AI236" i="1"/>
  <c r="AI287" i="1"/>
  <c r="V17" i="1"/>
  <c r="V155" i="1"/>
  <c r="AI138" i="1"/>
  <c r="AI8" i="1"/>
  <c r="AI211" i="1"/>
  <c r="V88" i="1"/>
  <c r="V119" i="1"/>
  <c r="AI280" i="1"/>
  <c r="AI289" i="1"/>
  <c r="AI250" i="1"/>
  <c r="V204" i="1"/>
  <c r="AI225" i="1"/>
  <c r="AI21" i="1"/>
  <c r="AI168" i="1"/>
  <c r="AI182" i="1"/>
  <c r="AI148" i="1"/>
  <c r="V48" i="1"/>
  <c r="AI95" i="1"/>
  <c r="AI10" i="1"/>
  <c r="AI262" i="1"/>
  <c r="AI255" i="1"/>
  <c r="AI194" i="1"/>
  <c r="AI68" i="1"/>
  <c r="V306" i="1"/>
  <c r="AI256" i="1"/>
  <c r="AI206" i="1"/>
  <c r="AI107" i="1"/>
  <c r="AI199" i="1"/>
  <c r="AI62" i="1"/>
  <c r="AI172" i="1"/>
  <c r="AI11" i="1"/>
  <c r="AI173" i="1"/>
  <c r="AI53" i="1"/>
  <c r="AI224" i="1"/>
  <c r="AI239" i="1"/>
  <c r="AI2" i="1"/>
  <c r="AI66" i="1"/>
  <c r="AI247" i="1"/>
  <c r="W2" i="16" l="1"/>
  <c r="X2" i="16" s="1"/>
  <c r="V3" i="16"/>
  <c r="D64" i="16"/>
  <c r="D65" i="16"/>
  <c r="W3" i="16" l="1"/>
  <c r="W4" i="16" s="1"/>
  <c r="W5" i="16" s="1"/>
  <c r="W6" i="16" s="1"/>
  <c r="W7" i="16" s="1"/>
  <c r="W8" i="16" s="1"/>
  <c r="W9" i="16" s="1"/>
  <c r="W10" i="16" s="1"/>
  <c r="W11" i="16" s="1"/>
  <c r="W12" i="16" s="1"/>
  <c r="W13" i="16" s="1"/>
  <c r="V4" i="16"/>
  <c r="X3" i="16" l="1"/>
  <c r="X4" i="16"/>
  <c r="V5" i="16"/>
  <c r="V6" i="16" l="1"/>
  <c r="X5" i="16"/>
  <c r="V7" i="16" l="1"/>
  <c r="X6" i="16"/>
  <c r="V8" i="16" l="1"/>
  <c r="X7" i="16"/>
  <c r="V9" i="16" l="1"/>
  <c r="X8" i="16"/>
  <c r="V10" i="16" l="1"/>
  <c r="X9" i="16"/>
  <c r="V11" i="16" l="1"/>
  <c r="X10" i="16"/>
  <c r="V12" i="16" l="1"/>
  <c r="X11" i="16"/>
  <c r="V13" i="16" l="1"/>
  <c r="X13" i="16" s="1"/>
  <c r="X12"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<sst xmlns="http://schemas.openxmlformats.org/spreadsheetml/2006/main" count="13879" uniqueCount="4415">
  <si>
    <t>New</t>
  </si>
  <si>
    <t>RI Product Names</t>
  </si>
  <si>
    <t>Standard Name</t>
  </si>
  <si>
    <t>Current Count</t>
  </si>
  <si>
    <t>New Count</t>
  </si>
  <si>
    <t>Count</t>
  </si>
  <si>
    <t>Dashboard Text</t>
  </si>
  <si>
    <t>Text Cost</t>
  </si>
  <si>
    <t>Unit Cost</t>
  </si>
  <si>
    <t>Current Total</t>
  </si>
  <si>
    <t>New Cost</t>
  </si>
  <si>
    <t>Selected Cost</t>
  </si>
  <si>
    <t>Column1</t>
  </si>
  <si>
    <t>Current RI Count</t>
  </si>
  <si>
    <t>New RI Count</t>
  </si>
  <si>
    <t>RI Cost</t>
  </si>
  <si>
    <t>Options</t>
  </si>
  <si>
    <t>Current</t>
  </si>
  <si>
    <t>Savings</t>
  </si>
  <si>
    <t>Standard_B1ms</t>
  </si>
  <si>
    <t>B Family</t>
  </si>
  <si>
    <t>Jan</t>
  </si>
  <si>
    <t>Standard_B2ms</t>
  </si>
  <si>
    <t>D Family Old</t>
  </si>
  <si>
    <t>Feb</t>
  </si>
  <si>
    <t>Standard_B4ms</t>
  </si>
  <si>
    <t>D'as Family</t>
  </si>
  <si>
    <t>Mar</t>
  </si>
  <si>
    <t>Standard_B8ms</t>
  </si>
  <si>
    <t>D'ds Family</t>
  </si>
  <si>
    <t>Apr</t>
  </si>
  <si>
    <t>Standard_B12ms</t>
  </si>
  <si>
    <t>E Family</t>
  </si>
  <si>
    <t>May</t>
  </si>
  <si>
    <t>Standard_B16ms</t>
  </si>
  <si>
    <t>F Family</t>
  </si>
  <si>
    <t>Jun</t>
  </si>
  <si>
    <t>Standard_B20ms</t>
  </si>
  <si>
    <t>Jul</t>
  </si>
  <si>
    <t>Standard_D13</t>
  </si>
  <si>
    <t>Aug</t>
  </si>
  <si>
    <t>Standard_D2_v3</t>
  </si>
  <si>
    <t>Sep</t>
  </si>
  <si>
    <t>Standard_D4_v3</t>
  </si>
  <si>
    <t>Oct</t>
  </si>
  <si>
    <t>Standard_DS13_v2</t>
  </si>
  <si>
    <t>Nov</t>
  </si>
  <si>
    <t>Standard_D2as_v4</t>
  </si>
  <si>
    <t>Dec</t>
  </si>
  <si>
    <t>Standard_D4as_v4</t>
  </si>
  <si>
    <t>Standard_D8as_v4</t>
  </si>
  <si>
    <t>Standard_D16as_v4</t>
  </si>
  <si>
    <t>Standard_D32as_v4</t>
  </si>
  <si>
    <t>Standard_D48as_v4</t>
  </si>
  <si>
    <t>Standard_D64as_v4</t>
  </si>
  <si>
    <t>Standard_D96as_v4</t>
  </si>
  <si>
    <t>Standard_D2ds_v4</t>
  </si>
  <si>
    <t>Standard_D4ds_v4</t>
  </si>
  <si>
    <t>Standard_D8ds_v4</t>
  </si>
  <si>
    <t>Standard_D16ds_v4</t>
  </si>
  <si>
    <t>Standard_D32ds_v4</t>
  </si>
  <si>
    <t>Standard_D48ds_v4</t>
  </si>
  <si>
    <t>Standard_D64ds_v4</t>
  </si>
  <si>
    <t>Standard_E2ds_v4</t>
  </si>
  <si>
    <t>Standard_E4ds_v4</t>
  </si>
  <si>
    <t>Standard_E4-2ds_v4</t>
  </si>
  <si>
    <t>Standard_E8-2ds_v4</t>
  </si>
  <si>
    <t>Standard_E8-4ds_v4</t>
  </si>
  <si>
    <t>Standard_E8ds_v4</t>
  </si>
  <si>
    <t>Standard_E16-8ds_v4</t>
  </si>
  <si>
    <t>Standard_E16-4ds_v4</t>
  </si>
  <si>
    <t>Standard_E16ds_v4</t>
  </si>
  <si>
    <t>Standard_E20ds_v4</t>
  </si>
  <si>
    <t>Standard_E32-16ds_v4</t>
  </si>
  <si>
    <t>Standard_E32ds_v4</t>
  </si>
  <si>
    <t>Standard_E32-8ds_v4</t>
  </si>
  <si>
    <t>Standard_E48ds_v4</t>
  </si>
  <si>
    <t>Standard_F2s_v2</t>
  </si>
  <si>
    <t>Standard_F4s_v2</t>
  </si>
  <si>
    <t>Standard_F8s_v2</t>
  </si>
  <si>
    <t>Standard_F16s_v2</t>
  </si>
  <si>
    <t>Standard_F32s_v2</t>
  </si>
  <si>
    <t>Standard_F48s_v2</t>
  </si>
  <si>
    <t>Standard_F64s_v2</t>
  </si>
  <si>
    <t>Standard_F72s_v2</t>
  </si>
  <si>
    <t>Standard_F2s</t>
  </si>
  <si>
    <t>Current Ris</t>
  </si>
  <si>
    <t>New Ris</t>
  </si>
  <si>
    <t>Total VMS</t>
  </si>
  <si>
    <t>Current Cost</t>
  </si>
  <si>
    <t>Current Azure Cost</t>
  </si>
  <si>
    <t>New Azure Cost</t>
  </si>
  <si>
    <t>RI Monthly Cost</t>
  </si>
  <si>
    <t>RI VMs</t>
  </si>
  <si>
    <t>Savings To Date</t>
  </si>
  <si>
    <t>APPS_EU_TEST</t>
  </si>
  <si>
    <t>£ 123.53 / £ 135.95</t>
  </si>
  <si>
    <t>APPS_EU_UAT</t>
  </si>
  <si>
    <t>£ 228.61 / £ 757.41</t>
  </si>
  <si>
    <t>APPS_EU_PROD</t>
  </si>
  <si>
    <t>£ 0.00 / £  4702.65</t>
  </si>
  <si>
    <t>INFRA</t>
  </si>
  <si>
    <t>£ 0.00 / £ 468.97</t>
  </si>
  <si>
    <t>Comments</t>
  </si>
  <si>
    <t>NAME</t>
  </si>
  <si>
    <t>Assess?</t>
  </si>
  <si>
    <t>SQL</t>
  </si>
  <si>
    <t>SUBSCRIPTION</t>
  </si>
  <si>
    <t>RESOURCE GROUP</t>
  </si>
  <si>
    <t>LOCATION</t>
  </si>
  <si>
    <t>STATUS</t>
  </si>
  <si>
    <t>OPERATING SYSTEM</t>
  </si>
  <si>
    <t>SIZE</t>
  </si>
  <si>
    <t>Size Reformatted</t>
  </si>
  <si>
    <t>CPUs</t>
  </si>
  <si>
    <t>Memory</t>
  </si>
  <si>
    <t>PUBLIC IP ADDRESS</t>
  </si>
  <si>
    <t>DISKS</t>
  </si>
  <si>
    <t>USES MANAGED DISKS</t>
  </si>
  <si>
    <t>CPU</t>
  </si>
  <si>
    <t>MemoryAvailable</t>
  </si>
  <si>
    <t>Mem Percent</t>
  </si>
  <si>
    <t>Recommended CPU</t>
  </si>
  <si>
    <t>Recommended Memory</t>
  </si>
  <si>
    <t>Recommend Family</t>
  </si>
  <si>
    <t>Writes (MBps)</t>
  </si>
  <si>
    <t>Reads (Mbps)</t>
  </si>
  <si>
    <t>Writes (ps)</t>
  </si>
  <si>
    <t>Reads (ps)</t>
  </si>
  <si>
    <t>Throughput (Mbps)</t>
  </si>
  <si>
    <t>IOPS</t>
  </si>
  <si>
    <t>Current SKU</t>
  </si>
  <si>
    <t xml:space="preserve">Recommend SKU </t>
  </si>
  <si>
    <t>Disks</t>
  </si>
  <si>
    <t>Enough Memory</t>
  </si>
  <si>
    <t>Enough Disks?</t>
  </si>
  <si>
    <t>Enough IOPS?</t>
  </si>
  <si>
    <t>Cost (Text)</t>
  </si>
  <si>
    <t>Current Cost (Text)</t>
  </si>
  <si>
    <t>Cost</t>
  </si>
  <si>
    <t>Annual Saving</t>
  </si>
  <si>
    <t>Reservation Applied</t>
  </si>
  <si>
    <t>Current RI Text</t>
  </si>
  <si>
    <t>Current RI</t>
  </si>
  <si>
    <t>Recommended RI</t>
  </si>
  <si>
    <t>RI Match</t>
  </si>
  <si>
    <t>SQL Cost Today</t>
  </si>
  <si>
    <t>SQL Costs</t>
  </si>
  <si>
    <t>Total Cost</t>
  </si>
  <si>
    <t>Total Savings</t>
  </si>
  <si>
    <t>00509526f8f0474c802dfd3f2cde7104</t>
  </si>
  <si>
    <t>databricks-rg-we-iwg-dp-adb-01-dev-tphbipzrjikc4</t>
  </si>
  <si>
    <t>West Europe</t>
  </si>
  <si>
    <t>Running</t>
  </si>
  <si>
    <t>Linux</t>
  </si>
  <si>
    <t>Standard_DS3_v2</t>
  </si>
  <si>
    <t>20.73.244.253</t>
  </si>
  <si>
    <t>Yes</t>
  </si>
  <si>
    <t>02bcfa2195b0486097c07719b0b5e4a2</t>
  </si>
  <si>
    <t>databricks-rg-we-iwg-dp-adb-01-test-yi67n7563mijg</t>
  </si>
  <si>
    <t>168.63.17.209</t>
  </si>
  <si>
    <t>06fcb331a3b2464f957f992cf4705599</t>
  </si>
  <si>
    <t>rg_apps_dataplatform_mgt_prod</t>
  </si>
  <si>
    <t>52.166.68.78</t>
  </si>
  <si>
    <t>0820018a95294dd59190e20fbf06d1db</t>
  </si>
  <si>
    <t>20.71.218.11</t>
  </si>
  <si>
    <t>092cc1b4230d4e50ad49c797f617cc9c</t>
  </si>
  <si>
    <t>40.118.108.235</t>
  </si>
  <si>
    <t>0d470c0c98c646188e4601e6f5d2978d</t>
  </si>
  <si>
    <t>51.124.162.242</t>
  </si>
  <si>
    <t>122c0c83dbaf49c78a39c7ba7f2ae128</t>
  </si>
  <si>
    <t>13.80.1.195</t>
  </si>
  <si>
    <t>15662eb8d3d343fc9a5e838221b9b450</t>
  </si>
  <si>
    <t>23.97.167.168</t>
  </si>
  <si>
    <t>15f25a2e3ed94ed2a5987d34747ec9cb</t>
  </si>
  <si>
    <t>IOT_PROD</t>
  </si>
  <si>
    <t>databricks-rg-we-iwg-smarthub-dbks-prod-6qncg4s3cki5i</t>
  </si>
  <si>
    <t>52.136.232.69</t>
  </si>
  <si>
    <t>178ef63c228e41af882793f577f4a386</t>
  </si>
  <si>
    <t>20.71.218.162</t>
  </si>
  <si>
    <t>18cdb7824c8f411699926c757f0a27f1</t>
  </si>
  <si>
    <t>40.68.10.46</t>
  </si>
  <si>
    <t>19112301946e41d6a258f1a400a2f859</t>
  </si>
  <si>
    <t>13.69.73.126</t>
  </si>
  <si>
    <t>1a87e9973ed84e6b859ad85d2031538a</t>
  </si>
  <si>
    <t>20.71.36.33</t>
  </si>
  <si>
    <t>1cc20d687c5f41c5ab94ea474b079a1a</t>
  </si>
  <si>
    <t>52.174.22.5</t>
  </si>
  <si>
    <t>210a149b1a6a440ab5cc43161c87f0c3</t>
  </si>
  <si>
    <t>52.233.165.33</t>
  </si>
  <si>
    <t>28ca1f7490d64fe19fdf416502429f57</t>
  </si>
  <si>
    <t>IOT_DEV</t>
  </si>
  <si>
    <t>databricks-rg-we-iwg-smarthub-dbks-test-dvkscvqchwuuo</t>
  </si>
  <si>
    <t>Standard_DS12_v2</t>
  </si>
  <si>
    <t>51.144.100.233</t>
  </si>
  <si>
    <t>2ca13e9678b64a76876d48f5899b38db</t>
  </si>
  <si>
    <t>13.94.146.193</t>
  </si>
  <si>
    <t>2e54c3a367574cc3af911a3f7338b97b</t>
  </si>
  <si>
    <t>52.233.174.95</t>
  </si>
  <si>
    <t>3268eb5b8bdd41288e52ffa86936e07a</t>
  </si>
  <si>
    <t>23.97.133.217</t>
  </si>
  <si>
    <t>332546e9062843a6a16d4c81eca47c9a</t>
  </si>
  <si>
    <t>40.68.14.174</t>
  </si>
  <si>
    <t>3577d7cf153e4d4583ac24fd2579fc6a</t>
  </si>
  <si>
    <t>52.174.17.133</t>
  </si>
  <si>
    <t>35f9267cc8f44c93a4d420bfb5b16b8d</t>
  </si>
  <si>
    <t>13.80.48.144</t>
  </si>
  <si>
    <t>38172b6c12c94d82afd6afb657bad1fd</t>
  </si>
  <si>
    <t>13.81.62.207</t>
  </si>
  <si>
    <t>3d13419c1b5c40a4bbc64e6c0a607371</t>
  </si>
  <si>
    <t>52.233.174.72</t>
  </si>
  <si>
    <t>40c4c8513b6c467baaa6e276758a54fd</t>
  </si>
  <si>
    <t>20.71.33.241</t>
  </si>
  <si>
    <t>417f7bed5816496489fd7c06e557e55f</t>
  </si>
  <si>
    <t>104.45.28.20</t>
  </si>
  <si>
    <t>422920fac7fe471ca8389c99f36ddba4</t>
  </si>
  <si>
    <t>52.233.164.98</t>
  </si>
  <si>
    <t>44aabe5ae81f460b8244c9a7f48436c1</t>
  </si>
  <si>
    <t>20.71.35.87</t>
  </si>
  <si>
    <t>44c601648abc482e857ab9174cb5b333</t>
  </si>
  <si>
    <t>52.233.177.99</t>
  </si>
  <si>
    <t>4742c41711e14209aceb8fe16a96982f</t>
  </si>
  <si>
    <t>52.166.112.55</t>
  </si>
  <si>
    <t>4c502aa3acad4c10bb2bcba804724d36</t>
  </si>
  <si>
    <t>52.157.194.29</t>
  </si>
  <si>
    <t>4e3585e46bbd40f292b97c2c1f0b0221</t>
  </si>
  <si>
    <t>20.73.245.209</t>
  </si>
  <si>
    <t>5cee823abf194b41a1d8f52e3081b5d3</t>
  </si>
  <si>
    <t>20.71.220.9</t>
  </si>
  <si>
    <t>63911c76424945c1ac9998ee9f08af0d</t>
  </si>
  <si>
    <t>52.233.178.30</t>
  </si>
  <si>
    <t>64e87ffef74d4099a17c5bf0cc973852</t>
  </si>
  <si>
    <t>20.73.245.218</t>
  </si>
  <si>
    <t>667f491383b6439fb4e6f6917a5feead</t>
  </si>
  <si>
    <t>20.86.107.164</t>
  </si>
  <si>
    <t>6cc81c55d2d3463f8a7d242b24801893</t>
  </si>
  <si>
    <t>20.71.217.189</t>
  </si>
  <si>
    <t>6dff95064f3c4ebebd7ba9c8c815a329</t>
  </si>
  <si>
    <t>40.68.138.159</t>
  </si>
  <si>
    <t>6f828e30302a4d7a960255bcd1dd736c</t>
  </si>
  <si>
    <t>52.233.176.214</t>
  </si>
  <si>
    <t>72bbed27bf8444b9a75f8f206f2dd767</t>
  </si>
  <si>
    <t>20.73.242.183</t>
  </si>
  <si>
    <t>7407885123f543d4b2f18c812d760592</t>
  </si>
  <si>
    <t>20.71.219.63</t>
  </si>
  <si>
    <t>775e5f8e4f4d4a25839671099c7e2eef</t>
  </si>
  <si>
    <t>20.71.221.234</t>
  </si>
  <si>
    <t>791beb452e2f4d6baa3ea546fc2a45e9</t>
  </si>
  <si>
    <t>137.116.221.132</t>
  </si>
  <si>
    <t>7a76e67f792d48e5b051cbdcb47c2a2c</t>
  </si>
  <si>
    <t>52.157.194.164</t>
  </si>
  <si>
    <t>7c91fca1df564ea28eee7665c32e6288</t>
  </si>
  <si>
    <t>52.136.243.221</t>
  </si>
  <si>
    <t>835e5fe5935c4c4393653cf10e49eb6c</t>
  </si>
  <si>
    <t>20.71.36.254</t>
  </si>
  <si>
    <t>89f7d3bd09db4a278b1858496c1a647a</t>
  </si>
  <si>
    <t>13.80.51.40</t>
  </si>
  <si>
    <t>8e20a2af28c54ed98f8d4496a3bcf89d</t>
  </si>
  <si>
    <t>20.71.220.180</t>
  </si>
  <si>
    <t>97a50368b3714ba8af1cb9c60cf305a2</t>
  </si>
  <si>
    <t>52.174.188.182</t>
  </si>
  <si>
    <t>994b6c4ce5b348b59da18c2f6c1cde7c</t>
  </si>
  <si>
    <t>20.73.245.103</t>
  </si>
  <si>
    <t>9c20568c05da4d80b925f76f52d242d7</t>
  </si>
  <si>
    <t>20.71.34.116</t>
  </si>
  <si>
    <t>9cfbd6a9aefc4fec83d53e94fcb96ea4</t>
  </si>
  <si>
    <t>137.117.168.224</t>
  </si>
  <si>
    <t>9f3ed01762ca48c98f5ea7930b55d245</t>
  </si>
  <si>
    <t>20.71.219.38</t>
  </si>
  <si>
    <t>9fc2ac108c954c1b8c928b4500e2eb91</t>
  </si>
  <si>
    <t>20.71.33.82</t>
  </si>
  <si>
    <t>abe6bf8105a44c30baedf369096ba806</t>
  </si>
  <si>
    <t>13.95.207.181</t>
  </si>
  <si>
    <t>AccIndexerVmPRD</t>
  </si>
  <si>
    <t>rg_apps_proton_mgt_vms</t>
  </si>
  <si>
    <t>Stopped (deallocated)</t>
  </si>
  <si>
    <t>Windows</t>
  </si>
  <si>
    <t>-</t>
  </si>
  <si>
    <t>F32s v2</t>
  </si>
  <si>
    <t>AccIndexerVmUAT</t>
  </si>
  <si>
    <t>104.45.4.60</t>
  </si>
  <si>
    <t>F16s v2</t>
  </si>
  <si>
    <t>appwe01sales-test</t>
  </si>
  <si>
    <t>rg_apps_sales_test</t>
  </si>
  <si>
    <t>appwe01sales-uat</t>
  </si>
  <si>
    <t>rg_apps_sales_uat</t>
  </si>
  <si>
    <t>appea01snmpprod</t>
  </si>
  <si>
    <t>rg_infra_snmptrap_prod</t>
  </si>
  <si>
    <t>East Asia</t>
  </si>
  <si>
    <t>Standard_D4s_v4</t>
  </si>
  <si>
    <t>F2s v2</t>
  </si>
  <si>
    <t>appwe01solr-test</t>
  </si>
  <si>
    <t>rg_apps_sitecore_ecom_test</t>
  </si>
  <si>
    <t>appne01snow-uat</t>
  </si>
  <si>
    <t>rg-apps-snow-uat</t>
  </si>
  <si>
    <t>North Europe</t>
  </si>
  <si>
    <t>appus01snmpprod</t>
  </si>
  <si>
    <t>North Central US</t>
  </si>
  <si>
    <t>D2as v4</t>
  </si>
  <si>
    <t>VM_WE_Ddsv4_1_R4_2022-09-10</t>
  </si>
  <si>
    <t>appwe01solr-uat</t>
  </si>
  <si>
    <t>rg_apps_sitecore_ecom_uat</t>
  </si>
  <si>
    <t>Appwe01badprod</t>
  </si>
  <si>
    <t>rg_apps_bot_automation_prod</t>
  </si>
  <si>
    <t>Standard_D2s_v4</t>
  </si>
  <si>
    <t>Appwe01baduat</t>
  </si>
  <si>
    <t>rg_apps_bot_automation_uat</t>
  </si>
  <si>
    <t>appwe01ttn-test</t>
  </si>
  <si>
    <t>rg_apps_ttn_test</t>
  </si>
  <si>
    <t>VM_WE_Ddsv4_1_R2_2022-09-10</t>
  </si>
  <si>
    <t>appwe02sales-uat</t>
  </si>
  <si>
    <t>VM_WE_Bms_1_R8_2022-09-10</t>
  </si>
  <si>
    <t>dbswe01cst-uat</t>
  </si>
  <si>
    <t>rg_dbs_cst_uat</t>
  </si>
  <si>
    <t>VM_WE_Ddsv4_1_R1_2022-09-10</t>
  </si>
  <si>
    <t>AZREUDBS01SLW</t>
  </si>
  <si>
    <t>rg_solarwinds_eu</t>
  </si>
  <si>
    <t>Mailed Application Owner, awaiting feedback - VM_APAC_Ddsv4_1_R2_2021-09-07</t>
  </si>
  <si>
    <t>AZRAPMON01SLW</t>
  </si>
  <si>
    <t>rg_solarwinds_apac</t>
  </si>
  <si>
    <t>AZRAPMON02SLW</t>
  </si>
  <si>
    <t>VM_WE_Edsv4_1_R4_2022-09-10</t>
  </si>
  <si>
    <t>AZRAPMON03SLW</t>
  </si>
  <si>
    <t>appwe01cst-test</t>
  </si>
  <si>
    <t>rg_apps_callstream_test</t>
  </si>
  <si>
    <t>B2ms</t>
  </si>
  <si>
    <t>Completed - VM_WE_Fsv2_1_R1_2022-09-07</t>
  </si>
  <si>
    <t>AZRAPRAD01WFI</t>
  </si>
  <si>
    <t>rg_hspn_apac</t>
  </si>
  <si>
    <t>AZREUAPI01OTR</t>
  </si>
  <si>
    <t>rg_otr_eu</t>
  </si>
  <si>
    <t>appwe01dp-dev</t>
  </si>
  <si>
    <t>rg_apps_dataplatform_compute_dev</t>
  </si>
  <si>
    <t>appwe01dp-prod</t>
  </si>
  <si>
    <t>rg_apps_dataplatform_compute_prod</t>
  </si>
  <si>
    <t>Standard_D16s_v4</t>
  </si>
  <si>
    <t>appwe01dp-test</t>
  </si>
  <si>
    <t>rg_apps_dataplatform_compute_test</t>
  </si>
  <si>
    <t>appwe01dp-uat</t>
  </si>
  <si>
    <t>rg_apps_dataplatform_compute_uat</t>
  </si>
  <si>
    <t>Standard_D8s_v3</t>
  </si>
  <si>
    <t>AZREUAPI02PRV</t>
  </si>
  <si>
    <t>rg_clavisterbot_eu</t>
  </si>
  <si>
    <t>appwe01fedex</t>
  </si>
  <si>
    <t>rg_apps_fedex_test</t>
  </si>
  <si>
    <t>Standard_B2s</t>
  </si>
  <si>
    <t>appwe01fedexuat</t>
  </si>
  <si>
    <t>rg_apps_fedex_uat</t>
  </si>
  <si>
    <t>App Owner Rejected change - VM_WE_Ddsv4_2_R1_2022-08-31</t>
  </si>
  <si>
    <t>AZREUDEVNPS01</t>
  </si>
  <si>
    <t>rg_anc_eu</t>
  </si>
  <si>
    <t>VM_WE_Ddsv4_2_R2_2022-09-10</t>
  </si>
  <si>
    <t>AZREUDEVRAD01</t>
  </si>
  <si>
    <t>Basic_A1</t>
  </si>
  <si>
    <t>A1 v2</t>
  </si>
  <si>
    <t>AZREUDEVSLW01</t>
  </si>
  <si>
    <t>Completed - VM_WE_Fsv2_1_R2_2022-10-21</t>
  </si>
  <si>
    <t>AZREUMON01SLW</t>
  </si>
  <si>
    <t>Awaiting Feedback from App Owner - VM_WE_Ddsv4_1_R1_2022-09-07</t>
  </si>
  <si>
    <t>AZREUMON02SLW</t>
  </si>
  <si>
    <t>AZREUMON03SLW</t>
  </si>
  <si>
    <t>AZREUMON04SLW</t>
  </si>
  <si>
    <t>AZREUMON05SLW</t>
  </si>
  <si>
    <t>AZREUMON06SLW</t>
  </si>
  <si>
    <t>VM running high on Memory</t>
  </si>
  <si>
    <t>AZREUNPS02AUT</t>
  </si>
  <si>
    <t>AZREURAD01WFI</t>
  </si>
  <si>
    <t>rg_hspn_eu</t>
  </si>
  <si>
    <t>appwe01per-prod</t>
  </si>
  <si>
    <t>rg_apps_ttn_performance_prod</t>
  </si>
  <si>
    <t>E2ds v4</t>
  </si>
  <si>
    <t>AZREUTRI01</t>
  </si>
  <si>
    <t>rg_tritone_eu</t>
  </si>
  <si>
    <t>AZREUTRP01</t>
  </si>
  <si>
    <t>AZREUUIP01STD</t>
  </si>
  <si>
    <t>rg_uipath_eu</t>
  </si>
  <si>
    <t>Application to be decomm</t>
  </si>
  <si>
    <t>AZREUUIP02ORC</t>
  </si>
  <si>
    <t>AZREUUIP03DBS</t>
  </si>
  <si>
    <t>Standard_DS11_v2</t>
  </si>
  <si>
    <t>AZREUWEB01DVL</t>
  </si>
  <si>
    <t>appwe01samrm-test</t>
  </si>
  <si>
    <t>rg_apps_samrm_test</t>
  </si>
  <si>
    <t>Standard_A4m_v2</t>
  </si>
  <si>
    <t>appwe01sftp-tst</t>
  </si>
  <si>
    <t>rg_apps_sftp_test</t>
  </si>
  <si>
    <t>appwe01sftp-uat</t>
  </si>
  <si>
    <t>rg_apps_sftp_uat</t>
  </si>
  <si>
    <t>AZRUSMON01SLW</t>
  </si>
  <si>
    <t>rg_solarwinds_us</t>
  </si>
  <si>
    <t>appwe01snmpprod</t>
  </si>
  <si>
    <t>appwe01snow-uat</t>
  </si>
  <si>
    <t>AZRUSMON02SLW</t>
  </si>
  <si>
    <t>Recommended and Current Size the same - VM_WE_Ddsv4_2_R1_2022-08-31</t>
  </si>
  <si>
    <t>AZRUSMON03SLW</t>
  </si>
  <si>
    <t>Recommended and Current Size the same - VM_WE_Ddsv4_1_R2_2022-09-07</t>
  </si>
  <si>
    <t>AZRUSMON04SLW</t>
  </si>
  <si>
    <t>AZRUSMON05SLW</t>
  </si>
  <si>
    <t>No cost Savings - RI VM_WE_D4v3_1_R2_2022-04-19</t>
  </si>
  <si>
    <t>AZRUSRAD01WFI</t>
  </si>
  <si>
    <t>rg_hspn_us</t>
  </si>
  <si>
    <t>Completed - VM_WE_Fsv2_2_R1_2022-10-19</t>
  </si>
  <si>
    <t>dbswe02cst-uat</t>
  </si>
  <si>
    <t>dbswe01sql-test</t>
  </si>
  <si>
    <t>rg_dbs_sql_test</t>
  </si>
  <si>
    <t>Recommended and Current Size the same</t>
  </si>
  <si>
    <t>agentwe01lamp-prod</t>
  </si>
  <si>
    <t>rg_apps_devops_prod</t>
  </si>
  <si>
    <t>B2s</t>
  </si>
  <si>
    <t>Appwe02badprod</t>
  </si>
  <si>
    <t>Appwe02baduat</t>
  </si>
  <si>
    <t>agentwin10devops-prod</t>
  </si>
  <si>
    <t>D2ds v4</t>
  </si>
  <si>
    <t>appwe02cst-prod</t>
  </si>
  <si>
    <t>rg_apps_cst_prod</t>
  </si>
  <si>
    <t>appwe02cst-test</t>
  </si>
  <si>
    <t>appwe02cst-uat</t>
  </si>
  <si>
    <t>rg_apps_cst_uat</t>
  </si>
  <si>
    <t>appne01ctx-dr</t>
  </si>
  <si>
    <t>rg_apps_adc_dr</t>
  </si>
  <si>
    <t>D4ds v4</t>
  </si>
  <si>
    <t>appwe02mgt-prod</t>
  </si>
  <si>
    <t>rg_app_mgmt</t>
  </si>
  <si>
    <t>appwe01adm-prod</t>
  </si>
  <si>
    <t>rg_apps_otr_prod</t>
  </si>
  <si>
    <t>appwe01cannon</t>
  </si>
  <si>
    <t>rg_apps_cannon_prod</t>
  </si>
  <si>
    <t>appwe01canon-prod</t>
  </si>
  <si>
    <t>rg_apps_canon_prod</t>
  </si>
  <si>
    <t>appwe01cas-prod</t>
  </si>
  <si>
    <t>rg_apps_exchange</t>
  </si>
  <si>
    <t>Standard_B4MS</t>
  </si>
  <si>
    <t>B4ms</t>
  </si>
  <si>
    <t>appwe01cch-prod</t>
  </si>
  <si>
    <t>rg_apps_cch_prod</t>
  </si>
  <si>
    <t>appwe01cisa-prod</t>
  </si>
  <si>
    <t>rg_cisa_apac</t>
  </si>
  <si>
    <t>appwe01cm-prod</t>
  </si>
  <si>
    <t>rg_apps_sccm</t>
  </si>
  <si>
    <t>E4ds v4</t>
  </si>
  <si>
    <t>appwe02win10tst</t>
  </si>
  <si>
    <t>rg_apps_windows10_test</t>
  </si>
  <si>
    <t>appwe01cst-prod</t>
  </si>
  <si>
    <t>F4s v2</t>
  </si>
  <si>
    <t>appwe03cst-test</t>
  </si>
  <si>
    <t>appwe01turk-uat</t>
  </si>
  <si>
    <t>rg_apps_turk_uat</t>
  </si>
  <si>
    <t>appwe01ctx-prod</t>
  </si>
  <si>
    <t>rg_apps_adc_prod</t>
  </si>
  <si>
    <t>appwe01ewifi-prod</t>
  </si>
  <si>
    <t>rg_apps_encrypted_wifi_prod</t>
  </si>
  <si>
    <t>dbswe01ttn-test</t>
  </si>
  <si>
    <t>rg_dbs_ttn_test</t>
  </si>
  <si>
    <t>appwe03win10tst</t>
  </si>
  <si>
    <t>DIMENSION_DATA_SANDBOX</t>
  </si>
  <si>
    <t>rg_apps_win10_test32</t>
  </si>
  <si>
    <t>Failed</t>
  </si>
  <si>
    <t>No</t>
  </si>
  <si>
    <t>appwe01ftp-prod</t>
  </si>
  <si>
    <t>rg_core_ftp_prod</t>
  </si>
  <si>
    <t>appwe01hpi-prod</t>
  </si>
  <si>
    <t>rg_apps_hp_helpdesk_integration_prod</t>
  </si>
  <si>
    <t>appwe01fin-test</t>
  </si>
  <si>
    <t>rg_apps_finapps_test</t>
  </si>
  <si>
    <t>appwe01mim-uat</t>
  </si>
  <si>
    <t>rg_apps_mim_uat</t>
  </si>
  <si>
    <t>Standard_D4s_v3</t>
  </si>
  <si>
    <t>appwe01mags-prod</t>
  </si>
  <si>
    <t>rg_apps_magazines_prod</t>
  </si>
  <si>
    <t>appwe01mer-prod</t>
  </si>
  <si>
    <t>rg_apps_merripond_prod</t>
  </si>
  <si>
    <t>appwe01mgt-prod</t>
  </si>
  <si>
    <t>appwe01mim-prod</t>
  </si>
  <si>
    <t>rg_apps_mim_prod</t>
  </si>
  <si>
    <t>dbswe01sql-uat</t>
  </si>
  <si>
    <t>rg_dbs_sql_uat</t>
  </si>
  <si>
    <t>appwe01neo-prod</t>
  </si>
  <si>
    <t>rg_apps_neopost_prod</t>
  </si>
  <si>
    <t>Unable to rightsize MEM above 50% - VM_APAC_Ddsv4_1_R2_2021-09-07</t>
  </si>
  <si>
    <t>appwe01piv-prod</t>
  </si>
  <si>
    <t>rg_apps_pivotal_prod</t>
  </si>
  <si>
    <t>appwe01ratestream-prod</t>
  </si>
  <si>
    <t>rg_apps_ratestream_prod</t>
  </si>
  <si>
    <t>appwe01sales-prod</t>
  </si>
  <si>
    <t>rg_apps_sales_prod</t>
  </si>
  <si>
    <t>appwe01samrm</t>
  </si>
  <si>
    <t>rg_apps_samrm_prod</t>
  </si>
  <si>
    <t>Mailed Application Owner, awaiting feedback</t>
  </si>
  <si>
    <t>Appwe01sg-prod</t>
  </si>
  <si>
    <t>rg_apps_sharegate_prod</t>
  </si>
  <si>
    <t>20.71.116.59</t>
  </si>
  <si>
    <t>No Savings - VM_APAC_Bms_2_R4_2022-10-21</t>
  </si>
  <si>
    <t>appwe01solr-poc</t>
  </si>
  <si>
    <t>rg_apps_sitecore_ecom_prod</t>
  </si>
  <si>
    <t>Recommended and Current Size the same - VM_WE_Fsv2_1_R1_2022-03-19</t>
  </si>
  <si>
    <t>appwe01ttn-prod</t>
  </si>
  <si>
    <t>rg_apps_ttn_prod</t>
  </si>
  <si>
    <t>Recommended and Current Size the same - VM_WE_Fsv2_1_R2_2022-03-19</t>
  </si>
  <si>
    <t>dbswe02mysql-uat</t>
  </si>
  <si>
    <t>rg_dbs_mysql_uat</t>
  </si>
  <si>
    <t>Standard_E8s_v3</t>
  </si>
  <si>
    <t>No Savings</t>
  </si>
  <si>
    <t>appwe01turk-prd</t>
  </si>
  <si>
    <t>rg_apps_turk_prod</t>
  </si>
  <si>
    <t>Mailed Application Owner, awaiting feedback - VM_WE_F2s_1_R2_2022-03-19</t>
  </si>
  <si>
    <t>dbswe03cst-uat</t>
  </si>
  <si>
    <t>No Savings - VM_WE_Bms_1_R4_2022-03-19</t>
  </si>
  <si>
    <t>appwe02cas-prod</t>
  </si>
  <si>
    <t>appwe02ewifi-prod</t>
  </si>
  <si>
    <t>Unable to rightsize MEM above 50% - VM_WE_Bms_2_R8_2022-10-21</t>
  </si>
  <si>
    <t>appwe02neo-prod</t>
  </si>
  <si>
    <t>Mailed Application Owner, awaiting feedback - VM_WE_Ddsv4_1_R2_2024-09-03</t>
  </si>
  <si>
    <t>appwe02piv-prod</t>
  </si>
  <si>
    <t>appwe02ratestream-prod</t>
  </si>
  <si>
    <t>Standard_D2s_v3</t>
  </si>
  <si>
    <t>Recommended and Current Size the same - VM_WE_Fsv2_2_R4_2022-03-19</t>
  </si>
  <si>
    <t>appwe02sales-prod</t>
  </si>
  <si>
    <t>D8ds v4</t>
  </si>
  <si>
    <t>Recommended and Current Size the same - VM_WE_Fsv2_1_R4_2024-09-03</t>
  </si>
  <si>
    <t>appwe02ttn-prod</t>
  </si>
  <si>
    <t>appwe01cst-uat</t>
  </si>
  <si>
    <t>appwe03cst-prod</t>
  </si>
  <si>
    <t>appwe03neo-prod</t>
  </si>
  <si>
    <t>appwe03piv-prod</t>
  </si>
  <si>
    <t>appwe03ttn-prod</t>
  </si>
  <si>
    <t>Unable to rightsize MEM above 50% - VM_WE_Ddsv4_1_R1_2022-09-07</t>
  </si>
  <si>
    <t>appwe01ttn-uat</t>
  </si>
  <si>
    <t>rg_apps_ttn_uat</t>
  </si>
  <si>
    <t>Check Memory Utilization with recommended SKU - VM_WE_Ddsv4_1_R2_2024-09-03</t>
  </si>
  <si>
    <t>appwe04neo-prod</t>
  </si>
  <si>
    <t>appwe04piv-prod</t>
  </si>
  <si>
    <t>No Savings - VM_WE_Bms_2_R4_2022-09-07</t>
  </si>
  <si>
    <t>appwe05neo-prod</t>
  </si>
  <si>
    <t>appwe05piv-prod</t>
  </si>
  <si>
    <t>AZREUTRI01-TEST</t>
  </si>
  <si>
    <t>rg_app_tritone_testbackup</t>
  </si>
  <si>
    <t>Memory Running at 43% on current SKU - VM_WE_Fsv2_2_R2_2022-09-07</t>
  </si>
  <si>
    <t>aznedom01</t>
  </si>
  <si>
    <t>rg_core_ad_dr</t>
  </si>
  <si>
    <t>Recommended and Current Size the same - VM_WE_Bms_1_R4_2022-03-19</t>
  </si>
  <si>
    <t>aznedom11</t>
  </si>
  <si>
    <t>Unable to rightsize MEM above 50% - VM_WE_Bms_1_R8_2022-09-07</t>
  </si>
  <si>
    <t>aznedom21</t>
  </si>
  <si>
    <t>aznedom31</t>
  </si>
  <si>
    <t>No Savings - VM_WE_DS13v2_1_R4_2022-03-19</t>
  </si>
  <si>
    <t>aznedom41</t>
  </si>
  <si>
    <t>AZR80DBS01POL</t>
  </si>
  <si>
    <t>rg_prod_polaris</t>
  </si>
  <si>
    <t>13.95.196.164</t>
  </si>
  <si>
    <t>AZRAPNPS01DVL</t>
  </si>
  <si>
    <t>rg_anc_apac</t>
  </si>
  <si>
    <t>AZRAPODL01</t>
  </si>
  <si>
    <t>rg_opendaylight_apac</t>
  </si>
  <si>
    <t>Standard_A2_v2</t>
  </si>
  <si>
    <t>Unable to rightsize MEM above 50% - VM_US_Ddsv4_1_R2_2021-09-07</t>
  </si>
  <si>
    <t>appwe01hpi-test</t>
  </si>
  <si>
    <t>rg_apps_hp_helpdesk_integration_test</t>
  </si>
  <si>
    <t>AZREUDBS02CLV</t>
  </si>
  <si>
    <t>Recommended and Current Size the same - VM_US_Ddsv4_1_R2_2021-09-07</t>
  </si>
  <si>
    <t>AZREUINC01</t>
  </si>
  <si>
    <t>rg_incontrol_eu</t>
  </si>
  <si>
    <t>AZREUINC02</t>
  </si>
  <si>
    <t>AZREUNPS01DVL</t>
  </si>
  <si>
    <t>Mailed Application Owner, awaiting feedback - VM_US_Ddsv4_1_R2_2021-09-07</t>
  </si>
  <si>
    <t>AZREUNPS03ALW</t>
  </si>
  <si>
    <t>AZREUODL01</t>
  </si>
  <si>
    <t>rg_opendaylight_eu</t>
  </si>
  <si>
    <t>Standard_D3_v2_Promo</t>
  </si>
  <si>
    <t>D3 v2</t>
  </si>
  <si>
    <t>No Savings - VM_US_Bms_1_R8_2022-10-21</t>
  </si>
  <si>
    <t>AZREUTRI02DBS</t>
  </si>
  <si>
    <t>AZREUUIP04BOT</t>
  </si>
  <si>
    <t>Standard_A2m_v2</t>
  </si>
  <si>
    <t>AZREUUIP05BOT</t>
  </si>
  <si>
    <t>AZRUSNPS01DVL</t>
  </si>
  <si>
    <t>rg_anc_us</t>
  </si>
  <si>
    <t>AZRUSODL01</t>
  </si>
  <si>
    <t>rg_opendaylight_us</t>
  </si>
  <si>
    <t>azwedom01</t>
  </si>
  <si>
    <t>rg_core_ad_prod</t>
  </si>
  <si>
    <t>AzWEdom02</t>
  </si>
  <si>
    <t>bac0913ae05c45a8867d9bc763921bf7</t>
  </si>
  <si>
    <t>20.73.247.20</t>
  </si>
  <si>
    <t>bc80df0a1bfc4de1ba97dfb5d3c6f96a</t>
  </si>
  <si>
    <t>20.73.246.210</t>
  </si>
  <si>
    <t>build1a4151f0-1</t>
  </si>
  <si>
    <t>iwg-fo-build</t>
  </si>
  <si>
    <t>51.137.123.140</t>
  </si>
  <si>
    <t>build6d9ef71d-1</t>
  </si>
  <si>
    <t>iwg-fo-qts</t>
  </si>
  <si>
    <t>Standard_D13_v2</t>
  </si>
  <si>
    <t>40.115.27.178</t>
  </si>
  <si>
    <t>c57c2d0283f940e0ad2f6afe5844f264</t>
  </si>
  <si>
    <t>20.71.217.253</t>
  </si>
  <si>
    <t>c784e5f952d6413ea9476914f5011ece</t>
  </si>
  <si>
    <t>20.73.246.215</t>
  </si>
  <si>
    <t>c936b948823941e0bd5648414fb4a96c</t>
  </si>
  <si>
    <t>20.73.245.1</t>
  </si>
  <si>
    <t>AzWEdom11</t>
  </si>
  <si>
    <t>d2d2158dc6b343f69886b2e2e7a5a108</t>
  </si>
  <si>
    <t>13.95.22.39</t>
  </si>
  <si>
    <t>d62035fe82e0461e936175437cebb802</t>
  </si>
  <si>
    <t>20.73.246.207</t>
  </si>
  <si>
    <t>d9380cd61d7743c1af3347f935d0fdf5</t>
  </si>
  <si>
    <t>137.117.172.189</t>
  </si>
  <si>
    <t>da101adf9d244b288bb874dc728f98d1</t>
  </si>
  <si>
    <t>52.166.69.176</t>
  </si>
  <si>
    <t>dace0c968f174080a0728d407119dd31</t>
  </si>
  <si>
    <t>52.166.115.52</t>
  </si>
  <si>
    <t>dae436810bd24ce7b3a08d52e833b4f0</t>
  </si>
  <si>
    <t>52.166.68.59</t>
  </si>
  <si>
    <t>AzWEdom21</t>
  </si>
  <si>
    <t>AzWEdom31</t>
  </si>
  <si>
    <t>VM_NE_Fsv2_1_R8_2022-09-10</t>
  </si>
  <si>
    <t>AzWEdom41</t>
  </si>
  <si>
    <t>cyclops-test</t>
  </si>
  <si>
    <t>rg_apps_mgt</t>
  </si>
  <si>
    <t>52.166.162.87</t>
  </si>
  <si>
    <t>VM_NE_Edsv4_1_R16_2022-09-10</t>
  </si>
  <si>
    <t>dbne03sql2-dr</t>
  </si>
  <si>
    <t>rg_dbs_sql2_prod</t>
  </si>
  <si>
    <t>E8-4ds v4</t>
  </si>
  <si>
    <t>dbsne01cst-dr</t>
  </si>
  <si>
    <t>rg_dbs_cst_dr</t>
  </si>
  <si>
    <t>Standard_E16s_v3</t>
  </si>
  <si>
    <t>dbsne01mysql-prod</t>
  </si>
  <si>
    <t>rg_dbs_mysql_prod</t>
  </si>
  <si>
    <t>No cost Savings - VM_WE_Bms_1_R8_2022-10-20</t>
  </si>
  <si>
    <t>dbsne03sql-dr</t>
  </si>
  <si>
    <t>rg_dbs_sql_prod</t>
  </si>
  <si>
    <t>E8ds v4</t>
  </si>
  <si>
    <t>dbsne03ttn-dr</t>
  </si>
  <si>
    <t>rg_dbs_ttn_prod</t>
  </si>
  <si>
    <t>E32-8ds v4</t>
  </si>
  <si>
    <t>VM_WE_Fsv2_1_R16_2022-09-10</t>
  </si>
  <si>
    <t>dbswe01cch-prod</t>
  </si>
  <si>
    <t>Completed - VM_WE_Edsv4_1_R2_2022-10-21</t>
  </si>
  <si>
    <t>dbswe01cst-prod</t>
  </si>
  <si>
    <t>rg_dbs_cst_prod</t>
  </si>
  <si>
    <t>Standard_E32s_v3</t>
  </si>
  <si>
    <t>E4-2ds v4</t>
  </si>
  <si>
    <t>appwe02ttn-uat</t>
  </si>
  <si>
    <t>dbswe01mysql-prod</t>
  </si>
  <si>
    <t>Recommended and Current Size the same - VM_WE_Ddsv4_1_R4_2022-08-31</t>
  </si>
  <si>
    <t>dbswe01mysql-test</t>
  </si>
  <si>
    <t>rg_dbs_mysql_test</t>
  </si>
  <si>
    <t>No cost Savings</t>
  </si>
  <si>
    <t>appwe03ttn-uat</t>
  </si>
  <si>
    <t>dbswe01sql-prod</t>
  </si>
  <si>
    <t>Standard_E20s_v3</t>
  </si>
  <si>
    <t>E20ds v4</t>
  </si>
  <si>
    <t>No cost Savings - VM_WE_E16dsv4_1_R8_2022-04-19</t>
  </si>
  <si>
    <t>dbswe01mysql-uat</t>
  </si>
  <si>
    <t>Completed - VM_WE_Edsv4_1_R10_2022-10-19</t>
  </si>
  <si>
    <t>dbswe01ttn-prod</t>
  </si>
  <si>
    <t>Standard_E64-32s_v3</t>
  </si>
  <si>
    <t>E64-32ds v4</t>
  </si>
  <si>
    <t>dbswe01ttn-uat</t>
  </si>
  <si>
    <t>rg_dbs_ttn_uat</t>
  </si>
  <si>
    <t>dbswe01turk-prd</t>
  </si>
  <si>
    <t>rg_dbs_turk_prod</t>
  </si>
  <si>
    <t>dbswe02ttn-uat</t>
  </si>
  <si>
    <t>Recommended and Current Size the same - VM_WE_Bms_1_R8_2022-10-20</t>
  </si>
  <si>
    <t>dbswe02cst-prod</t>
  </si>
  <si>
    <t>E8-2ds v4</t>
  </si>
  <si>
    <t>dbswe02mysql-prod</t>
  </si>
  <si>
    <t>Completed unable to rigtsize to F2sv2, right sized same as 01</t>
  </si>
  <si>
    <t>appwe01magazines-uat</t>
  </si>
  <si>
    <t>rg_apps_magazines_uat</t>
  </si>
  <si>
    <t>dbswe02sql-prod</t>
  </si>
  <si>
    <t>E16-4ds v4</t>
  </si>
  <si>
    <t>dbswe02ttn-prod</t>
  </si>
  <si>
    <t>dbswe01fp-uat</t>
  </si>
  <si>
    <t>rg_apps_forecast_uat</t>
  </si>
  <si>
    <t>dbswe03cst-prod</t>
  </si>
  <si>
    <t>Standard_E8_v3</t>
  </si>
  <si>
    <t>Completed</t>
  </si>
  <si>
    <t>dbswe01turk-uat</t>
  </si>
  <si>
    <t>rg_dbs_turk_uat</t>
  </si>
  <si>
    <t>dbwe01sql2-prod</t>
  </si>
  <si>
    <t>dbwe02sql2-prod</t>
  </si>
  <si>
    <t>de7ba18b1eee48ebb01cfa5467628c8b</t>
  </si>
  <si>
    <t>52.233.178.39</t>
  </si>
  <si>
    <t>deec78b819e0465fa72bfe27d6e9ee4d</t>
  </si>
  <si>
    <t>20.71.221.81</t>
  </si>
  <si>
    <t>demo-1</t>
  </si>
  <si>
    <t>iwg-fo-demo-01</t>
  </si>
  <si>
    <t>52.136.199.74</t>
  </si>
  <si>
    <t>dev167ea27686-1</t>
  </si>
  <si>
    <t>iwg-fo-train</t>
  </si>
  <si>
    <t>52.143.60.184</t>
  </si>
  <si>
    <t>dev1cff74f009-1</t>
  </si>
  <si>
    <t>iwg-fo-dev02</t>
  </si>
  <si>
    <t>40.118.24.224</t>
  </si>
  <si>
    <t>dev2519dcb12a-1</t>
  </si>
  <si>
    <t>APPS_EU_DYNAMICS</t>
  </si>
  <si>
    <t>iwg-fo-dmtesting</t>
  </si>
  <si>
    <t>13.93.121.107</t>
  </si>
  <si>
    <t>dev283aac8af2-1</t>
  </si>
  <si>
    <t>iwg-fo-t-qa</t>
  </si>
  <si>
    <t>Standard_D12</t>
  </si>
  <si>
    <t>52.162.246.152</t>
  </si>
  <si>
    <t>dev2945f02cc5-1</t>
  </si>
  <si>
    <t>iwg-fo-recon</t>
  </si>
  <si>
    <t>51.136.161.111</t>
  </si>
  <si>
    <t>dev323569e8b2-1</t>
  </si>
  <si>
    <t>iwg-fo-dev10</t>
  </si>
  <si>
    <t>51.136.45.221</t>
  </si>
  <si>
    <t>dev369bb8dc35-1</t>
  </si>
  <si>
    <t>iwg-fo-dev05</t>
  </si>
  <si>
    <t>13.93.92.140</t>
  </si>
  <si>
    <t>dev44137faf99-1</t>
  </si>
  <si>
    <t>iwg-fo-msdev02</t>
  </si>
  <si>
    <t>40.91.221.249</t>
  </si>
  <si>
    <t>dev4b59da16ee-1</t>
  </si>
  <si>
    <t>iwg-fo-dev08</t>
  </si>
  <si>
    <t>13.80.4.91</t>
  </si>
  <si>
    <t>dev51b53ac5d3-1</t>
  </si>
  <si>
    <t>iwg-fo-t-train</t>
  </si>
  <si>
    <t>52.166.233.222</t>
  </si>
  <si>
    <t>dev717de7a8ec-1</t>
  </si>
  <si>
    <t>iwg-fo-apreg</t>
  </si>
  <si>
    <t>13.80.133.239</t>
  </si>
  <si>
    <t>dev722cd64bd2-1</t>
  </si>
  <si>
    <t>iwg-fo-dev04</t>
  </si>
  <si>
    <t>13.80.109.218</t>
  </si>
  <si>
    <t>dev8f6a467964-1</t>
  </si>
  <si>
    <t>iwg-fo-msfat</t>
  </si>
  <si>
    <t>13.73.227.135</t>
  </si>
  <si>
    <t>dev9676eb89d3-1</t>
  </si>
  <si>
    <t>iwg-fo-t-dm</t>
  </si>
  <si>
    <t>104.40.146.183</t>
  </si>
  <si>
    <t>devaf6506a302-1</t>
  </si>
  <si>
    <t>iwg-fo-dev07</t>
  </si>
  <si>
    <t>52.233.128.239</t>
  </si>
  <si>
    <t>devc1d90a2a28-1</t>
  </si>
  <si>
    <t>iwg-fo-vanilla</t>
  </si>
  <si>
    <t>40.114.198.91</t>
  </si>
  <si>
    <t>devc6a4ca6c08-1</t>
  </si>
  <si>
    <t>iwg-fo-dev11</t>
  </si>
  <si>
    <t>52.142.252.247</t>
  </si>
  <si>
    <t>devcc355d3981-1</t>
  </si>
  <si>
    <t>iwg-fo-msdev04</t>
  </si>
  <si>
    <t>20.71.211.58</t>
  </si>
  <si>
    <t>devd342578597-1</t>
  </si>
  <si>
    <t>iwg-fo-tmpprd</t>
  </si>
  <si>
    <t>52.137.2.78</t>
  </si>
  <si>
    <t>devd40b12bc51-1</t>
  </si>
  <si>
    <t>iwg-fo-qa</t>
  </si>
  <si>
    <t>52.166.64.121</t>
  </si>
  <si>
    <t>devda644f72c8-1</t>
  </si>
  <si>
    <t>iwg-fo-dm</t>
  </si>
  <si>
    <t>40.118.104.238</t>
  </si>
  <si>
    <t>devdebac6291c-1</t>
  </si>
  <si>
    <t>iwg-fo-dev06</t>
  </si>
  <si>
    <t>168.63.29.164</t>
  </si>
  <si>
    <t>deve35814ad8f-1</t>
  </si>
  <si>
    <t>iwg-fo-train2</t>
  </si>
  <si>
    <t>52.232.109.106</t>
  </si>
  <si>
    <t>deve816b79122-1</t>
  </si>
  <si>
    <t>iwg-fo-dev03</t>
  </si>
  <si>
    <t>13.80.126.242</t>
  </si>
  <si>
    <t>dff633c43acb431a92cb344c723332c6</t>
  </si>
  <si>
    <t>52.136.239.72</t>
  </si>
  <si>
    <t>DS-01</t>
  </si>
  <si>
    <t>rg_ran_testing</t>
  </si>
  <si>
    <t>13.69.101.174</t>
  </si>
  <si>
    <t>e062098dd2904b21a1ee63a794ecb3f9</t>
  </si>
  <si>
    <t>51.145.172.205</t>
  </si>
  <si>
    <t>e3e7b1b252424589af113ce5d2eb441c</t>
  </si>
  <si>
    <t>51.144.34.205</t>
  </si>
  <si>
    <t>e72ea7dd9a0d4abf83092c6c30c54fb1</t>
  </si>
  <si>
    <t>20.71.221.133</t>
  </si>
  <si>
    <t>e93ff0b45bc148be8ee724b0af6d2d7f</t>
  </si>
  <si>
    <t>20.73.245.107</t>
  </si>
  <si>
    <t>e9bc26f9ca224b5b94810655456381e5</t>
  </si>
  <si>
    <t>51.144.52.167</t>
  </si>
  <si>
    <t>f367a08561bc4755b4d3fb188deb040a</t>
  </si>
  <si>
    <t>20.73.244.195</t>
  </si>
  <si>
    <t>VM_NE_Ddsv4_1_R4_2022-09-10</t>
  </si>
  <si>
    <t>fwnepa-dr01</t>
  </si>
  <si>
    <t>rg_ne_fw_dr</t>
  </si>
  <si>
    <t>52.158.29.136</t>
  </si>
  <si>
    <t>fwnepa-dr02</t>
  </si>
  <si>
    <t>52.155.183.252</t>
  </si>
  <si>
    <t>fwwepa-prod01</t>
  </si>
  <si>
    <t>rg_we_fw_prod</t>
  </si>
  <si>
    <t>51.105.117.80</t>
  </si>
  <si>
    <t>fwwepa-prod02</t>
  </si>
  <si>
    <t>51.105.117.106</t>
  </si>
  <si>
    <t>fwwepan-prod</t>
  </si>
  <si>
    <t>rg_we_secman_prod</t>
  </si>
  <si>
    <t>52.166.105.179</t>
  </si>
  <si>
    <t>hypervwin10</t>
  </si>
  <si>
    <t>20.67.94.133</t>
  </si>
  <si>
    <t>imagewe04devops-prod</t>
  </si>
  <si>
    <t>IWG-FO-DEV01-1</t>
  </si>
  <si>
    <t>iwg-fo-dev01</t>
  </si>
  <si>
    <t>51.137.95.245</t>
  </si>
  <si>
    <t>IWG-MSDev1-1</t>
  </si>
  <si>
    <t>iwg-fo-msdev1</t>
  </si>
  <si>
    <t>51.136.45.3</t>
  </si>
  <si>
    <t>iwg-mysql</t>
  </si>
  <si>
    <t>rg_apps_otherwebs</t>
  </si>
  <si>
    <t>13.93.29.11</t>
  </si>
  <si>
    <t>IWG-UPBUILD-1</t>
  </si>
  <si>
    <t>iwg-fo-upbuild</t>
  </si>
  <si>
    <t>13.81.37.73</t>
  </si>
  <si>
    <t>iwgcrmreporting</t>
  </si>
  <si>
    <t>rg_apps_dynamics_integration</t>
  </si>
  <si>
    <t>13.94.187.109</t>
  </si>
  <si>
    <t>IWGFO-MSDev3-1</t>
  </si>
  <si>
    <t>iwg-fo-msdev3</t>
  </si>
  <si>
    <t>20.105.161.237</t>
  </si>
  <si>
    <t>IWGFO-T-DEV-10</t>
  </si>
  <si>
    <t>iwg-fo-t-dev10</t>
  </si>
  <si>
    <t>52.252.128.192</t>
  </si>
  <si>
    <t>B8ms</t>
  </si>
  <si>
    <t>ns-vpx0</t>
  </si>
  <si>
    <t>ns-vpx1</t>
  </si>
  <si>
    <t>Ratestream.Development</t>
  </si>
  <si>
    <t>ratestream.development</t>
  </si>
  <si>
    <t>REG80NGF01a</t>
  </si>
  <si>
    <t>rg_apps_ngf01</t>
  </si>
  <si>
    <t>Standard_F2</t>
  </si>
  <si>
    <t>52.166.64.239</t>
  </si>
  <si>
    <t>REG80NGF01b</t>
  </si>
  <si>
    <t>40.115.49.108</t>
  </si>
  <si>
    <t>REG80WAF01</t>
  </si>
  <si>
    <t>rg_apps_waf01</t>
  </si>
  <si>
    <t>Standard_D1_V2</t>
  </si>
  <si>
    <t>104.47.144.196</t>
  </si>
  <si>
    <t>REG80WAF02</t>
  </si>
  <si>
    <t>13.81.3.18</t>
  </si>
  <si>
    <t>repwe01ttn-prod</t>
  </si>
  <si>
    <t>rg_rep_ttn_prod</t>
  </si>
  <si>
    <t>repwe02ttn-prod</t>
  </si>
  <si>
    <t>salesapp-test</t>
  </si>
  <si>
    <t>secwenttsa-prod</t>
  </si>
  <si>
    <t>VM_WE_Bms_1_R4_2022-09-10</t>
  </si>
  <si>
    <t>secwetrap-prod</t>
  </si>
  <si>
    <t>sitecorewe01solr-accpoc0</t>
  </si>
  <si>
    <t>APPS_EU_POC</t>
  </si>
  <si>
    <t>rg_apps_sitecore_xc10_accpoc</t>
  </si>
  <si>
    <t>20.50.53.84</t>
  </si>
  <si>
    <t>sitecorewe01solr-tstpoc0</t>
  </si>
  <si>
    <t>rg_apps_sitecore_xc10_tstpoc</t>
  </si>
  <si>
    <t>20.71.84.105</t>
  </si>
  <si>
    <t>stephantestvm1</t>
  </si>
  <si>
    <t>testing</t>
  </si>
  <si>
    <t>test</t>
  </si>
  <si>
    <t>rg_vnet_bitest</t>
  </si>
  <si>
    <t>Standard_DS2_v2</t>
  </si>
  <si>
    <t>weappfedexprd01</t>
  </si>
  <si>
    <t>rg_apps_fedex_prod</t>
  </si>
  <si>
    <t>weappfedexprd02</t>
  </si>
  <si>
    <t>webserver</t>
  </si>
  <si>
    <t>rg-swt-didata01</t>
  </si>
  <si>
    <t>13.74.67.93</t>
  </si>
  <si>
    <t>Row Labels</t>
  </si>
  <si>
    <t>Count of NAME</t>
  </si>
  <si>
    <t>Rightsize to 1 SKU below</t>
  </si>
  <si>
    <t>Servers Count</t>
  </si>
  <si>
    <t>RI Count</t>
  </si>
  <si>
    <t>Standard_Bms</t>
  </si>
  <si>
    <t>Standard_Das_v4</t>
  </si>
  <si>
    <t>Standard_Dds_v4</t>
  </si>
  <si>
    <t>Standard_Ds_v4</t>
  </si>
  <si>
    <t>Standard_D_v3</t>
  </si>
  <si>
    <t>Standard_Ds_v3</t>
  </si>
  <si>
    <t>Standard_DS_v2</t>
  </si>
  <si>
    <t>Standard_Eds_v4</t>
  </si>
  <si>
    <t>Standard_Es_v3</t>
  </si>
  <si>
    <t>Standard_E_v3</t>
  </si>
  <si>
    <t>Standard_Fs_v2</t>
  </si>
  <si>
    <t>Standard_F</t>
  </si>
  <si>
    <t>Standard_Fs</t>
  </si>
  <si>
    <t>Grand Total</t>
  </si>
  <si>
    <t>Modified Name</t>
  </si>
  <si>
    <t>SKU</t>
  </si>
  <si>
    <t>vCore</t>
  </si>
  <si>
    <t>Memory: GiB</t>
  </si>
  <si>
    <t>Temp storage (SSD) GiB</t>
  </si>
  <si>
    <t>Max temp storage throughput: IOPS/Read MBps/Write MBps</t>
  </si>
  <si>
    <t>Max data disks</t>
  </si>
  <si>
    <t>IOPS / ThroughPut</t>
  </si>
  <si>
    <t>Throughput</t>
  </si>
  <si>
    <t>Max NICs</t>
  </si>
  <si>
    <t>Expected network bandwidth (Mbps)</t>
  </si>
  <si>
    <t>Standard_A1_v2</t>
  </si>
  <si>
    <t>1000/20/10</t>
  </si>
  <si>
    <t>2000/40/20</t>
  </si>
  <si>
    <t>Standard_A4_v2</t>
  </si>
  <si>
    <t>4000/80/40</t>
  </si>
  <si>
    <t>Standard_A8_v2</t>
  </si>
  <si>
    <t>8000/160/80</t>
  </si>
  <si>
    <t>Standard_A8m_v2</t>
  </si>
  <si>
    <t>Standard_B1ls1</t>
  </si>
  <si>
    <t>0.5</t>
  </si>
  <si>
    <t>200/10</t>
  </si>
  <si>
    <t>Standard_B1s</t>
  </si>
  <si>
    <t>400/10</t>
  </si>
  <si>
    <t>800/10</t>
  </si>
  <si>
    <t>1600/15</t>
  </si>
  <si>
    <t>2400/22.5</t>
  </si>
  <si>
    <t>22.5</t>
  </si>
  <si>
    <t>3600/35</t>
  </si>
  <si>
    <t>4320/50</t>
  </si>
  <si>
    <t>6480/75</t>
  </si>
  <si>
    <t>8640/100</t>
  </si>
  <si>
    <t>10800/125</t>
  </si>
  <si>
    <t>Size</t>
  </si>
  <si>
    <t>CPU cores</t>
  </si>
  <si>
    <t>Temporary Storage (SSD): GiB</t>
  </si>
  <si>
    <t>Max NICs / Network bandwidth</t>
  </si>
  <si>
    <t>Standard_D1</t>
  </si>
  <si>
    <t>3.5</t>
  </si>
  <si>
    <t>1 / moderate</t>
  </si>
  <si>
    <t>Standard_D2</t>
  </si>
  <si>
    <t>2 / high</t>
  </si>
  <si>
    <t>Standard_D3</t>
  </si>
  <si>
    <t>4 / high</t>
  </si>
  <si>
    <t>Standard_D4</t>
  </si>
  <si>
    <t>8 / high</t>
  </si>
  <si>
    <t>Standard_D11</t>
  </si>
  <si>
    <t>Standard_D14</t>
  </si>
  <si>
    <t>8 / very high</t>
  </si>
  <si>
    <t>vCPU</t>
  </si>
  <si>
    <t>Max cached and temp storage throughput: IOPS/MBps (cache size in GiB)</t>
  </si>
  <si>
    <t>Max uncached disk throughput: IOPS/MBps</t>
  </si>
  <si>
    <t>Standard_DS1_v2</t>
  </si>
  <si>
    <t>4000/32 (43)</t>
  </si>
  <si>
    <t>8000/64 (86)</t>
  </si>
  <si>
    <t>16000/128 (172)</t>
  </si>
  <si>
    <t>Standard_DS4_v2</t>
  </si>
  <si>
    <t>32000/256 (344)</t>
  </si>
  <si>
    <t>Standard_DS5_v2</t>
  </si>
  <si>
    <t>64000/512 (688)</t>
  </si>
  <si>
    <t>Standard_DS11_v2 3</t>
  </si>
  <si>
    <t>8000/64 (72)</t>
  </si>
  <si>
    <t>Standard_DS12_v2 3</t>
  </si>
  <si>
    <t>16000/128 (144)</t>
  </si>
  <si>
    <t>Standard_DS13_v2 3</t>
  </si>
  <si>
    <t>32000/256 (288)</t>
  </si>
  <si>
    <t>Standard_DS14_v2 3</t>
  </si>
  <si>
    <t>64000/512 (576)</t>
  </si>
  <si>
    <t>Standard_DS15_v2 2</t>
  </si>
  <si>
    <t>80000/640 (720)</t>
  </si>
  <si>
    <t>25000 4</t>
  </si>
  <si>
    <t>4000/32 (50)</t>
  </si>
  <si>
    <t>8000/64 (100)</t>
  </si>
  <si>
    <t>16000/128 (200)</t>
  </si>
  <si>
    <t>Standard_D16s_v3</t>
  </si>
  <si>
    <t>32000/256 (400)</t>
  </si>
  <si>
    <t>Standard_D32s_v3</t>
  </si>
  <si>
    <t>64000/512 (800)</t>
  </si>
  <si>
    <t>Standard_D48s_v3</t>
  </si>
  <si>
    <t>96000/768 (1200)</t>
  </si>
  <si>
    <t>Standard_D64s_v3</t>
  </si>
  <si>
    <t>128000/1024 (1600)</t>
  </si>
  <si>
    <t>4000 / 32 (50)</t>
  </si>
  <si>
    <t>8000 / 64 (100)</t>
  </si>
  <si>
    <t>16000 / 128 (200)</t>
  </si>
  <si>
    <t>32000 / 255 (400)</t>
  </si>
  <si>
    <t>64000 / 510 (800)</t>
  </si>
  <si>
    <t>96000 / 1020 (1200)</t>
  </si>
  <si>
    <t>128000 / 1020 (1600)</t>
  </si>
  <si>
    <t>192000 / 1020 (2400)</t>
  </si>
  <si>
    <t>Standard_D2a_v4</t>
  </si>
  <si>
    <t>3000 / 46 / 23</t>
  </si>
  <si>
    <t>Standard_D4a_v4</t>
  </si>
  <si>
    <t>6000 / 93 / 46</t>
  </si>
  <si>
    <t>Standard_D8a_v4</t>
  </si>
  <si>
    <t>12000 / 187 / 93</t>
  </si>
  <si>
    <t>Standard_D16a_v4</t>
  </si>
  <si>
    <t>24000 / 375 / 187</t>
  </si>
  <si>
    <t>Standard_D32a_v4</t>
  </si>
  <si>
    <t>48000 / 750 / 375</t>
  </si>
  <si>
    <t>Standard_D48a_v4</t>
  </si>
  <si>
    <t>96000 / 1000 / 500</t>
  </si>
  <si>
    <t>Standard_D64a_v4</t>
  </si>
  <si>
    <t>Standard_D96a_v4</t>
  </si>
  <si>
    <t>Remote Storage Only</t>
  </si>
  <si>
    <t>3200/48</t>
  </si>
  <si>
    <t>6400/96</t>
  </si>
  <si>
    <t>Standard_D8s_v4</t>
  </si>
  <si>
    <t>12800/192</t>
  </si>
  <si>
    <t>25600/384</t>
  </si>
  <si>
    <t>Standard_D32s_v4</t>
  </si>
  <si>
    <t>51200/768</t>
  </si>
  <si>
    <t>Standard_D48s_v4</t>
  </si>
  <si>
    <t>76800/1152</t>
  </si>
  <si>
    <t>Standard_D64s_v4</t>
  </si>
  <si>
    <t>80000/1200</t>
  </si>
  <si>
    <t>Standard_D1_v2</t>
  </si>
  <si>
    <t>3000/46/23</t>
  </si>
  <si>
    <t>4x500</t>
  </si>
  <si>
    <t>Standard_D2_v2</t>
  </si>
  <si>
    <t>6000/93/46</t>
  </si>
  <si>
    <t>8x500</t>
  </si>
  <si>
    <t>Standard_D3_v2</t>
  </si>
  <si>
    <t>12000/187/93</t>
  </si>
  <si>
    <t>16x500</t>
  </si>
  <si>
    <t>Standard_D4_v2</t>
  </si>
  <si>
    <t>24000/375/187</t>
  </si>
  <si>
    <t>32x500</t>
  </si>
  <si>
    <t>Standard_D5_v2</t>
  </si>
  <si>
    <t>48000/750/375</t>
  </si>
  <si>
    <t>64x500</t>
  </si>
  <si>
    <t>Standard_D11_v2</t>
  </si>
  <si>
    <t>8/8x500</t>
  </si>
  <si>
    <t>Standard_D12_v2</t>
  </si>
  <si>
    <t>16/16x500</t>
  </si>
  <si>
    <t>32/32x500</t>
  </si>
  <si>
    <t>Standard_D14_v2</t>
  </si>
  <si>
    <t>64/64x500</t>
  </si>
  <si>
    <t>Standard_D15_v2 1</t>
  </si>
  <si>
    <t>60000/937/468</t>
  </si>
  <si>
    <t>25000 2</t>
  </si>
  <si>
    <t>Standard_D8_v3</t>
  </si>
  <si>
    <t>Standard_D16_v3</t>
  </si>
  <si>
    <t>Standard_D32_v3</t>
  </si>
  <si>
    <t>Standard_D48_v3</t>
  </si>
  <si>
    <t>96000/1000/500</t>
  </si>
  <si>
    <t>Standard_D64_v3</t>
  </si>
  <si>
    <t>19000/120(50)</t>
  </si>
  <si>
    <t>38500/242(100)</t>
  </si>
  <si>
    <t>77000/485(200)</t>
  </si>
  <si>
    <t>154000/968(400)</t>
  </si>
  <si>
    <t>308000/1936(800)</t>
  </si>
  <si>
    <t>462000/2904(1200)</t>
  </si>
  <si>
    <t>615000/3872(1600)</t>
  </si>
  <si>
    <t>Standard_E2s_v3</t>
  </si>
  <si>
    <t>Standard_E4s_v3</t>
  </si>
  <si>
    <t>40000/320 (400)</t>
  </si>
  <si>
    <t>Standard_E48s_v3</t>
  </si>
  <si>
    <t>Standard_E64s_v3</t>
  </si>
  <si>
    <t>Standard_E64is_v3</t>
  </si>
  <si>
    <t>193000/1211(500)</t>
  </si>
  <si>
    <t>Standard_E64ds_v4</t>
  </si>
  <si>
    <t>Standard_E80ids_v4</t>
  </si>
  <si>
    <t>Standard_E64-32ds_v4</t>
  </si>
  <si>
    <t>Standard_F1</t>
  </si>
  <si>
    <t>2 GB</t>
  </si>
  <si>
    <t>16 GB</t>
  </si>
  <si>
    <t>4 GB</t>
  </si>
  <si>
    <t>32 GB</t>
  </si>
  <si>
    <t>Standard_F4</t>
  </si>
  <si>
    <t>8 GB</t>
  </si>
  <si>
    <t>64 GB</t>
  </si>
  <si>
    <t>Standard_F8</t>
  </si>
  <si>
    <t>128 GB</t>
  </si>
  <si>
    <t>Standard_F16</t>
  </si>
  <si>
    <t>256 GB</t>
  </si>
  <si>
    <t>Standard_F1s</t>
  </si>
  <si>
    <t>Standard_F4s</t>
  </si>
  <si>
    <t>Standard_F8s</t>
  </si>
  <si>
    <t>Standard_F16s</t>
  </si>
  <si>
    <t>4000/31 (32)</t>
  </si>
  <si>
    <t>8000/63 (64)</t>
  </si>
  <si>
    <t>16000/127 (128)</t>
  </si>
  <si>
    <t>32000/255 (256)</t>
  </si>
  <si>
    <t>64000/512 (512)</t>
  </si>
  <si>
    <t>96000/768 (768)</t>
  </si>
  <si>
    <t>128000/1024 (1024)</t>
  </si>
  <si>
    <t>144000/1152 (1520)</t>
  </si>
  <si>
    <t>Instance</t>
  </si>
  <si>
    <t>Core(s)</t>
  </si>
  <si>
    <t>RAM</t>
  </si>
  <si>
    <t>RAM No</t>
  </si>
  <si>
    <t>Temporary Storage</t>
  </si>
  <si>
    <t>Pay as you go with AHB</t>
  </si>
  <si>
    <t>1 year reserved with AHB</t>
  </si>
  <si>
    <t>3 year reserved with AHB</t>
  </si>
  <si>
    <t>Spot with AHB</t>
  </si>
  <si>
    <t>Add to</t>
  </si>
  <si>
    <t>B1s</t>
  </si>
  <si>
    <t>1 GiB</t>
  </si>
  <si>
    <t>4 GiB</t>
  </si>
  <si>
    <t>£6.5290/month</t>
  </si>
  <si>
    <t>£3.7868/month</t>
  </si>
  <si>
    <t>£2.4647/month</t>
  </si>
  <si>
    <t>– –Blank</t>
  </si>
  <si>
    <t>B1ms</t>
  </si>
  <si>
    <t>2 GiB</t>
  </si>
  <si>
    <t>£13.0579/month</t>
  </si>
  <si>
    <t>£7.6389/month</t>
  </si>
  <si>
    <t>£4.9076/month</t>
  </si>
  <si>
    <t>8 GiB</t>
  </si>
  <si>
    <t>£26.1157/month</t>
  </si>
  <si>
    <t>£15.2777/month</t>
  </si>
  <si>
    <t>£9.8315/month</t>
  </si>
  <si>
    <t>16 GiB</t>
  </si>
  <si>
    <t>£52.2313/month</t>
  </si>
  <si>
    <t>£30.5553/month</t>
  </si>
  <si>
    <t>£19.6684/month</t>
  </si>
  <si>
    <t>32 GiB</t>
  </si>
  <si>
    <t>£104.4626/month</t>
  </si>
  <si>
    <t>£61.1161/month</t>
  </si>
  <si>
    <t>£39.3367/month</t>
  </si>
  <si>
    <t>64 GiB</t>
  </si>
  <si>
    <t>£208.9251/month</t>
  </si>
  <si>
    <t>£122.2321/month</t>
  </si>
  <si>
    <t>£78.6516/month</t>
  </si>
  <si>
    <t>B12ms</t>
  </si>
  <si>
    <t>48 GiB</t>
  </si>
  <si>
    <t>96 GiB</t>
  </si>
  <si>
    <t>£313.3876/month</t>
  </si>
  <si>
    <t>£183.4079/month</t>
  </si>
  <si>
    <t>£117.9883/month</t>
  </si>
  <si>
    <t>B16ms</t>
  </si>
  <si>
    <t>128 GiB</t>
  </si>
  <si>
    <t>£417.8501/month</t>
  </si>
  <si>
    <t>£244.5239/month</t>
  </si>
  <si>
    <t>£157.3249/month</t>
  </si>
  <si>
    <t>B20ms</t>
  </si>
  <si>
    <t>80 GiB</t>
  </si>
  <si>
    <t>160 GiB</t>
  </si>
  <si>
    <t>£522.3126/month</t>
  </si>
  <si>
    <t>£305.6399/month</t>
  </si>
  <si>
    <t>£196.6398/month</t>
  </si>
  <si>
    <t>Av2 Standard</t>
  </si>
  <si>
    <t>Av2 Standard is the latest generation of A-series virtual machines with similar CPU performance and faster disk. These virtual machines are suitable for development workloads, build servers, code repositories, low-traffic websites and web applications, micro services, early product experiments, and small databases. Like the prior A Standard generation, Av2 virtual machines will include load balancing and auto-scaling at no additional charge.</t>
  </si>
  <si>
    <t>10 GiB</t>
  </si>
  <si>
    <t>£22.3071/month</t>
  </si>
  <si>
    <t>£4.6845/month</t>
  </si>
  <si>
    <t>A2 v2</t>
  </si>
  <si>
    <t>20 GiB</t>
  </si>
  <si>
    <t>£47.3346/month</t>
  </si>
  <si>
    <t>£9.9403/month</t>
  </si>
  <si>
    <t>A2m v2</t>
  </si>
  <si>
    <t>£67.4654/month</t>
  </si>
  <si>
    <t>£14.1678/month</t>
  </si>
  <si>
    <t>A4 v2</t>
  </si>
  <si>
    <t>40 GiB</t>
  </si>
  <si>
    <t>£99.5659/month</t>
  </si>
  <si>
    <t>£20.9089/month</t>
  </si>
  <si>
    <t>A4m v2</t>
  </si>
  <si>
    <t>£141.4597/month</t>
  </si>
  <si>
    <t>£29.7066/month</t>
  </si>
  <si>
    <t>A8 v2</t>
  </si>
  <si>
    <t>£208.3810/month</t>
  </si>
  <si>
    <t>£43.7600/month</t>
  </si>
  <si>
    <t>A8m v2</t>
  </si>
  <si>
    <t>£297.0653/month</t>
  </si>
  <si>
    <t>£62.3838/month</t>
  </si>
  <si>
    <t>D2a – D96a v4</t>
  </si>
  <si>
    <t>The Da v4-series VMs are based on the 2.35Ghz AMD EPYCTM 7452 processor, which can achieve up to 3.35GHz. The Dav4 VM sizes offer a combination of vCPU(s), memory and temporary storage able to meet the requirements associated with most production workloads. Data disk storage is billed separately from virtual machines. To use Premium SSD disk storage, select the Das v4 VMs.</t>
  </si>
  <si>
    <t>* Spot VMs are transacted in US Dollar only. The local currency figures represent only an estimate of the actual costs you will incur.</t>
  </si>
  <si>
    <t>D2a v4</t>
  </si>
  <si>
    <t>50 GiB</t>
  </si>
  <si>
    <t>£62.5687/month</t>
  </si>
  <si>
    <t>£41.6109/month</t>
  </si>
  <si>
    <t>£28.6347/month</t>
  </si>
  <si>
    <t>£13.1395/month</t>
  </si>
  <si>
    <t>D4a v4</t>
  </si>
  <si>
    <t>100 GiB</t>
  </si>
  <si>
    <t>£125.1374/month</t>
  </si>
  <si>
    <t>£83.2273/month</t>
  </si>
  <si>
    <t>£57.2640/month</t>
  </si>
  <si>
    <t>£26.2789/month</t>
  </si>
  <si>
    <t>D8a v4</t>
  </si>
  <si>
    <t>200 GiB</t>
  </si>
  <si>
    <t>£250.2748/month</t>
  </si>
  <si>
    <t>£166.4545/month</t>
  </si>
  <si>
    <t>£114.5280/month</t>
  </si>
  <si>
    <t>£52.5578/month</t>
  </si>
  <si>
    <t>D16a v4</t>
  </si>
  <si>
    <t>400 GiB</t>
  </si>
  <si>
    <t>£500.5496/month</t>
  </si>
  <si>
    <t>£332.9036/month</t>
  </si>
  <si>
    <t>£229.0559/month</t>
  </si>
  <si>
    <t>£105.1155/month</t>
  </si>
  <si>
    <t>D32a v4</t>
  </si>
  <si>
    <t>800 GiB</t>
  </si>
  <si>
    <t>£1,001.0991/month</t>
  </si>
  <si>
    <t>£665.8071/month</t>
  </si>
  <si>
    <t>£458.1171/month</t>
  </si>
  <si>
    <t>£210.2309/month</t>
  </si>
  <si>
    <t>D48a v4</t>
  </si>
  <si>
    <t>192 GiB</t>
  </si>
  <si>
    <t>1,200 GiB</t>
  </si>
  <si>
    <t>£1,501.6486/month</t>
  </si>
  <si>
    <t>£998.7160/month</t>
  </si>
  <si>
    <t>£687.1729/month</t>
  </si>
  <si>
    <t>£315.3463/month</t>
  </si>
  <si>
    <t>D64a v4</t>
  </si>
  <si>
    <t>256 GiB</t>
  </si>
  <si>
    <t>1,600 GiB</t>
  </si>
  <si>
    <t>£2,002.1981/month</t>
  </si>
  <si>
    <t>£1,331.6196/month</t>
  </si>
  <si>
    <t>£916.2342/month</t>
  </si>
  <si>
    <t>£420.4617/month</t>
  </si>
  <si>
    <t>D96a v4</t>
  </si>
  <si>
    <t>384 GiB</t>
  </si>
  <si>
    <t>2,400 GiB</t>
  </si>
  <si>
    <t>£3,003.2972/month</t>
  </si>
  <si>
    <t>£1,997.4266/month</t>
  </si>
  <si>
    <t>£1,374.3513/month</t>
  </si>
  <si>
    <t>£630.6925/month</t>
  </si>
  <si>
    <t>D2as – D96as v4</t>
  </si>
  <si>
    <t>The Das v4-series VMs support Premium SSD disk storage and are based on the 2.35Ghz AMD EPYCTM 7452 processor, which can achieve up to 3.35GHz. The Das v4 VM sizes offer a combination of vCPUs, memory and temporary storage able to meet the requirements associated with most production workloads.</t>
  </si>
  <si>
    <t>The VM pricing and billing meters for Das v4 VMs are the same as Da v4 VM series. Persistent storage disks are billed separately from virtual machines. See pricing for disks.</t>
  </si>
  <si>
    <t>D4as v4</t>
  </si>
  <si>
    <t>D8as v4</t>
  </si>
  <si>
    <t>D16as v4</t>
  </si>
  <si>
    <t>D32as v4</t>
  </si>
  <si>
    <t>D48as v4</t>
  </si>
  <si>
    <t>D64as v4</t>
  </si>
  <si>
    <t>512 GiB</t>
  </si>
  <si>
    <t>D96as v4</t>
  </si>
  <si>
    <t>768 GiB</t>
  </si>
  <si>
    <t>D2d – D96d v5 (latest generation) Preview</t>
  </si>
  <si>
    <t>The Ddv5 series virtual machines are based on the 3rd Generation Intel® Xeon® Platinum 8370C (Ice Lake) processor in a hyper-threaded configuration. This custom processor can reach an all core Turbo clock speed of up to 3.5GHz and features Intel® Turbo Boost Technology 2.0, Intel® Advanced Vector Extensions 512 (Intel® AVX-512) and Intel® Deep Learning Boost. The Ddv5 and Ddsv5 virtual machine sizes include high performance, large local SSD storage (up to 2,400 GiB) and provide a better value proposition for most general-purpose workloads compared to the prior generation (e.g., increased scalability and an upgraded CPU class).</t>
  </si>
  <si>
    <t>The Ddv5 VM sizes offer a combination of vCPUs, memory, and temporary storage able to meet the requirements associated with most enterprise workloads, such as small-to-medium databases, low-to-medium traffic web servers, application servers and more.</t>
  </si>
  <si>
    <t>You can attach Standard SSDs and Standard HDDs disk storage to these VMs. To use Premium SSD or Ultra Disk storage, select Ddsv5 VMs. Disk storage is billed separately from virtual machines. See pricing for disks.</t>
  </si>
  <si>
    <t>To request access to the preview please fill-in this form.</t>
  </si>
  <si>
    <t>D2d v5</t>
  </si>
  <si>
    <t>75 GiB</t>
  </si>
  <si>
    <t>£36.9972/month</t>
  </si>
  <si>
    <t>£14.7989/month</t>
  </si>
  <si>
    <t>D4d v5</t>
  </si>
  <si>
    <t>150 GiB</t>
  </si>
  <si>
    <t>£73.9943/month</t>
  </si>
  <si>
    <t>£29.5978/month</t>
  </si>
  <si>
    <t>D8d v5</t>
  </si>
  <si>
    <t>300 GiB</t>
  </si>
  <si>
    <t>£147.9886/month</t>
  </si>
  <si>
    <t>£59.1955/month</t>
  </si>
  <si>
    <t>D16d v5</t>
  </si>
  <si>
    <t>600 GiB</t>
  </si>
  <si>
    <t>£295.9772/month</t>
  </si>
  <si>
    <t>£118.3909/month</t>
  </si>
  <si>
    <t>D32d v5</t>
  </si>
  <si>
    <t>£591.9543/month</t>
  </si>
  <si>
    <t>£236.7817/month</t>
  </si>
  <si>
    <t>D48d v5</t>
  </si>
  <si>
    <t>1,800 GiB</t>
  </si>
  <si>
    <t>£887.9314/month</t>
  </si>
  <si>
    <t>£355.1726/month</t>
  </si>
  <si>
    <t>D64d v5</t>
  </si>
  <si>
    <t>£1,183.9085/month</t>
  </si>
  <si>
    <t>£473.5634/month</t>
  </si>
  <si>
    <t>D96d v5</t>
  </si>
  <si>
    <t>£1,775.8627/month</t>
  </si>
  <si>
    <t>£710.3451/month</t>
  </si>
  <si>
    <t>D2ds – D96ds v5 (latest generation) Preview</t>
  </si>
  <si>
    <t>The Ddsv5 series virtual machines are based on the 3rd Generation Intel® Xeon® Platinum 8370C (Ice Lake) processor in a hyper-threaded configuration. This custom processor can reach an all core Turbo clock speed of up to 3.5GHz and features Intel® Turbo Boost Technology 2.0, Intel® Advanced Vector Extensions 512 (Intel® AVX-512) and Intel® Deep Learning Boost. The Ddv5 and Ddsv5 virtual machine sizes feature high performance, large local SSD storage (up to 2,400 GiB) and provide a better value proposition for most general-purpose workloads compared to the prior generation (e.g., increased scalability and an upgraded CPU class).</t>
  </si>
  <si>
    <t>The Ddsv5 VM sizes offer a combination of vCPUs, memory, and temporary storage able to meet the requirements associated with most enterprise workloads, such as small-to-medium databases, low-to-medium traffic web servers, application servers and more.</t>
  </si>
  <si>
    <t>You can attach Standard SSDs, Standard HDDs, and Premium SSDs disk storage to these VMs. You can also attach Ultra Disk storage based on its regional availability. Disk storage is billed separately from virtual machines. See pricing for disks.</t>
  </si>
  <si>
    <t>Reserved Virtual Machine Instances are currently not available for the Ddsv5-series.</t>
  </si>
  <si>
    <t>D2ds v5</t>
  </si>
  <si>
    <t>D4ds v5</t>
  </si>
  <si>
    <t>D8ds v5</t>
  </si>
  <si>
    <t>D16ds v5</t>
  </si>
  <si>
    <t>D32ds v5</t>
  </si>
  <si>
    <t>D48ds v5</t>
  </si>
  <si>
    <t>D64ds v5</t>
  </si>
  <si>
    <t>D96ds v5</t>
  </si>
  <si>
    <t>D2 – D96 v5 (latest generation without temporary storage) Preview</t>
  </si>
  <si>
    <t>The Dv5 series virtual machines are based on the 3rd Generation Intel® Xeon® Platinum 8370C (Ice Lake) processor in a hyper-threaded configuration. This custom processor can reach an all-core Turbo clock speed of up to 3.5GHz and features Intel® Turbo Boost Technology 2.0, Intel® Advanced Vector Extensions 512 (Intel® AVX-512) and Intel® Deep Learning Boost.</t>
  </si>
  <si>
    <t>The Dv5 VM sizes offer a combination of vCPUs and memory able to meet the requirements associated with most enterprise workloads, such as small-to-medium databases, low-to-medium traffic web servers, application servers and more. They also provide a better value proposition for most general-purpose workloads compared to the prior generation (e.g., increased scalability and an upgraded CPU class).</t>
  </si>
  <si>
    <t>The Dv5 and Dsv5 virtual machine sizes do not have any temporary storage thus lowering the price of entry. You can attach Standard SSDs, and Standard HDDs disk storage to these VMs. If you prefer to use Premium SSD or Ultra Disk storage, please select the Dsv5 virtual machines instead. Disk storage is billed separately from virtual machines. See pricing for disks.</t>
  </si>
  <si>
    <t>Reserved Virtual Machine Instances are currently not available for the Dv5-series.</t>
  </si>
  <si>
    <t>D2 v5</t>
  </si>
  <si>
    <t>N/A</t>
  </si>
  <si>
    <t>£31.2844/month</t>
  </si>
  <si>
    <t>£12.5138/month</t>
  </si>
  <si>
    <t>D4 v5</t>
  </si>
  <si>
    <t>£25.0275/month</t>
  </si>
  <si>
    <t>D8 v5</t>
  </si>
  <si>
    <t>£50.0550/month</t>
  </si>
  <si>
    <t>D16 v5</t>
  </si>
  <si>
    <t>£100.1100/month</t>
  </si>
  <si>
    <t>D32 v5</t>
  </si>
  <si>
    <t>£200.2199/month</t>
  </si>
  <si>
    <t>D48 v5</t>
  </si>
  <si>
    <t>£750.8243/month</t>
  </si>
  <si>
    <t>£300.3298/month</t>
  </si>
  <si>
    <t>D64 v5</t>
  </si>
  <si>
    <t>£400.4397/month</t>
  </si>
  <si>
    <t>D96 v5</t>
  </si>
  <si>
    <t>£600.6595/month</t>
  </si>
  <si>
    <t>D2s – D96s v5 (latest generation without temporary storage) Preview</t>
  </si>
  <si>
    <t>The Dsv5 series virtual machines are based on the 3rd Generation Intel® Xeon® Platinum 8370C (Ice Lake) processor in a hyper-threaded configuration. This custom processor can reach an all-core Turbo clock speed of up to 3.5GHz and features Intel® Turbo Boost Technology 2.0, Intel® Advanced Vector Extensions 512 (Intel® AVX-512) and Intel® Deep Learning Boost.</t>
  </si>
  <si>
    <t>The Dsv5 VM sizes offer a combination of vCPUs and memory able to meet the requirements associated with most production workloads. They also provide a better value proposition for most general-purpose workloads compared to the prior generation (e.g., increased scalability and an upgraded CPU class).</t>
  </si>
  <si>
    <t>The Dv5 and Dsv5 virtual machine sizes do not have any temporary storage thus lowering the price of entry. You can attach Standard SSDs, Standard HDDs, and Premium SSDs disk storage to these VMs. You can also attach Ultra Disk storage based on its regional availability. Disk storage is billed separately from virtual machines. See pricing for disks.</t>
  </si>
  <si>
    <t>Reserved Virtual Machine Instances are currently not available for the Dsv5-series.</t>
  </si>
  <si>
    <t>D2s v5</t>
  </si>
  <si>
    <t>D4s v5</t>
  </si>
  <si>
    <t>D8s v5</t>
  </si>
  <si>
    <t>D16s v5</t>
  </si>
  <si>
    <t>D32s v5</t>
  </si>
  <si>
    <t>D48s v5</t>
  </si>
  <si>
    <t>D64s v5</t>
  </si>
  <si>
    <t>D96s v5</t>
  </si>
  <si>
    <t>D2d – D64d v4</t>
  </si>
  <si>
    <t>The Ddv4 series virtual machines are based on the Intel® Xeon® Platinum 8272CL processor. This custom processor runs at a base speed of 2.5Ghz and can achieve up to 3.4Ghz all core turbo frequency. The Ddv4/Ddsv4 virtual machine sizes feature fast, large local SSD storage (up to 2,400 GiB) and are well suited for applications that benefit from low latency, high-speed local storage. For example, applications that need large numbers of reads and writes to temporary storage or applications that need temporary storage data for scratch files or caches would benefit from these new VM series.</t>
  </si>
  <si>
    <t>The Ddv4 VM sizes offer a combination of vCPUs, memory, and temporary storage able to meet the requirements associated with most production workloads. You can attach Standard SSDs and Standard HDDs disk storage to these VMs. To use Premium SSD or Ultra Disk storage, select Ddsv4 VMs. Disk storage is billed separately from virtual machines.</t>
  </si>
  <si>
    <t>D2d v4</t>
  </si>
  <si>
    <t>£43.6621/month</t>
  </si>
  <si>
    <t>£28.1124/month</t>
  </si>
  <si>
    <t>£15.5388/month</t>
  </si>
  <si>
    <t>D4d v4</t>
  </si>
  <si>
    <t>£87.3242/month</t>
  </si>
  <si>
    <t>£56.2303/month</t>
  </si>
  <si>
    <t>£31.0776/month</t>
  </si>
  <si>
    <t>D8d v4</t>
  </si>
  <si>
    <t>£174.6483/month</t>
  </si>
  <si>
    <t>£112.4605/month</t>
  </si>
  <si>
    <t>£62.1552/month</t>
  </si>
  <si>
    <t>D16d v4</t>
  </si>
  <si>
    <t>£349.2367/month</t>
  </si>
  <si>
    <t>£224.9372/month</t>
  </si>
  <si>
    <t>£124.3104/month</t>
  </si>
  <si>
    <t>D32d v4</t>
  </si>
  <si>
    <t>£698.4788/month</t>
  </si>
  <si>
    <t>£449.8744/month</t>
  </si>
  <si>
    <t>£248.6208/month</t>
  </si>
  <si>
    <t>D48d v4</t>
  </si>
  <si>
    <t>£1,047.7155/month</t>
  </si>
  <si>
    <t>£674.8170/month</t>
  </si>
  <si>
    <t>£372.9312/month</t>
  </si>
  <si>
    <t>D64d v4</t>
  </si>
  <si>
    <t>£2,367.8169/month</t>
  </si>
  <si>
    <t>£1,396.9576/month</t>
  </si>
  <si>
    <t>£899.7324/month</t>
  </si>
  <si>
    <t>£497.2416/month</t>
  </si>
  <si>
    <t>D2ds – D64ds v4</t>
  </si>
  <si>
    <t>The Ddsv4 series virtual machines are based on the Intel® Xeon® Platinum 8272CL processor. This custom processor runs at a base speed of 2.5Ghz and can achieve up to 3.4Ghz all core turbo frequency. The Ddv4/Ddsv4 virtual machine sizes feature fast, large local SSD storage (up to 2,400 GiB) and are well suited for applications that benefit from low latency, high-speed local storage, such as applications that need fast reads and writes to temporary storage, or applications that need temporary storage for caches or temporary files.</t>
  </si>
  <si>
    <t>The Ddsv4 VM sizes offer a combination of vCPUs, memory, and temporary storage able to meet the requirements associated with most production workloads. You can attach Standard SSDs, Standard HDDs, and Premium SSDs disk storage to these VMs. You can also attach Ultra Disk storage based on its regional availability. Disk storage is billed separately from virtual machines.</t>
  </si>
  <si>
    <t>D16ds v4</t>
  </si>
  <si>
    <t>D32ds v4</t>
  </si>
  <si>
    <t>D48ds v4</t>
  </si>
  <si>
    <t>D64ds v4</t>
  </si>
  <si>
    <t>D2 – D64 v4 (without temporary storage)</t>
  </si>
  <si>
    <t>The Dv4 series virtual machines feature the Intel® Xeon® Platinum 8272CL (second generation Intel® Xeon® Scalable processor.) This custom processor runs at a base speed of 2.5Ghz and can achieve up to 3.4Ghz all core turbo frequency. The Dv4/Dsv4 virtual machine sizes do not have any temporary storage. The Dv4 VM sizes offer a combination of vCPUs and memory able to meet the requirements associated with most production workloads. You can attach Standard SSDs, and Standard HDDs disk storage to these VMs. If you prefer to use Premium SSD or Ultra Disk storage, please select the Dsv4 virtual machines instead. Disk storage is billed separately from virtual machines. See pricing for disks.</t>
  </si>
  <si>
    <t>D2 v4</t>
  </si>
  <si>
    <t>£36.8938/month</t>
  </si>
  <si>
    <t>£23.7653/month</t>
  </si>
  <si>
    <t>D4 v4</t>
  </si>
  <si>
    <t>£73.8474/month</t>
  </si>
  <si>
    <t>£47.5523/month</t>
  </si>
  <si>
    <t>D8 v4</t>
  </si>
  <si>
    <t>£147.6350/month</t>
  </si>
  <si>
    <t>£95.1099/month</t>
  </si>
  <si>
    <t>D16 v4</t>
  </si>
  <si>
    <t>£295.3297/month</t>
  </si>
  <si>
    <t>£190.1980/month</t>
  </si>
  <si>
    <t>D32 v4</t>
  </si>
  <si>
    <t>£590.6594/month</t>
  </si>
  <si>
    <t>£380.4177/month</t>
  </si>
  <si>
    <t>D48 v4</t>
  </si>
  <si>
    <t>£885.9836/month</t>
  </si>
  <si>
    <t>£570.6156/month</t>
  </si>
  <si>
    <t>D64 v4</t>
  </si>
  <si>
    <t>£1,181.2534/month</t>
  </si>
  <si>
    <t>£760.8136/month</t>
  </si>
  <si>
    <t>D2s – D64s v4 (without temporary storage)</t>
  </si>
  <si>
    <t>The Dsv4 series virtual machines feature the Intel® Xeon® Platinum 8272CL (second generation Intel® Xeon® Scalable processor.) This custom processor runs at a base speed of 2.5Ghz and can achieve up to 3.4Ghz all core turbo frequency. The Dv4/Dsv4 virtual machine sizes do not have any temporary storage. The Dsv4 VM sizes offer a combination of vCPUs and memory able to meet the requirements associated with most production workloads. You can attach Standard SSDs, Standard HDDs, and Premium SSDs disk storage to these VMs. You can also attach Ultra Disk storage based on its regional availability. Disk storage is billed separately from virtual machines. See pricing for disks.</t>
  </si>
  <si>
    <t>D2s v4</t>
  </si>
  <si>
    <t>D4s v4</t>
  </si>
  <si>
    <t>D8s v4</t>
  </si>
  <si>
    <t>D16s v4</t>
  </si>
  <si>
    <t>D32s v4</t>
  </si>
  <si>
    <t>D48s v4</t>
  </si>
  <si>
    <t>D64s v4</t>
  </si>
  <si>
    <t>D2-64 v3</t>
  </si>
  <si>
    <t>The Dv3-series virtual machines run on the Intel® Xeon® Platinum 8272CL processor (second generation Intel® Xeon® Scalable processors), Intel® Xeon® 8171M 2.1GHz (Skylake), Intel® Xeon® E5-2673 v4 2.3 GHz (Broadwell), or the Intel® Xeon® E5-2673 v3 2.4 GHz (Haswell) processors in a hyper-threaded configuration. The Dv3-series sizes offer a combination of vCPU(s), memory, and local disk well suited for most production workloads.</t>
  </si>
  <si>
    <t>D2 v3</t>
  </si>
  <si>
    <t>£65.2891/month</t>
  </si>
  <si>
    <t>£19.1624/month</t>
  </si>
  <si>
    <t>D4 v3</t>
  </si>
  <si>
    <t>£130.5782/month</t>
  </si>
  <si>
    <t>£83.1620/month</t>
  </si>
  <si>
    <t>£57.2858/month</t>
  </si>
  <si>
    <t>£38.3247/month</t>
  </si>
  <si>
    <t>D8 v3</t>
  </si>
  <si>
    <t>£261.1563/month</t>
  </si>
  <si>
    <t>£166.3294/month</t>
  </si>
  <si>
    <t>£114.5715/month</t>
  </si>
  <si>
    <t>£76.6494/month</t>
  </si>
  <si>
    <t>D16 v3</t>
  </si>
  <si>
    <t>£332.7186/month</t>
  </si>
  <si>
    <t>£229.1212/month</t>
  </si>
  <si>
    <t>£153.2988/month</t>
  </si>
  <si>
    <t>D32 v3</t>
  </si>
  <si>
    <t>£1,044.6251/month</t>
  </si>
  <si>
    <t>£665.4371/month</t>
  </si>
  <si>
    <t>£458.2423/month</t>
  </si>
  <si>
    <t>£306.5975/month</t>
  </si>
  <si>
    <t>D48 v3</t>
  </si>
  <si>
    <t>£1,566.9377/month</t>
  </si>
  <si>
    <t>£903.5028/month</t>
  </si>
  <si>
    <t>£587.5908/month</t>
  </si>
  <si>
    <t>£459.8962/month</t>
  </si>
  <si>
    <t>D64 v3</t>
  </si>
  <si>
    <t>£2,089.2502/month</t>
  </si>
  <si>
    <t>£1,330.8742/month</t>
  </si>
  <si>
    <t>£916.4790/month</t>
  </si>
  <si>
    <t>£613.1950/month</t>
  </si>
  <si>
    <t>D2s-64s v3</t>
  </si>
  <si>
    <t>The Dsv3-series support premium storage and run on the Intel® Xeon® Platinum 8272CL processor (second generation Intel® Xeon® Scalable processors), Intel® Xeon® 8171M 2.1GHz (Skylake), Intel® Xeon® E5-2673 v4 2.3 GHz (Broadwell), or the Intel® Xeon® E5-2673 v3 2.4 GHz (Haswell) processors with Intel Turbo Boost Technology 2.0 and feature Intel® Hyper-Threading Technology. The Dsv3-series sizes offer a combination of vCPU(s), memory, and temporary storage well suited for most production workloads.</t>
  </si>
  <si>
    <t>The VM pricing and billing meters for Dsv3-series are the same as Dv3-series. Persistent storage disks are billed separately from virtual machines. See pricing for disks.</t>
  </si>
  <si>
    <t>D2s v3</t>
  </si>
  <si>
    <t>D4s v3</t>
  </si>
  <si>
    <t>D8s v3</t>
  </si>
  <si>
    <t>D16s v3</t>
  </si>
  <si>
    <t>D32s v3</t>
  </si>
  <si>
    <t>D48s v3</t>
  </si>
  <si>
    <t>D64s v3</t>
  </si>
  <si>
    <t>D1-5 v2</t>
  </si>
  <si>
    <t>The Dv2-series virtual machines run on the Intel® Xeon® Platinum 8272CL processor (second generation Intel® Xeon® Scalable processors), Intel® Xeon® 8171M 2.1GHz (Skylake), Intel® Xeon® E5-2673 v4 2.3 GHz (Broadwell), or the Intel® Xeon® E5-2673 v3 2.4 GHz (Haswell) processors with the Intel Turbo Boost Technology 2.0. The D1-5 v2 sizes offer a balanced combination of vCPU(s), memory, and local disk for most production workloads.</t>
  </si>
  <si>
    <t>D1 v2</t>
  </si>
  <si>
    <t>3.5 GiB</t>
  </si>
  <si>
    <t>£36.9428/month</t>
  </si>
  <si>
    <t>£22.3616/month</t>
  </si>
  <si>
    <t>£15.3430/month</t>
  </si>
  <si>
    <t>£11.0753/month</t>
  </si>
  <si>
    <t>D2 v2</t>
  </si>
  <si>
    <t>7 GiB</t>
  </si>
  <si>
    <t>£44.7829/month</t>
  </si>
  <si>
    <t>£30.6805/month</t>
  </si>
  <si>
    <t>£22.1836/month</t>
  </si>
  <si>
    <t>14 GiB</t>
  </si>
  <si>
    <t>£89.0652/month</t>
  </si>
  <si>
    <t>£61.3663/month</t>
  </si>
  <si>
    <t>£44.3672/month</t>
  </si>
  <si>
    <t>D4 v2</t>
  </si>
  <si>
    <t>28 GiB</t>
  </si>
  <si>
    <t>£178.6255/month</t>
  </si>
  <si>
    <t>£88.7339/month</t>
  </si>
  <si>
    <t>D5 v2</t>
  </si>
  <si>
    <t>56 GiB</t>
  </si>
  <si>
    <t>£591.4102/month</t>
  </si>
  <si>
    <t>£357.2510/month</t>
  </si>
  <si>
    <t>£244.9810/month</t>
  </si>
  <si>
    <t>£177.3050/month</t>
  </si>
  <si>
    <t>D1s-5s v2</t>
  </si>
  <si>
    <t>The Dsv2-series virtual machines run on the Intel® Xeon® Platinum 8272CL processor (second generation Intel® Xeon® Scalable processors), Intel® Xeon® 8171M 2.1GHz (Skylake), Intel® Xeon® E5-2673 v4 2.3 GHz (Broadwell), or the Intel® Xeon® E5-2673 v3 2.4 GHz (Haswell) processors with the Intel Turbo Boost Technology 2.0 and support Premium SSDs disk storage. The Dsv2-series sizes offer a balanced combination of vCPU(s), memory, and local disk for most production workloads. The pricing and billing meters for Dsv2-series virtual machines are the same as Dv2-series. See pricing for disks.</t>
  </si>
  <si>
    <t>DS1 v2</t>
  </si>
  <si>
    <t>DS2 v2</t>
  </si>
  <si>
    <t>DS3 v2</t>
  </si>
  <si>
    <t>DS4 v2</t>
  </si>
  <si>
    <t>DS5 v2</t>
  </si>
  <si>
    <t>112 GiB</t>
  </si>
  <si>
    <t>DCsv2-series</t>
  </si>
  <si>
    <t>The DCsv2-series virtual machines can help protect the confidentiality and integrity of your data and code while it’s processed in the public cloud. These machines are backed by 3.7GHz Intel® Xeon E-2288G (Coffee Lake) with SGX technology. With the Intel® Turbo Boost Technology these machines can go up to 5.0GHz. DC series instances enable customers to build secure enclave-based applications to protect their code and data while it’s in use.</t>
  </si>
  <si>
    <t>DCsv2-series is ideal for workloads that require smaller EPC (Enclave Page Cache) memory.</t>
  </si>
  <si>
    <t>DC1s v2</t>
  </si>
  <si>
    <t>£88.1403/month</t>
  </si>
  <si>
    <t>£70.4959/month</t>
  </si>
  <si>
    <t>£52.8733/month</t>
  </si>
  <si>
    <t>£12.4191/month</t>
  </si>
  <si>
    <t>DC2s v2</t>
  </si>
  <si>
    <t>£176.2805/month</t>
  </si>
  <si>
    <t>£140.9864/month</t>
  </si>
  <si>
    <t>£105.7520/month</t>
  </si>
  <si>
    <t>£24.8382/month</t>
  </si>
  <si>
    <t>DC4s v2</t>
  </si>
  <si>
    <t>£352.5610/month</t>
  </si>
  <si>
    <t>£282.0379/month</t>
  </si>
  <si>
    <t>£211.5040/month</t>
  </si>
  <si>
    <t>£49.6758/month</t>
  </si>
  <si>
    <t>DC8 v2</t>
  </si>
  <si>
    <t>£705.1220/month</t>
  </si>
  <si>
    <t>£564.0105/month</t>
  </si>
  <si>
    <t>£423.0242/month</t>
  </si>
  <si>
    <t>£99.3515/month</t>
  </si>
  <si>
    <t>Compute optimized</t>
  </si>
  <si>
    <t>High CPU-to-memory ratio. Good for medium traffic web servers, network appliances, batch processes, and application servers.</t>
  </si>
  <si>
    <t>Fsv2-series</t>
  </si>
  <si>
    <t>The Fsv2-series virtual machines provide 2-GiB of RAM and 8 GB of local temporary storage (SSD) per vCPU(s) and are optimized for compute intensive workloads. The Fsv2-series VMs are hyper-threaded and based on the Intel® Xeon® Platinum 8272CL (second generation Intel® Xeon® Scalable processors), or the Intel Xeon® Platinum 8168 (Skylake) processor. These virtual machines are ideal for scenarios like batch processing, web servers, analytics, and gaming. The Fsv2 VMs can be attached to Premium SSD or Ultra Disk persistent storage. Persistent storage disks are billed separately from virtual machines. See pricing for disks.</t>
  </si>
  <si>
    <t>£52.7754/month</t>
  </si>
  <si>
    <t>£31.2409/month</t>
  </si>
  <si>
    <t>£19.0481/month</t>
  </si>
  <si>
    <t>£15.4578/month</t>
  </si>
  <si>
    <t>£105.5507/month</t>
  </si>
  <si>
    <t>£62.5415/month</t>
  </si>
  <si>
    <t>£38.0962/month</t>
  </si>
  <si>
    <t>£30.9161/month</t>
  </si>
  <si>
    <t>F8s v2</t>
  </si>
  <si>
    <t>£211.1014/month</t>
  </si>
  <si>
    <t>£125.0232/month</t>
  </si>
  <si>
    <t>£76.1652/month</t>
  </si>
  <si>
    <t>£61.8315/month</t>
  </si>
  <si>
    <t>£422.2027/month</t>
  </si>
  <si>
    <t>£250.0517/month</t>
  </si>
  <si>
    <t>£152.3303/month</t>
  </si>
  <si>
    <t>£123.6630/month</t>
  </si>
  <si>
    <t>£844.4053/month</t>
  </si>
  <si>
    <t>£500.1633/month</t>
  </si>
  <si>
    <t>£304.6660/month</t>
  </si>
  <si>
    <t>£247.3265/month</t>
  </si>
  <si>
    <t>F48s v2</t>
  </si>
  <si>
    <t>£1,266.6080/month</t>
  </si>
  <si>
    <t>£750.2150/month</t>
  </si>
  <si>
    <t>£456.9963/month</t>
  </si>
  <si>
    <t>£370.9894/month</t>
  </si>
  <si>
    <t>F64s v2</t>
  </si>
  <si>
    <t>£1,688.8106/month</t>
  </si>
  <si>
    <t>£1,000.3265/month</t>
  </si>
  <si>
    <t>£609.3320/month</t>
  </si>
  <si>
    <t>£494.6529/month</t>
  </si>
  <si>
    <t>F72s v2</t>
  </si>
  <si>
    <t>144 GiB</t>
  </si>
  <si>
    <t>576 GiB</t>
  </si>
  <si>
    <t>£1,899.9119/month</t>
  </si>
  <si>
    <t>£1,125.3551/month</t>
  </si>
  <si>
    <t>£685.4972/month</t>
  </si>
  <si>
    <t>£556.4844/month</t>
  </si>
  <si>
    <t>F-series</t>
  </si>
  <si>
    <t>The F-series virtual machines feature 2-GiB RAM and 16 GiB of local SSD temporary storage per CPU core and are optimized for compute intensive workloads. The F-series sizes are based Intel® Xeon® Platinum 8272CL processor (second generation Intel® Xeon® Scalable processors), Intel® Xeon® 8171M 2.1GHz (Skylake), Intel® Xeon® E5-2673 v4 2.3 GHz (Broadwell), or the Intel® Xeon® E5-2673 v3 2.4 GHz (Haswell) processor. These virtual machines are suitable for scenarios like batch processing, web servers, analytics, and gaming.</t>
  </si>
  <si>
    <t>Persistent storage disks are billed separately from virtual machines. To use Premium SSDs disks, use the Fs-series VMs. The pricing and billing meters for Fs sizes are the same as F-series. See pricing for disks</t>
  </si>
  <si>
    <t>F1</t>
  </si>
  <si>
    <t>£30.9035/month</t>
  </si>
  <si>
    <t>£22.4813/month</t>
  </si>
  <si>
    <t>£12.1052/month</t>
  </si>
  <si>
    <t>F2</t>
  </si>
  <si>
    <t>£62.0247/month</t>
  </si>
  <si>
    <t>£44.9679/month</t>
  </si>
  <si>
    <t>£30.7022/month</t>
  </si>
  <si>
    <t>£24.2952/month</t>
  </si>
  <si>
    <t>F4</t>
  </si>
  <si>
    <t>£123.5052/month</t>
  </si>
  <si>
    <t>£90.6158/month</t>
  </si>
  <si>
    <t>£60.4142/month</t>
  </si>
  <si>
    <t>£48.3771/month</t>
  </si>
  <si>
    <t>F8</t>
  </si>
  <si>
    <t>£247.0104/month</t>
  </si>
  <si>
    <t>£180.6767/month</t>
  </si>
  <si>
    <t>£120.8447/month</t>
  </si>
  <si>
    <t>£96.7541/month</t>
  </si>
  <si>
    <t>F16</t>
  </si>
  <si>
    <t>£494.5647/month</t>
  </si>
  <si>
    <t>£361.4131/month</t>
  </si>
  <si>
    <t>£242.2443/month</t>
  </si>
  <si>
    <t>£193.7209/month</t>
  </si>
  <si>
    <t>Fs-series</t>
  </si>
  <si>
    <t>F1s</t>
  </si>
  <si>
    <t>F2s</t>
  </si>
  <si>
    <t>F4s</t>
  </si>
  <si>
    <t>F8s</t>
  </si>
  <si>
    <t>F16s</t>
  </si>
  <si>
    <t>FX-series</t>
  </si>
  <si>
    <t>The FX series virtual machine is a new addition to the F-Series designed for high-frequency compute workloads such as EDA. The FX series VM runs on the Intel® Xeon® 6246R processors in a hyper-threaded configuration. Customers can optionally turn off hyper-thread. The VM features a base frequency of 3.4 GHz, an all-core-turbo (ACT) clock speed of up to 4.0 GHz, and offers a high memory-to-vCPU ratio of 21:1 including up to 1TB of memory on the maximum VM size. With the FX series, customers can achieve a significantly faster turnaround time for their EDA backed and frontend applications thus lowering the TCO and achieving faster time to market for their silicon products.</t>
  </si>
  <si>
    <t>FX4mds</t>
  </si>
  <si>
    <t>84 GiB</t>
  </si>
  <si>
    <t>168 GiB</t>
  </si>
  <si>
    <t>£244.8341/month</t>
  </si>
  <si>
    <t>£144.4684/month</t>
  </si>
  <si>
    <t>£88.1349/month</t>
  </si>
  <si>
    <t>£97.9337/month</t>
  </si>
  <si>
    <t>FX12mds</t>
  </si>
  <si>
    <t>252 GiB</t>
  </si>
  <si>
    <t>504 GiB</t>
  </si>
  <si>
    <t>£734.5021/month</t>
  </si>
  <si>
    <t>£433.3345/month</t>
  </si>
  <si>
    <t>£264.4208/month</t>
  </si>
  <si>
    <t>£293.8009/month</t>
  </si>
  <si>
    <t>FX24mds</t>
  </si>
  <si>
    <t>1,008 GiB</t>
  </si>
  <si>
    <t>£1,469.0041/month</t>
  </si>
  <si>
    <t>£866.7342/month</t>
  </si>
  <si>
    <t>£528.8361/month</t>
  </si>
  <si>
    <t>£587.6017/month</t>
  </si>
  <si>
    <t>FX36mds</t>
  </si>
  <si>
    <t>756 GiB</t>
  </si>
  <si>
    <t>1,512 GiB</t>
  </si>
  <si>
    <t>£2,203.5061/month</t>
  </si>
  <si>
    <t>£1,300.0686/month</t>
  </si>
  <si>
    <t>£793.2568/month</t>
  </si>
  <si>
    <t>£881.4025/month</t>
  </si>
  <si>
    <t>FX48mds</t>
  </si>
  <si>
    <t>2,016 GiB</t>
  </si>
  <si>
    <t>£2,938.0081/month</t>
  </si>
  <si>
    <t>£1,733.4031/month</t>
  </si>
  <si>
    <t>£1,057.6775/month</t>
  </si>
  <si>
    <t>£1,175.2033/month</t>
  </si>
  <si>
    <t>Memory optimized</t>
  </si>
  <si>
    <t>High memory-to-core ratio. Great for relational database servers, medium to large caches, and in-memory analytics.</t>
  </si>
  <si>
    <t>E2a – E96a v4</t>
  </si>
  <si>
    <t>The Ea v4-series VMs are based on the 2.35Ghz AMD EPYCTM 7452 processor, which can achieve up to 3.35GHz. The Ea v4-series VMs are ideal for memory-intensive enterprise applications. Data disk storage is billed separately from virtual machines. To use premium storage disks, use the Eas v4-series sizes.</t>
  </si>
  <si>
    <t>E2a v4</t>
  </si>
  <si>
    <t>£82.6995/month</t>
  </si>
  <si>
    <t>£48.6295/month</t>
  </si>
  <si>
    <t>£32.6500/month</t>
  </si>
  <si>
    <t>£17.3669/month</t>
  </si>
  <si>
    <t>E4a v4</t>
  </si>
  <si>
    <t>£165.3990/month</t>
  </si>
  <si>
    <t>£97.2644/month</t>
  </si>
  <si>
    <t>£65.3000/month</t>
  </si>
  <si>
    <t>£34.7338/month</t>
  </si>
  <si>
    <t>E8a v4</t>
  </si>
  <si>
    <t>£330.7980/month</t>
  </si>
  <si>
    <t>£194.5234/month</t>
  </si>
  <si>
    <t>£130.5945/month</t>
  </si>
  <si>
    <t>£69.4676/month</t>
  </si>
  <si>
    <t>E16a v4</t>
  </si>
  <si>
    <t>£661.5959/month</t>
  </si>
  <si>
    <t>£389.0522/month</t>
  </si>
  <si>
    <t>£261.1890/month</t>
  </si>
  <si>
    <t>£138.9352/month</t>
  </si>
  <si>
    <t>E20a v4</t>
  </si>
  <si>
    <t>500 GiB</t>
  </si>
  <si>
    <t>£826.9949/month</t>
  </si>
  <si>
    <t>£486.3166/month</t>
  </si>
  <si>
    <t>£326.4889/month</t>
  </si>
  <si>
    <t>£173.6690/month</t>
  </si>
  <si>
    <t>E32a v4</t>
  </si>
  <si>
    <t>£1,323.1918/month</t>
  </si>
  <si>
    <t>£778.1043/month</t>
  </si>
  <si>
    <t>£522.3779/month</t>
  </si>
  <si>
    <t>£277.8703/month</t>
  </si>
  <si>
    <t>E48a v4</t>
  </si>
  <si>
    <t>£1,984.7877/month</t>
  </si>
  <si>
    <t>£1,167.1564/month</t>
  </si>
  <si>
    <t>£783.5668/month</t>
  </si>
  <si>
    <t>£416.8055/month</t>
  </si>
  <si>
    <t>E64a v4</t>
  </si>
  <si>
    <t>£2,646.3836/month</t>
  </si>
  <si>
    <t>£1,556.2031/month</t>
  </si>
  <si>
    <t>£1,044.7557/month</t>
  </si>
  <si>
    <t>£555.7406/month</t>
  </si>
  <si>
    <t>E96a v4</t>
  </si>
  <si>
    <t>672 GiB</t>
  </si>
  <si>
    <t>£3,969.5754/month</t>
  </si>
  <si>
    <t>£2,334.3073/month</t>
  </si>
  <si>
    <t>£1,567.1390/month</t>
  </si>
  <si>
    <t>£833.6109/month</t>
  </si>
  <si>
    <t>E2as – E96as v4</t>
  </si>
  <si>
    <t>The Eas v4-series VMs support Premium SSD disk storage and are based on the 2.35Ghz AMD EPYCTM 7452 processor, which can achieve up to 3.35GHz. The Eas v4-series VMs are ideal for memory-intensive enterprise applications. Data disk storage is billed separately from virtual machines. The VM pricing and billing meters for Eas v4 VMs are the same as Ea v4 VM series. Persistent storage disks are billed separately from virtual machines. See pricing for disks.</t>
  </si>
  <si>
    <t>E2as v4</t>
  </si>
  <si>
    <t>E4as v4</t>
  </si>
  <si>
    <t>E8as v4</t>
  </si>
  <si>
    <t>E16as v4</t>
  </si>
  <si>
    <t>E20as v4</t>
  </si>
  <si>
    <t>320 GiB</t>
  </si>
  <si>
    <t>E32as v4</t>
  </si>
  <si>
    <t>E48as v4</t>
  </si>
  <si>
    <t>E64as v4</t>
  </si>
  <si>
    <t>1,024 GiB</t>
  </si>
  <si>
    <t>E96as v4</t>
  </si>
  <si>
    <t>1,344 GiB</t>
  </si>
  <si>
    <t>E2d – E96d v5 (latest generation) Preview</t>
  </si>
  <si>
    <t>The Edv5 series virtual machines are based on the 3rd Generation Intel® Xeon® Platinum 8370C (Ice Lake) processor in a hyper-threaded configuration. This custom processor can reach an all-core Turbo clock speed of up to 3.5GHz and features Intel® Turbo Boost Technology 2.0, Intel® Advanced Vector Extensions 512 (Intel® AVX-512) and Intel® Deep Learning Boost. The Edv5 and Edsv5 VM sizes feature up to 672 GiB of RAM, high performance and large local SSD storage (up to 2,400 GiB.) These virtual machines are ideal for memory-intensive enterprise applications, relational database servers, and in-memory analytics workloads.</t>
  </si>
  <si>
    <t>You can attach Standard SSDs and Standard HDDs disk storage to these VMs. To use Premium SSD disk storage, select Edsv5 VMs. Disk storage is billed separately from virtual machines. See pricing for disks.</t>
  </si>
  <si>
    <t>Reserved Virtual Machine Instances are currently not available for the Edv5-series.</t>
  </si>
  <si>
    <t>E2d v5</t>
  </si>
  <si>
    <t>£47.0626/month</t>
  </si>
  <si>
    <t>£18.8251/month</t>
  </si>
  <si>
    <t>E4d v5</t>
  </si>
  <si>
    <t>£94.1251/month</t>
  </si>
  <si>
    <t>£37.6501/month</t>
  </si>
  <si>
    <t>E8d v5</t>
  </si>
  <si>
    <t>£188.2502/month</t>
  </si>
  <si>
    <t>£75.3001/month</t>
  </si>
  <si>
    <t>E16d v5</t>
  </si>
  <si>
    <t>£376.5003/month</t>
  </si>
  <si>
    <t>£150.6002/month</t>
  </si>
  <si>
    <t>E20d v5</t>
  </si>
  <si>
    <t>750 GiB</t>
  </si>
  <si>
    <t>£470.6254/month</t>
  </si>
  <si>
    <t>E32d v5</t>
  </si>
  <si>
    <t>£753.0006/month</t>
  </si>
  <si>
    <t>£301.2003/month</t>
  </si>
  <si>
    <t>E48d v5</t>
  </si>
  <si>
    <t>£1,129.5009/month</t>
  </si>
  <si>
    <t>£451.8004/month</t>
  </si>
  <si>
    <t>E64d v5</t>
  </si>
  <si>
    <t>£1,506.0012/month</t>
  </si>
  <si>
    <t>£602.4005/month</t>
  </si>
  <si>
    <t>E96d v5</t>
  </si>
  <si>
    <t>£2,259.0018/month</t>
  </si>
  <si>
    <t>£903.6008/month</t>
  </si>
  <si>
    <t>E2ds – E96ds v5 (latest generation) Preview</t>
  </si>
  <si>
    <t>The Edsv5 series virtual machines are based on the 3rd Generation Intel® Xeon® Platinum 8370C (Ice Lake) processor in a hyper-threaded configuration. This custom processor can reach an all-core Turbo clock speed of up to 3.5GHz and features Intel® Turbo Boost Technology 2.0, Intel® Advanced Vector Extensions 512 (Intel® AVX-512) and Intel® Deep Learning Boost. The Edv5 and Edsv5 VM sizes feature up to 672 GiB of RAM, high performance and large local SSD storage (up to 2,400 GiB.) These virtual machines are ideal for memory-intensive enterprise applications, relational database servers, and in-memory analytics workloads.</t>
  </si>
  <si>
    <t>Reserved Virtual Machine Instances are currently not available for the Edsv5-series.</t>
  </si>
  <si>
    <t>E2ds v5</t>
  </si>
  <si>
    <t>E4ds v5</t>
  </si>
  <si>
    <t>E8ds v5</t>
  </si>
  <si>
    <t>E16ds v5</t>
  </si>
  <si>
    <t>E20ds v5</t>
  </si>
  <si>
    <t>E32ds v5</t>
  </si>
  <si>
    <t>E48ds v5</t>
  </si>
  <si>
    <t>E64ds v5</t>
  </si>
  <si>
    <t>E96ds v5</t>
  </si>
  <si>
    <t>E2 – E96 v5 (latest generation without temporary storage)</t>
  </si>
  <si>
    <t>The Ev5 series virtual machines are based on the 3rd Generation Intel® Xeon® Platinum 8370C (Ice Lake) processor in a hyper-threaded configuration. This custom processor can reach an all-core Turbo clock speed of up to 3.5GHz and features Intel® Turbo Boost Technology 2.0, Intel® Advanced Vector Extensions 512 (Intel® AVX-512) and Intel® Deep Learning Boost. The Ev5 and Esv5 VM sizes feature up to 672 GiB of RAM, and do not have any temporary storage thus lowering the price of entry. These virtual machines are ideal for memory-intensive enterprise applications, relational database servers, and in-memory analytics workloads.</t>
  </si>
  <si>
    <t>You can attach Standard SSDs, and Standard HDDs disk storage to these VMs. If you prefer to use Premium SSD or Ultra Disk storage, please select the Esv5 VMs instead. Disk storage is billed separately from virtual machines. See pricing for disks.</t>
  </si>
  <si>
    <t>Reserved Virtual Machine Instances are currently not available for the Ev5-series.</t>
  </si>
  <si>
    <t>E2 v5</t>
  </si>
  <si>
    <t>£41.3498/month</t>
  </si>
  <si>
    <t>£16.5399/month</t>
  </si>
  <si>
    <t>E4 v5</t>
  </si>
  <si>
    <t>£33.0798/month</t>
  </si>
  <si>
    <t>E8 v5</t>
  </si>
  <si>
    <t>£66.1596/month</t>
  </si>
  <si>
    <t>E16 v5</t>
  </si>
  <si>
    <t>£132.3192/month</t>
  </si>
  <si>
    <t>E20 v5</t>
  </si>
  <si>
    <t>£413.4975/month</t>
  </si>
  <si>
    <t>E32 v5</t>
  </si>
  <si>
    <t>£264.6384/month</t>
  </si>
  <si>
    <t>E48 v5</t>
  </si>
  <si>
    <t>£992.3939/month</t>
  </si>
  <si>
    <t>£396.9576/month</t>
  </si>
  <si>
    <t>E64 v5</t>
  </si>
  <si>
    <t>£529.2768/month</t>
  </si>
  <si>
    <t>E96 v5</t>
  </si>
  <si>
    <t>£793.9151/month</t>
  </si>
  <si>
    <t>E2s – E96s v5 (latest generation without temporary storage) Preview</t>
  </si>
  <si>
    <t>The Esv5 series virtual machines are based on the 3rd Generation Intel® Xeon® Platinum 8370C (Ice Lake) processor in a hyper-threaded configuration. This custom processor can reach an all-core Turbo clock speed of up to 3.5GHz and features Intel® Turbo Boost Technology 2.0, Intel® Advanced Vector Extensions 512 (Intel® AVX-512) and Intel® Deep Learning Boost. The Ev5 and Esv5 VM sizes feature up to 672 GiB of RAM, and do not have any temporary storage thus lowering the price of entry. These virtual machines are ideal for memory-intensive enterprise applications, relational database servers, and in-memory analytics workloads.</t>
  </si>
  <si>
    <t>Reserved Virtual Machine Instances are currently not available for the Esv5-series.</t>
  </si>
  <si>
    <t>E2s v5</t>
  </si>
  <si>
    <t>E4s v5</t>
  </si>
  <si>
    <t>E8s v5</t>
  </si>
  <si>
    <t>E16s v5</t>
  </si>
  <si>
    <t>E20s v5</t>
  </si>
  <si>
    <t>E32s v5</t>
  </si>
  <si>
    <t>E48s v5</t>
  </si>
  <si>
    <t>E64s v5</t>
  </si>
  <si>
    <t>E96s v5</t>
  </si>
  <si>
    <t>E2d – E64d v4</t>
  </si>
  <si>
    <t>The Edv4 series virtual machines are based on the Intel® Xeon® Platinum 8272CL processor. This custom processor runs at a base speed of 2.5Ghz and can achieve up to 3.4Ghz all core turbo frequency. The Edv4/Edsv4 virtual machine sizes feature up to 504 GiB of RAM, fast and large local SSD storage (up to 2,400 GiB.) These virtual machines are ideal for memory-intensive enterprise applications and applications that benefit from low latency, high-speed local storage. For example, applications that need large numbers of reads and writes to temporary storage or applications that need temporary storage data for scratch files or caches would also benefit from these new VM series.</t>
  </si>
  <si>
    <t>You can attach Standard SSDs and Standard HDDs disk storage to these VMs. To use Premium SSD disk storage, select Edsv4 VMs. Disk storage is billed separately from virtual machines.</t>
  </si>
  <si>
    <t>E2d v4</t>
  </si>
  <si>
    <t>£55.5230/month</t>
  </si>
  <si>
    <t>£35.7730/month</t>
  </si>
  <si>
    <t>£18.1471/month</t>
  </si>
  <si>
    <t>E4d v4</t>
  </si>
  <si>
    <t>£111.0513/month</t>
  </si>
  <si>
    <t>£71.5297/month</t>
  </si>
  <si>
    <t>£36.2948/month</t>
  </si>
  <si>
    <t>E8d v4</t>
  </si>
  <si>
    <t>£222.1624/month</t>
  </si>
  <si>
    <t>£143.0810/month</t>
  </si>
  <si>
    <t>£72.5895/month</t>
  </si>
  <si>
    <t>E16d v4</t>
  </si>
  <si>
    <t>£444.2650/month</t>
  </si>
  <si>
    <t>£286.1348/month</t>
  </si>
  <si>
    <t>£145.1785/month</t>
  </si>
  <si>
    <t>E20d v4</t>
  </si>
  <si>
    <t>£941.2508/month</t>
  </si>
  <si>
    <t>£555.3162/month</t>
  </si>
  <si>
    <t>£357.6862/month</t>
  </si>
  <si>
    <t>£181.4732/month</t>
  </si>
  <si>
    <t>E32d v4</t>
  </si>
  <si>
    <t>£888.5353/month</t>
  </si>
  <si>
    <t>£572.2914/month</t>
  </si>
  <si>
    <t>£290.3569/month</t>
  </si>
  <si>
    <t>E48d v4</t>
  </si>
  <si>
    <t>£1,332.8002/month</t>
  </si>
  <si>
    <t>£858.4316/month</t>
  </si>
  <si>
    <t>£435.5358/month</t>
  </si>
  <si>
    <t>E64d v4</t>
  </si>
  <si>
    <t>£3,012.0024/month</t>
  </si>
  <si>
    <t>£1,777.1250/month</t>
  </si>
  <si>
    <t>£1,144.5664/month</t>
  </si>
  <si>
    <t>£580.7142/month</t>
  </si>
  <si>
    <t>E2ds – E64ds v4</t>
  </si>
  <si>
    <t>The Edsv4 series virtual machines are based on the Intel® Xeon® Platinum 8272CL processor. This custom processor runs at a base speed of 2.5Ghz and can achieve up to 3.4Ghz all core turbo frequency. The Edv4/Edsv4 virtual machine sizes feature up to 504 GiB of RAM, fast and large local SSD storage (up to 2,400 GiB) and are well suited for applications that benefit from low latency, high-speed local storage, such as applications that need fast reads and writes to temporary storage, or applications that need temporary storage for caches or temporary files.</t>
  </si>
  <si>
    <t>E16ds v4</t>
  </si>
  <si>
    <t>E32ds v4</t>
  </si>
  <si>
    <t>E48ds v4</t>
  </si>
  <si>
    <t>E64ds v4</t>
  </si>
  <si>
    <t>E80ids v4 1</t>
  </si>
  <si>
    <t>£3,765.0030/month</t>
  </si>
  <si>
    <t>£2,221.3953/month</t>
  </si>
  <si>
    <t>£1,430.7229/month</t>
  </si>
  <si>
    <t>£725.8926/month</t>
  </si>
  <si>
    <t>1 Isolated VM sizes have a hardware limited lifespan. Azure will issue reminders 12 months in advance of the official deprecation date of the sizes and will provide an updated isolated offering for your consideration.</t>
  </si>
  <si>
    <t>E2 – E64 v4 (without temporary storage)</t>
  </si>
  <si>
    <t>The Ev4 series virtual machines are based on the Intel® Xeon® Platinum 8272CL (second generation Intel® Xeon® Scalable processor.) This custom processor runs at a base speed of 2.5Ghz and can achieve up to 3.4Ghz all core turbo frequency. The Ev4/Esv4 virtual machine sizes feature up to 504 GiB of RAM and do not have any temporary storage. These virtual machines are ideal for memory-intensive enterprise applications. You can attach Standard SSDs, and Standard HDDs disk storage to these VMs. If you prefer to use Premium SSD or Ultra Disk storage, please select the Es v4 virtual machines instead. Disk storage is billed separately from virtual machines. See pricing for disks.</t>
  </si>
  <si>
    <t>E2 v4</t>
  </si>
  <si>
    <t>£48.8200/month</t>
  </si>
  <si>
    <t>£31.4259/month</t>
  </si>
  <si>
    <t>E4 v4</t>
  </si>
  <si>
    <t>£97.5746/month</t>
  </si>
  <si>
    <t>£62.8571/month</t>
  </si>
  <si>
    <t>E8 v4</t>
  </si>
  <si>
    <t>£195.1491/month</t>
  </si>
  <si>
    <t>£125.7087/month</t>
  </si>
  <si>
    <t>E16 v4</t>
  </si>
  <si>
    <t>£390.3579/month</t>
  </si>
  <si>
    <t>£251.3956/month</t>
  </si>
  <si>
    <t>E32 v4</t>
  </si>
  <si>
    <t>£780.7104/month</t>
  </si>
  <si>
    <t>£502.8129/month</t>
  </si>
  <si>
    <t>E48 v4</t>
  </si>
  <si>
    <t>£1,171.0030/month</t>
  </si>
  <si>
    <t>£754.2139/month</t>
  </si>
  <si>
    <t>E64 v4</t>
  </si>
  <si>
    <t>£1,561.3609/month</t>
  </si>
  <si>
    <t>£1,005.6312/month</t>
  </si>
  <si>
    <t>E2s – E64s v4 (without temporary storage)</t>
  </si>
  <si>
    <t>The Esv4 series virtual machines are based on the Intel® Xeon® Platinum 8272CL (second generation Intel® Xeon® Scalable processor.) This custom processor runs at a base speed of 2.5Ghz and can achieve up to 3.4Ghz all core turbo frequency. The Ev4/Esv4 virtual machine sizes feature up to 504 GiB of RAM and do not have any temporary storage. These virtual machines are ideal for memory-intensive enterprise applications. You can attach Standard SSDs, Standard HDDs, and Premium SSDs disk storage to these VMs. You can also attach Ultra Disk storage based on its regional availability. Disk storage is billed separately from virtual machines. See pricing for disks.</t>
  </si>
  <si>
    <t>E2s v4</t>
  </si>
  <si>
    <t>E4s v4</t>
  </si>
  <si>
    <t>E8s v4</t>
  </si>
  <si>
    <t>E16s v4</t>
  </si>
  <si>
    <t>E20s v4</t>
  </si>
  <si>
    <t>£487.9270/month</t>
  </si>
  <si>
    <t>£314.2527/month</t>
  </si>
  <si>
    <t>E32s v4</t>
  </si>
  <si>
    <t>E48s v4</t>
  </si>
  <si>
    <t>E64s v4</t>
  </si>
  <si>
    <t>E80is v4 1</t>
  </si>
  <si>
    <t>£3,307.9795/month</t>
  </si>
  <si>
    <t>£1,951.6535/month</t>
  </si>
  <si>
    <t>£1,256.9833/month</t>
  </si>
  <si>
    <t>£694.6757/month</t>
  </si>
  <si>
    <t>E2-64 v3</t>
  </si>
  <si>
    <t>The Ev3-series virtual machines are based on the Intel® Xeon® Platinum 8272CL processor (second generation Intel® Xeon® Scalable processors), Intel® Xeon® 8171M 2.1 GHz (Skylake) or the Intel® Xeon® E5-2673 v4 2.3 GHz (Broadwell) processor with Intel Turbo Boost Technology 2.0. The Ev3-series VMs are hyper-threaded and ideal for memory-intensive enterprise applications.</t>
  </si>
  <si>
    <t>Persistent storage disks are billed separately from virtual machines. To use Premium SSD disks, choose the Esv3-series virtual machines. See pricing for disks.</t>
  </si>
  <si>
    <t>E2 v3</t>
  </si>
  <si>
    <t>£87.0521/month</t>
  </si>
  <si>
    <t>£51.1758/month</t>
  </si>
  <si>
    <t>£32.7316/month</t>
  </si>
  <si>
    <t>£22.4508/month</t>
  </si>
  <si>
    <t>E4 v3</t>
  </si>
  <si>
    <t>£174.1042/month</t>
  </si>
  <si>
    <t>£102.4168/month</t>
  </si>
  <si>
    <t>£65.4850/month</t>
  </si>
  <si>
    <t>£44.9015/month</t>
  </si>
  <si>
    <t>E8 v3</t>
  </si>
  <si>
    <t>£348.2084/month</t>
  </si>
  <si>
    <t>£204.8336/month</t>
  </si>
  <si>
    <t>£130.9699/month</t>
  </si>
  <si>
    <t>£89.8030/month</t>
  </si>
  <si>
    <t>E16 v3</t>
  </si>
  <si>
    <t>£696.4168/month</t>
  </si>
  <si>
    <t>£409.6073/month</t>
  </si>
  <si>
    <t>£261.9344/month</t>
  </si>
  <si>
    <t>£179.6059/month</t>
  </si>
  <si>
    <t>E20 v3</t>
  </si>
  <si>
    <t>£870.5210/month</t>
  </si>
  <si>
    <t>£486.1261/month</t>
  </si>
  <si>
    <t>£326.4019/month</t>
  </si>
  <si>
    <t>£224.5074/month</t>
  </si>
  <si>
    <t>E32 v3</t>
  </si>
  <si>
    <t>£1,392.8335/month</t>
  </si>
  <si>
    <t>£819.2201/month</t>
  </si>
  <si>
    <t>£523.8687/month</t>
  </si>
  <si>
    <t>£359.2118/month</t>
  </si>
  <si>
    <t>E48 v3</t>
  </si>
  <si>
    <t>£1,984.2437/month</t>
  </si>
  <si>
    <t>£1,166.7211/month</t>
  </si>
  <si>
    <t>£783.3601/month</t>
  </si>
  <si>
    <t>£511.7363/month</t>
  </si>
  <si>
    <t>E64i v3 1</t>
  </si>
  <si>
    <t>432 GiB</t>
  </si>
  <si>
    <t>£2,380.8747/month</t>
  </si>
  <si>
    <t>£1,399.4440/month</t>
  </si>
  <si>
    <t>£940.0429/month</t>
  </si>
  <si>
    <t>£614.0274/month</t>
  </si>
  <si>
    <t>E64 v3</t>
  </si>
  <si>
    <t>£1,544.2824/month</t>
  </si>
  <si>
    <t>£987.4918/month</t>
  </si>
  <si>
    <t>1 Azure Compute offers virtual machine sizes that are Isolated to a specific hardware type and dedicated to a single customer. These virtual machine sizes are best suited for workloads that require a high degree of isolation from other customers for workloads involving elements like compliance and regulatory requirements.</t>
  </si>
  <si>
    <t>E2s-64s v3</t>
  </si>
  <si>
    <t>The Esv3-series virtual machines feature the Intel® Xeon® Platinum 8272CL processor (second generation Intel® Xeon® Scalable processors), Intel® Xeon® 8171M 2.1 GHz (Skylake) or the Intel® Xeon® E5-2673 v4 2.3 GHz (Broadwell) processor with Intel Turbo Boost Technology 2.0 and support Premium SSDs disk storage. The Ev3-series sizes are hyper-threaded and ideal for memory-intensive enterprise applications.</t>
  </si>
  <si>
    <t>Persistent storage disks are billed separately from virtual machines. To use Premium SSDs disks, use the Esv3 VM series. The pricing and billing meters for Esv3 sizes are the same as Ev3-series. See pricing for disks.</t>
  </si>
  <si>
    <t>E2s v3</t>
  </si>
  <si>
    <t>E4s v3</t>
  </si>
  <si>
    <t>E8s v3</t>
  </si>
  <si>
    <t>E16s v3</t>
  </si>
  <si>
    <t>E20s v3</t>
  </si>
  <si>
    <t>E32s v3</t>
  </si>
  <si>
    <t>E48s v3</t>
  </si>
  <si>
    <t>E64is v3 1</t>
  </si>
  <si>
    <t>864 GiB</t>
  </si>
  <si>
    <t>E64s v3</t>
  </si>
  <si>
    <t>D11-15 v2</t>
  </si>
  <si>
    <t>D11-15 v2 virtual machines run on the Intel® Xeon® Platinum 8272CL (second generation Intel® Xeon® Scalable processors), the Intel® Xeon® 8171M 2.1 GHz (Skylake), the 2.3 GHz Intel Xeon® E5-2673 v4 (Broadwell) or the 2.4 GHz Intel Xeon® E5-2673 v3 (Haswell) processors. The D11-15 v2 VMs are ideal for memory-intensive enterprise applications. The D15i v2 instance is isolated to hardware and dedicated to a single customer.</t>
  </si>
  <si>
    <t>D11 v2</t>
  </si>
  <si>
    <t>£103.3744/month</t>
  </si>
  <si>
    <t>£67.0138/month</t>
  </si>
  <si>
    <t>£44.4510/month</t>
  </si>
  <si>
    <t>£29.0586/month</t>
  </si>
  <si>
    <t>D12</t>
  </si>
  <si>
    <t>£206.2047/month</t>
  </si>
  <si>
    <t>£134.0331/month</t>
  </si>
  <si>
    <t>£88.8802/month</t>
  </si>
  <si>
    <t>£57.9642/month</t>
  </si>
  <si>
    <t>D12 v2</t>
  </si>
  <si>
    <t>D13</t>
  </si>
  <si>
    <t>56</t>
  </si>
  <si>
    <t>£412.9534/month</t>
  </si>
  <si>
    <t>£268.2511/month</t>
  </si>
  <si>
    <t>£177.7767/month</t>
  </si>
  <si>
    <t>£116.0813/month</t>
  </si>
  <si>
    <t>D13 v2</t>
  </si>
  <si>
    <t>D14 v2</t>
  </si>
  <si>
    <t>£825.9068/month</t>
  </si>
  <si>
    <t>£536.5619/month</t>
  </si>
  <si>
    <t>£355.5534/month</t>
  </si>
  <si>
    <t>£232.1625/month</t>
  </si>
  <si>
    <t>D15i v2 1</t>
  </si>
  <si>
    <t>140 GiB</t>
  </si>
  <si>
    <t>1,000 GiB</t>
  </si>
  <si>
    <t>£1,032.1114/month</t>
  </si>
  <si>
    <t>£290.1267/month</t>
  </si>
  <si>
    <t>D15 v2</t>
  </si>
  <si>
    <t>£670.6548/month</t>
  </si>
  <si>
    <t>£444.4336/month</t>
  </si>
  <si>
    <t>1 Azure offers virtual machine sizes (i) that are hardware isolated and dedicated to a single customer (single tenant). These virtual machine sizes are best suited for workloads that require a high degree of isolation from other tenants due to a variety of reasons including compliance or regulatory requirements.</t>
  </si>
  <si>
    <t>D11S-15S v2</t>
  </si>
  <si>
    <t>D11-15S v2 virtual machines are based on the Intel® Xeon® Platinum 8272CL (second generation Intel® Xeon® Scalable processors), the Intel® Xeon® 8171M 2.1 GHz (Skylake), the 2.3 GHz Intel Xeon® E5-2673 v4 (Broadwell) or the 2.4 GHz Intel Xeon® E5-2673 v3 (Haswell) processors. The DSv2 VMs can be attached to Premium SSD or Ultra Disk persistent storage. The pricing and billing meters for DSv2 sizes are the same as Dv2-series. Persistent storage disks are billed separately from virtual machines. See pricing for disks.</t>
  </si>
  <si>
    <t>DS11 v2</t>
  </si>
  <si>
    <t>DS12 v2</t>
  </si>
  <si>
    <t>DS13 v2</t>
  </si>
  <si>
    <t>DS14 v2</t>
  </si>
  <si>
    <t>224 GiB</t>
  </si>
  <si>
    <t>DS15i v2</t>
  </si>
  <si>
    <t>280 GiB</t>
  </si>
  <si>
    <t>DS15 v2</t>
  </si>
  <si>
    <t>G-series</t>
  </si>
  <si>
    <t>G-series virtual machines feature Intel® Xeon® processor E5 v3 family and provide unparalleled computational performance to support large database workloads, specifically SAP HANA, SQL Server, Hadoop, DataZen, and Hortonworks. G5 instance is isolated to hardware dedicated to a single customer.</t>
  </si>
  <si>
    <t>For persistent storage, use the variant GS virtual machines and purchase Premium Storage separately. The pricing and billing meters for GS sizes are the same as G-series.</t>
  </si>
  <si>
    <t>Reserved Virtual Machine Instances are currently not available for the G-series.</t>
  </si>
  <si>
    <t>G1</t>
  </si>
  <si>
    <t>£380.8529/month</t>
  </si>
  <si>
    <t>£38.0853/month</t>
  </si>
  <si>
    <t>G2</t>
  </si>
  <si>
    <t>£761.7058/month</t>
  </si>
  <si>
    <t>£76.1706/month</t>
  </si>
  <si>
    <t>G3</t>
  </si>
  <si>
    <t>1,536 GiB</t>
  </si>
  <si>
    <t>£1,523.4116/month</t>
  </si>
  <si>
    <t>£152.3412/month</t>
  </si>
  <si>
    <t>G4</t>
  </si>
  <si>
    <t>3,072 GiB</t>
  </si>
  <si>
    <t>£3,046.8232/month</t>
  </si>
  <si>
    <t>£304.6824/month</t>
  </si>
  <si>
    <t>G5</t>
  </si>
  <si>
    <t>448 GiB</t>
  </si>
  <si>
    <t>6,144 GiB</t>
  </si>
  <si>
    <t>£5,435.3150/month</t>
  </si>
  <si>
    <t>£543.5315/month</t>
  </si>
  <si>
    <t>Gs-series</t>
  </si>
  <si>
    <t>Reserved Virtual Machine Instances are currently not available for the Gs-series.</t>
  </si>
  <si>
    <t>Gs1</t>
  </si>
  <si>
    <t>Gs2</t>
  </si>
  <si>
    <t>Gs3</t>
  </si>
  <si>
    <t>Gs4</t>
  </si>
  <si>
    <t>Gs5</t>
  </si>
  <si>
    <t>896 GiB</t>
  </si>
  <si>
    <t>M-series</t>
  </si>
  <si>
    <t>M-series virtual machines are hyper-threaded and based on either the Intel® Xeon® E7-8890 v3 2.5GHz (Haswell) or the Intel® Xeon® Platinum 8280M (Cascade Lake). The M-series provides up to 128 cores and 4.0 TiB of memory, providing unparalleled computational performance to support large in-memory workloads.</t>
  </si>
  <si>
    <t>All the M-series virtual machine sizes will have the ability to use both standard and premium persistent disks. The pricing and billing meters for Ms sizes are the same as M-series.</t>
  </si>
  <si>
    <t>M-series VMs are certified by SAP for SAP HANA OLTP and OLAP workloads. For more information on running SAP HANA on Azure, please refer to the SAP solutions.</t>
  </si>
  <si>
    <t>M8ms</t>
  </si>
  <si>
    <t>218.75 GiB</t>
  </si>
  <si>
    <t>£1,170.3610/month</t>
  </si>
  <si>
    <t>£673.0161/month</t>
  </si>
  <si>
    <t>£327.4193/month</t>
  </si>
  <si>
    <t>£206.7123/month</t>
  </si>
  <si>
    <t>M16ms</t>
  </si>
  <si>
    <t>437.5 GiB</t>
  </si>
  <si>
    <t>£2,340.7220/month</t>
  </si>
  <si>
    <t>£1,346.0920/month</t>
  </si>
  <si>
    <t>£654.8548/month</t>
  </si>
  <si>
    <t>£413.4251/month</t>
  </si>
  <si>
    <t>M32ts</t>
  </si>
  <si>
    <t>£1,767.1575/month</t>
  </si>
  <si>
    <t>£1,016.4148/month</t>
  </si>
  <si>
    <t>£494.4723/month</t>
  </si>
  <si>
    <t>£312.1204/month</t>
  </si>
  <si>
    <t>M32ls</t>
  </si>
  <si>
    <t>£1,875.7550/month</t>
  </si>
  <si>
    <t>£1,078.7115/month</t>
  </si>
  <si>
    <t>£524.7827/month</t>
  </si>
  <si>
    <t>£331.3013/month</t>
  </si>
  <si>
    <t>M32ms</t>
  </si>
  <si>
    <t>875 GiB</t>
  </si>
  <si>
    <t>£4,681.4439/month</t>
  </si>
  <si>
    <t>£2,692.1785/month</t>
  </si>
  <si>
    <t>£1,309.6933/month</t>
  </si>
  <si>
    <t>£826.8496/month</t>
  </si>
  <si>
    <t>M64ls</t>
  </si>
  <si>
    <t>2,048 GiB</t>
  </si>
  <si>
    <t>£3,535.4031/month</t>
  </si>
  <si>
    <t>£2,033.1397/month</t>
  </si>
  <si>
    <t>£989.0859/month</t>
  </si>
  <si>
    <t>£624.4329/month</t>
  </si>
  <si>
    <t>M64s</t>
  </si>
  <si>
    <t>£5,080.0336/month</t>
  </si>
  <si>
    <t>£2,913.4758/month</t>
  </si>
  <si>
    <t>£1,417.3496/month</t>
  </si>
  <si>
    <t>£897.2498/month</t>
  </si>
  <si>
    <t>M64 1</t>
  </si>
  <si>
    <t>7,168 GiB</t>
  </si>
  <si>
    <t>M64ms</t>
  </si>
  <si>
    <t>1,750 GiB</t>
  </si>
  <si>
    <t>£7,873.8617/month</t>
  </si>
  <si>
    <t>£4,515.8273/month</t>
  </si>
  <si>
    <t>£2,196.8412/month</t>
  </si>
  <si>
    <t>£1,390.7035/month</t>
  </si>
  <si>
    <t>M64m 1</t>
  </si>
  <si>
    <t>M128s</t>
  </si>
  <si>
    <t>2,000 GiB</t>
  </si>
  <si>
    <t>4,096 GiB</t>
  </si>
  <si>
    <t>£10,159.5232/month</t>
  </si>
  <si>
    <t>£5,827.0113/month</t>
  </si>
  <si>
    <t>£2,834.7208/month</t>
  </si>
  <si>
    <t>£1,794.4037/month</t>
  </si>
  <si>
    <t>M128 1</t>
  </si>
  <si>
    <t>14,336 GiB</t>
  </si>
  <si>
    <t>M128ms</t>
  </si>
  <si>
    <t>3,800 GiB</t>
  </si>
  <si>
    <t>£20,328.4044/month</t>
  </si>
  <si>
    <t>£11,658.7452/month</t>
  </si>
  <si>
    <t>£5,671.7376/month</t>
  </si>
  <si>
    <t>£3,590.4597/month</t>
  </si>
  <si>
    <t>M128m 1</t>
  </si>
  <si>
    <t>1 Azure Compute virtual machines have the same vCPU(s), RAM and total storage with varying local and cache disk storage sizes, this is to offer customers the flexibility to choose different disk allocation to meet their workload requirements.</t>
  </si>
  <si>
    <t>Mdsv2 Medium Memory Series</t>
  </si>
  <si>
    <t>Mdsv2-series virtual machines are hyper-threaded and based on the Intel® Xeon® Platinum 8280 (Cascade Lake). The series provides up to 192 cores and 4.0 TiB of memory, providing unparalleled computational performance to support large-in memory workloads.</t>
  </si>
  <si>
    <t>All the Mdsv2-series virtual machine sizes will have the ability to use both standard and premium persistent disks.</t>
  </si>
  <si>
    <t>For more information on running SAP HANA on Azure, please refer to the SAP solutions.</t>
  </si>
  <si>
    <t>M32dms v2</t>
  </si>
  <si>
    <t>£4,681.2263/month</t>
  </si>
  <si>
    <t>£2,722.7392/month</t>
  </si>
  <si>
    <t>£1,314.5574/month</t>
  </si>
  <si>
    <t>£1,872.4905/month</t>
  </si>
  <si>
    <t>M64ds v2</t>
  </si>
  <si>
    <t>£2,954.4066/month</t>
  </si>
  <si>
    <t>£1,426.4193/month</t>
  </si>
  <si>
    <t>£2,032.0135/month</t>
  </si>
  <si>
    <t>M64dms v2</t>
  </si>
  <si>
    <t>1,792 GiB</t>
  </si>
  <si>
    <t>£7,876.0380/month</t>
  </si>
  <si>
    <t>£4,580.7301/month</t>
  </si>
  <si>
    <t>£2,211.6020/month</t>
  </si>
  <si>
    <t>£3,150.4152/month</t>
  </si>
  <si>
    <t>M128ds v2</t>
  </si>
  <si>
    <t>£10,161.1554/month</t>
  </si>
  <si>
    <t>£5,909.7435/month</t>
  </si>
  <si>
    <t>£2,853.2520/month</t>
  </si>
  <si>
    <t>£4,064.4622/month</t>
  </si>
  <si>
    <t>M128dms v2</t>
  </si>
  <si>
    <t>3,892 GiB</t>
  </si>
  <si>
    <t>£20,329.9278/month</t>
  </si>
  <si>
    <t>£11,823.8939/month</t>
  </si>
  <si>
    <t>£5,708.6531/month</t>
  </si>
  <si>
    <t>£8,131.9711/month</t>
  </si>
  <si>
    <t>M192ids v2</t>
  </si>
  <si>
    <t>£12,211.7762/month</t>
  </si>
  <si>
    <t>£7,102.2374/month</t>
  </si>
  <si>
    <t>£3,429.0037/month</t>
  </si>
  <si>
    <t>£4,884.7105/month</t>
  </si>
  <si>
    <t>M192idms v2</t>
  </si>
  <si>
    <t>£24,423.0083/month</t>
  </si>
  <si>
    <t>£14,204.5346/month</t>
  </si>
  <si>
    <t>£6,858.0236/month</t>
  </si>
  <si>
    <t>£9,769.2034/month</t>
  </si>
  <si>
    <t>M32ms v2</t>
  </si>
  <si>
    <t>£4,601.2471/month</t>
  </si>
  <si>
    <t>£2,676.0956/month</t>
  </si>
  <si>
    <t>£1,292.0544/month</t>
  </si>
  <si>
    <t>£543.4075/month</t>
  </si>
  <si>
    <t>M64s v2</t>
  </si>
  <si>
    <t>£4,919.5314/month</t>
  </si>
  <si>
    <t>£2,861.1792/month</t>
  </si>
  <si>
    <t>£1,381.4079/month</t>
  </si>
  <si>
    <t>£580.9966/month</t>
  </si>
  <si>
    <t>M64ms v2</t>
  </si>
  <si>
    <t>£7,715.5357/month</t>
  </si>
  <si>
    <t>£4,487.5081/month</t>
  </si>
  <si>
    <t>£2,166.5906/month</t>
  </si>
  <si>
    <t>£911.2048/month</t>
  </si>
  <si>
    <t>M128s v2</t>
  </si>
  <si>
    <t>£9,840.6949/month</t>
  </si>
  <si>
    <t>£5,723.2888/month</t>
  </si>
  <si>
    <t>£2,763.2347/month</t>
  </si>
  <si>
    <t>£1,162.1863/month</t>
  </si>
  <si>
    <t>M128ms v2</t>
  </si>
  <si>
    <t>£20,009.4673/month</t>
  </si>
  <si>
    <t>£11,637.4392/month</t>
  </si>
  <si>
    <t>£5,618.6358/month</t>
  </si>
  <si>
    <t>£2,363.1183/month</t>
  </si>
  <si>
    <t>M192is v2</t>
  </si>
  <si>
    <t>£11,891.3157/month</t>
  </si>
  <si>
    <t>£6,915.8480/month</t>
  </si>
  <si>
    <t>£3,339.0245/month</t>
  </si>
  <si>
    <t>£1,404.3646/month</t>
  </si>
  <si>
    <t>M192ims v2</t>
  </si>
  <si>
    <t>£24,102.5478/month</t>
  </si>
  <si>
    <t>£14,018.0799/month</t>
  </si>
  <si>
    <t>£6,768.0063/month</t>
  </si>
  <si>
    <t>£2,846.5109/month</t>
  </si>
  <si>
    <t>M208s v2</t>
  </si>
  <si>
    <t>2,850 GiB</t>
  </si>
  <si>
    <t>£14,565.9912/month</t>
  </si>
  <si>
    <t>£8,471.4308/month</t>
  </si>
  <si>
    <t>£4,089.6529/month</t>
  </si>
  <si>
    <t>£1,720.2435/month</t>
  </si>
  <si>
    <t>M208ms v2</t>
  </si>
  <si>
    <t>5,700 GiB</t>
  </si>
  <si>
    <t>£29,131.9824/month</t>
  </si>
  <si>
    <t>£16,942.8615/month</t>
  </si>
  <si>
    <t>£8,179.2894/month</t>
  </si>
  <si>
    <t>£3,440.4869/month</t>
  </si>
  <si>
    <t>M416s v2</t>
  </si>
  <si>
    <t>8,192 GiB</t>
  </si>
  <si>
    <t>£32,370.3202/month</t>
  </si>
  <si>
    <t>£18,826.1954/month</t>
  </si>
  <si>
    <t>£9,088.5267/month</t>
  </si>
  <si>
    <t>£3,822.9351/month</t>
  </si>
  <si>
    <t>M416ms v2</t>
  </si>
  <si>
    <t>11,400 GiB</t>
  </si>
  <si>
    <t>£64,734.1114/month</t>
  </si>
  <si>
    <t>£37,648.6639/month</t>
  </si>
  <si>
    <t>£18,175.2090/month</t>
  </si>
  <si>
    <t>£7,645.0986/month</t>
  </si>
  <si>
    <t>Constrained vCPUs capable</t>
  </si>
  <si>
    <t>These new VM sizes are optimized for database workloads like SQL Server that often require high memory, storage, and I/O bandwidth, but not a high CPU core count. They constrain the VM vCPU(s) count and can help reduce the cost of software licensing, all while maintaining the same memory, storage, and I/O bandwidth. The licensing charged for SQL Server will be constrained to the active vCPU(s) count while the compute cost, which includes OS licensing, remains the same one as the original size based on “underlying vCPU(s)”. These new VM sizes allow customer workloads to use the same memory, storage, and I/O bandwidth while optimizing their software licensing cost.</t>
  </si>
  <si>
    <t>Active vCPU(s) /</t>
  </si>
  <si>
    <t>Temporary</t>
  </si>
  <si>
    <t>Spot with AHB *</t>
  </si>
  <si>
    <t>DS11-1 v2</t>
  </si>
  <si>
    <t>DS12-1 v2</t>
  </si>
  <si>
    <t>DS12-2 v2</t>
  </si>
  <si>
    <t>E4-2as v4</t>
  </si>
  <si>
    <t>£99.2503/month</t>
  </si>
  <si>
    <t>£66.1651/month</t>
  </si>
  <si>
    <t>E4-2s v3</t>
  </si>
  <si>
    <t>E4-2s v4</t>
  </si>
  <si>
    <t>DS13-2 v2</t>
  </si>
  <si>
    <t>E8-2as v4</t>
  </si>
  <si>
    <t>£198.5006/month</t>
  </si>
  <si>
    <t>£132.3138/month</t>
  </si>
  <si>
    <t>E8-2s v3</t>
  </si>
  <si>
    <t>E8-2s v4</t>
  </si>
  <si>
    <t>M8-2ms</t>
  </si>
  <si>
    <t>DS13-4 v2</t>
  </si>
  <si>
    <t>E8-4as v4</t>
  </si>
  <si>
    <t>E8-4s v3</t>
  </si>
  <si>
    <t>E8-4s v4</t>
  </si>
  <si>
    <t>DS14-4 v2</t>
  </si>
  <si>
    <t>E16-4as v4</t>
  </si>
  <si>
    <t>£396.9413/month</t>
  </si>
  <si>
    <t>£264.6493/month</t>
  </si>
  <si>
    <t>E16-4s v3</t>
  </si>
  <si>
    <t>E16-4s v4</t>
  </si>
  <si>
    <t>M8-4ms</t>
  </si>
  <si>
    <t>Gs4-4</t>
  </si>
  <si>
    <t>M16-4ms</t>
  </si>
  <si>
    <t>DS14-8 v2</t>
  </si>
  <si>
    <t>E16-8as v4</t>
  </si>
  <si>
    <t>E16-8ds v4</t>
  </si>
  <si>
    <t>E16-8s v3</t>
  </si>
  <si>
    <t>E16-8s v4</t>
  </si>
  <si>
    <t>Gs4-8</t>
  </si>
  <si>
    <t>E32-8as v4</t>
  </si>
  <si>
    <t>8 / 32</t>
  </si>
  <si>
    <t>£793.9423/month</t>
  </si>
  <si>
    <t>£529.2713/month</t>
  </si>
  <si>
    <t>E32-8s v3</t>
  </si>
  <si>
    <t>E32-8s v4</t>
  </si>
  <si>
    <t>M16-8ms</t>
  </si>
  <si>
    <t>Gs5-8</t>
  </si>
  <si>
    <t>M32-8ms</t>
  </si>
  <si>
    <t>E32-16as v4</t>
  </si>
  <si>
    <t>16 / 32</t>
  </si>
  <si>
    <t>E32-16ds v4</t>
  </si>
  <si>
    <t>E32-16s v3</t>
  </si>
  <si>
    <t>E32-16s v4</t>
  </si>
  <si>
    <t>E64-16s v3</t>
  </si>
  <si>
    <t>16 / 64</t>
  </si>
  <si>
    <t>Gs5-16</t>
  </si>
  <si>
    <t>E64-16ds v4</t>
  </si>
  <si>
    <t>E64-16s v4</t>
  </si>
  <si>
    <t>E64-16as v4</t>
  </si>
  <si>
    <t>£1,587.8193/month</t>
  </si>
  <si>
    <t>£1,058.5480/month</t>
  </si>
  <si>
    <t>M32-16ms</t>
  </si>
  <si>
    <t>M64-16ms</t>
  </si>
  <si>
    <t>E96-24as v4</t>
  </si>
  <si>
    <t>24 / 96</t>
  </si>
  <si>
    <t>£2,381.7616/month</t>
  </si>
  <si>
    <t>£1,587.8411/month</t>
  </si>
  <si>
    <t>E64-32s v3</t>
  </si>
  <si>
    <t>32 / 64</t>
  </si>
  <si>
    <t>E64-32s v4</t>
  </si>
  <si>
    <t>E64-32as v4</t>
  </si>
  <si>
    <t>M64-32ms</t>
  </si>
  <si>
    <t>M128-32ms</t>
  </si>
  <si>
    <t>32 / 128</t>
  </si>
  <si>
    <t>E96-48as v4</t>
  </si>
  <si>
    <t>48 / 96</t>
  </si>
  <si>
    <t>M128-64ms</t>
  </si>
  <si>
    <t>64 / 128</t>
  </si>
  <si>
    <t>L8s v2</t>
  </si>
  <si>
    <t>1 x 1.9 TB</t>
  </si>
  <si>
    <t>£404.7923/month</t>
  </si>
  <si>
    <t>£257.8755/month</t>
  </si>
  <si>
    <t>£171.2370/month</t>
  </si>
  <si>
    <t>£85.0064/month</t>
  </si>
  <si>
    <t>L16s v2</t>
  </si>
  <si>
    <t>2 x 1.9 TB</t>
  </si>
  <si>
    <t>£809.5845/month</t>
  </si>
  <si>
    <t>£515.6912/month</t>
  </si>
  <si>
    <t>£342.4467/month</t>
  </si>
  <si>
    <t>£170.0128/month</t>
  </si>
  <si>
    <t>L32s v2</t>
  </si>
  <si>
    <t>4 x 1.9 TB</t>
  </si>
  <si>
    <t>£1,619.1689/month</t>
  </si>
  <si>
    <t>£1,031.3823/month</t>
  </si>
  <si>
    <t>£684.8987/month</t>
  </si>
  <si>
    <t>£340.0255/month</t>
  </si>
  <si>
    <t>L48s v2</t>
  </si>
  <si>
    <t>480 GiB</t>
  </si>
  <si>
    <t>6 x 1.9 TB</t>
  </si>
  <si>
    <t>£2,428.7534/month</t>
  </si>
  <si>
    <t>£1,547.0735/month</t>
  </si>
  <si>
    <t>£1,027.3453/month</t>
  </si>
  <si>
    <t>£510.0383/month</t>
  </si>
  <si>
    <t>L64s v2</t>
  </si>
  <si>
    <t>640 GiB</t>
  </si>
  <si>
    <t>8 x 1.9 TB</t>
  </si>
  <si>
    <t>£3,238.3378/month</t>
  </si>
  <si>
    <t>£2,062.8299/month</t>
  </si>
  <si>
    <t>£1,369.8137/month</t>
  </si>
  <si>
    <t>£680.0510/month</t>
  </si>
  <si>
    <t>L80s v2</t>
  </si>
  <si>
    <t>10 x 1.9 TB</t>
  </si>
  <si>
    <t>£4,047.9223/month</t>
  </si>
  <si>
    <t>£2,578.5211/month</t>
  </si>
  <si>
    <t>£1,712.2657/month</t>
  </si>
  <si>
    <t>£850.0637/month</t>
  </si>
  <si>
    <t>L4s</t>
  </si>
  <si>
    <t>678 GiB</t>
  </si>
  <si>
    <t>£202.3962/month</t>
  </si>
  <si>
    <t>£178.5657/month</t>
  </si>
  <si>
    <t>£42.5032/month</t>
  </si>
  <si>
    <t>L8s</t>
  </si>
  <si>
    <t>1,388 GiB</t>
  </si>
  <si>
    <t>£357.1911/month</t>
  </si>
  <si>
    <t>L16s</t>
  </si>
  <si>
    <t>2,807 GiB</t>
  </si>
  <si>
    <t>£714.3767/month</t>
  </si>
  <si>
    <t>L32s</t>
  </si>
  <si>
    <t>5,630 GiB</t>
  </si>
  <si>
    <t>£1,428.7588/month</t>
  </si>
  <si>
    <t>NC6</t>
  </si>
  <si>
    <t>340 GiB</t>
  </si>
  <si>
    <t>1X K80</t>
  </si>
  <si>
    <t>£634.3922/month</t>
  </si>
  <si>
    <t>£387.9967/month</t>
  </si>
  <si>
    <t>£273.5286/month</t>
  </si>
  <si>
    <t>£80.1636/month</t>
  </si>
  <si>
    <t>NC12</t>
  </si>
  <si>
    <t>680 GiB</t>
  </si>
  <si>
    <t>2X K80</t>
  </si>
  <si>
    <t>£1,269.3284/month</t>
  </si>
  <si>
    <t>£776.0531/month</t>
  </si>
  <si>
    <t>£547.0572/month</t>
  </si>
  <si>
    <t>£160.3962/month</t>
  </si>
  <si>
    <t>NC24r</t>
  </si>
  <si>
    <t>1,440 GiB</t>
  </si>
  <si>
    <t>4X K80</t>
  </si>
  <si>
    <t>£2,792.1959/month</t>
  </si>
  <si>
    <t>£1,707.3146/month</t>
  </si>
  <si>
    <t>£1,203.5496/month</t>
  </si>
  <si>
    <t>£352.8303/month</t>
  </si>
  <si>
    <t>NC24</t>
  </si>
  <si>
    <t>£2,538.6567/month</t>
  </si>
  <si>
    <t>£1,552.1062/month</t>
  </si>
  <si>
    <t>£1,094.1360/month</t>
  </si>
  <si>
    <t>£320.7924/month</t>
  </si>
  <si>
    <t>NC6 Promo</t>
  </si>
  <si>
    <t>1x K80</t>
  </si>
  <si>
    <t>£280.1990/month</t>
  </si>
  <si>
    <t>NC12 Promo</t>
  </si>
  <si>
    <t>2x K80</t>
  </si>
  <si>
    <t>£560.3979/month</t>
  </si>
  <si>
    <t>NC24 Promo</t>
  </si>
  <si>
    <t>£1,120.2516/month</t>
  </si>
  <si>
    <t>NC24r Promo</t>
  </si>
  <si>
    <t>£1,232.3312/month</t>
  </si>
  <si>
    <t>NC6s v2</t>
  </si>
  <si>
    <t>336 GiB</t>
  </si>
  <si>
    <t>1X P100</t>
  </si>
  <si>
    <t>£1,459.2107/month</t>
  </si>
  <si>
    <t>£892.3819/month</t>
  </si>
  <si>
    <t>£629.1255/month</t>
  </si>
  <si>
    <t>£184.2638/month</t>
  </si>
  <si>
    <t>NC12s v2</t>
  </si>
  <si>
    <t>2X P100</t>
  </si>
  <si>
    <t>£2,918.4214/month</t>
  </si>
  <si>
    <t>£1,784.9542/month</t>
  </si>
  <si>
    <t>£1,258.2292/month</t>
  </si>
  <si>
    <t>£368.5269/month</t>
  </si>
  <si>
    <t>NC24rs v2</t>
  </si>
  <si>
    <t>4X P100</t>
  </si>
  <si>
    <t>£6,422.2681/month</t>
  </si>
  <si>
    <t>£3,926.8492/month</t>
  </si>
  <si>
    <t>£2,768.1586/month</t>
  </si>
  <si>
    <t>£810.9795/month</t>
  </si>
  <si>
    <t>NC24s v2</t>
  </si>
  <si>
    <t>£5,836.8428/month</t>
  </si>
  <si>
    <t>£3,569.8431/month</t>
  </si>
  <si>
    <t>£2,516.5128/month</t>
  </si>
  <si>
    <t>£737.0543/month</t>
  </si>
  <si>
    <t>NC6s v3</t>
  </si>
  <si>
    <t>1X V100</t>
  </si>
  <si>
    <t>£2,080.0010/month</t>
  </si>
  <si>
    <t>£1,324.9111/month</t>
  </si>
  <si>
    <t>£665.5840/month</t>
  </si>
  <si>
    <t>£365.4562/month</t>
  </si>
  <si>
    <t>NC12s v3</t>
  </si>
  <si>
    <t>2X V100</t>
  </si>
  <si>
    <t>£4,160.0019/month</t>
  </si>
  <si>
    <t>£2,649.8222/month</t>
  </si>
  <si>
    <t>£1,331.1408/month</t>
  </si>
  <si>
    <t>£730.9123/month</t>
  </si>
  <si>
    <t>NC24rs v3</t>
  </si>
  <si>
    <t>4X V100</t>
  </si>
  <si>
    <t>£9,151.8952/month</t>
  </si>
  <si>
    <t>£5,829.6229/month</t>
  </si>
  <si>
    <t>£3,466.6592/month</t>
  </si>
  <si>
    <t>£1,607.9882/month</t>
  </si>
  <si>
    <t>NC24s v3</t>
  </si>
  <si>
    <t>£8,320.0037/month</t>
  </si>
  <si>
    <t>£5,299.6443/month</t>
  </si>
  <si>
    <t>£2,662.3033/month</t>
  </si>
  <si>
    <t>£1,461.8245/month</t>
  </si>
  <si>
    <t>NC4as T4 v3</t>
  </si>
  <si>
    <t>180 GiB</t>
  </si>
  <si>
    <t>1X T4</t>
  </si>
  <si>
    <t>£358.0018/month</t>
  </si>
  <si>
    <t>£228.9362/month</t>
  </si>
  <si>
    <t>£135.9373/month</t>
  </si>
  <si>
    <t>£66.7423/month</t>
  </si>
  <si>
    <t>NC8as T4 v3</t>
  </si>
  <si>
    <t>360 GiB</t>
  </si>
  <si>
    <t>£511.4311/month</t>
  </si>
  <si>
    <t>£327.3159/month</t>
  </si>
  <si>
    <t>£194.3384/month</t>
  </si>
  <si>
    <t>£95.3460/month</t>
  </si>
  <si>
    <t>NC16as T4 v3</t>
  </si>
  <si>
    <t>110 GiB</t>
  </si>
  <si>
    <t>£818.8338/month</t>
  </si>
  <si>
    <t>£524.0754/month</t>
  </si>
  <si>
    <t>£311.1677/month</t>
  </si>
  <si>
    <t>£152.6551/month</t>
  </si>
  <si>
    <t>NC64as T4 v3</t>
  </si>
  <si>
    <t>440 GiB</t>
  </si>
  <si>
    <t>2,880 GiB</t>
  </si>
  <si>
    <t>4X T4</t>
  </si>
  <si>
    <t>£2,959.7712/month</t>
  </si>
  <si>
    <t>£1,894.2644/month</t>
  </si>
  <si>
    <t>£1,124.7131/month</t>
  </si>
  <si>
    <t>£551.7890/month</t>
  </si>
  <si>
    <t>NV6</t>
  </si>
  <si>
    <t>1X M60</t>
  </si>
  <si>
    <t>£742.6632/month</t>
  </si>
  <si>
    <t>£477.3720/month</t>
  </si>
  <si>
    <t>£346.5272/month</t>
  </si>
  <si>
    <t>£83.4281/month</t>
  </si>
  <si>
    <t>NV12</t>
  </si>
  <si>
    <t>2X M60</t>
  </si>
  <si>
    <t>£1,485.3264/month</t>
  </si>
  <si>
    <t>£954.8037/month</t>
  </si>
  <si>
    <t>£693.0762/month</t>
  </si>
  <si>
    <t>£166.8566/month</t>
  </si>
  <si>
    <t>NV24</t>
  </si>
  <si>
    <t>4X M60</t>
  </si>
  <si>
    <t>£2,970.6527/month</t>
  </si>
  <si>
    <t>£1,909.6672/month</t>
  </si>
  <si>
    <t>£1,386.1523/month</t>
  </si>
  <si>
    <t>£333.7126/month</t>
  </si>
  <si>
    <t>NV12s v3</t>
  </si>
  <si>
    <t>736 GiB</t>
  </si>
  <si>
    <t>£775.8518/month</t>
  </si>
  <si>
    <t>£496.1915/month</t>
  </si>
  <si>
    <t>£341.1463/month</t>
  </si>
  <si>
    <t>£162.9289/month</t>
  </si>
  <si>
    <t>NV24s v3</t>
  </si>
  <si>
    <t>1,474 GiB</t>
  </si>
  <si>
    <t>£1,550.6154/month</t>
  </si>
  <si>
    <t>£992.3776/month</t>
  </si>
  <si>
    <t>£682.2708/month</t>
  </si>
  <si>
    <t>£325.6293/month</t>
  </si>
  <si>
    <t>NV48s v3</t>
  </si>
  <si>
    <t>2,948 GiB</t>
  </si>
  <si>
    <t>£3,101.2308/month</t>
  </si>
  <si>
    <t>£1,984.7605/month</t>
  </si>
  <si>
    <t>£1,364.5361/month</t>
  </si>
  <si>
    <t>£651.2585/month</t>
  </si>
  <si>
    <t>NV4as v4</t>
  </si>
  <si>
    <t>88 GiB</t>
  </si>
  <si>
    <t>1/8th MI25 (2GB VRAM)</t>
  </si>
  <si>
    <t>£158.3260/month</t>
  </si>
  <si>
    <t>£101.4266/month</t>
  </si>
  <si>
    <t>£69.7288/month</t>
  </si>
  <si>
    <t>£33.2485/month</t>
  </si>
  <si>
    <t>NV8as v4</t>
  </si>
  <si>
    <t>176 GiB</t>
  </si>
  <si>
    <t>1/4th MI25 (4GB VRAM)</t>
  </si>
  <si>
    <t>£316.6520/month</t>
  </si>
  <si>
    <t>£202.8477/month</t>
  </si>
  <si>
    <t>£139.4575/month</t>
  </si>
  <si>
    <t>£66.4970/month</t>
  </si>
  <si>
    <t>NV16as v4</t>
  </si>
  <si>
    <t>352 GiB</t>
  </si>
  <si>
    <t>1/2 MI25 (8GB VRAM)</t>
  </si>
  <si>
    <t>£633.8481/month</t>
  </si>
  <si>
    <t>£405.6356/month</t>
  </si>
  <si>
    <t>£278.8932/month</t>
  </si>
  <si>
    <t>£133.1081/month</t>
  </si>
  <si>
    <t>NV32as v4</t>
  </si>
  <si>
    <t>700 GiB</t>
  </si>
  <si>
    <t>1x MI25 (16GB VRAM)</t>
  </si>
  <si>
    <t>£1,267.6961/month</t>
  </si>
  <si>
    <t>£811.3310/month</t>
  </si>
  <si>
    <t>£557.7809/month</t>
  </si>
  <si>
    <t>£266.2162/month</t>
  </si>
  <si>
    <t>ND6s</t>
  </si>
  <si>
    <t>1X P40</t>
  </si>
  <si>
    <t>ND12s</t>
  </si>
  <si>
    <t>2X P40</t>
  </si>
  <si>
    <t>£2,917.8773/month</t>
  </si>
  <si>
    <t>£368.4584/month</t>
  </si>
  <si>
    <t>ND24rs</t>
  </si>
  <si>
    <t>4X P40</t>
  </si>
  <si>
    <t>ND24s</t>
  </si>
  <si>
    <t>£5,836.2987/month</t>
  </si>
  <si>
    <t>£736.9852/month</t>
  </si>
  <si>
    <t>ND40rs v2</t>
  </si>
  <si>
    <t>2,900 GiB</t>
  </si>
  <si>
    <t>8X V100 (NVlink)</t>
  </si>
  <si>
    <t>£14,976.2242/month</t>
  </si>
  <si>
    <t>£7,338.3118/month</t>
  </si>
  <si>
    <t>£1,647.3847/month</t>
  </si>
  <si>
    <t>ND96asr A100 v4</t>
  </si>
  <si>
    <t>900 GiB</t>
  </si>
  <si>
    <t>6,500 GiB</t>
  </si>
  <si>
    <t>8x A100 (NVlink)</t>
  </si>
  <si>
    <t>£19,236.8800/month</t>
  </si>
  <si>
    <t>£13,317.6153/month</t>
  </si>
  <si>
    <t>£7,694.7139/month</t>
  </si>
  <si>
    <t>£7,694.7520/month</t>
  </si>
  <si>
    <t>H8</t>
  </si>
  <si>
    <t>£561.4860/month</t>
  </si>
  <si>
    <t>£362.5938/month</t>
  </si>
  <si>
    <t>£261.2325/month</t>
  </si>
  <si>
    <t>£117.9121/month</t>
  </si>
  <si>
    <t>H8m</t>
  </si>
  <si>
    <t>£752.4566/month</t>
  </si>
  <si>
    <t>£485.8813/month</t>
  </si>
  <si>
    <t>£350.0474/month</t>
  </si>
  <si>
    <t>£158.0159/month</t>
  </si>
  <si>
    <t>H16r</t>
  </si>
  <si>
    <t>£1,235.5957/month</t>
  </si>
  <si>
    <t>£797.7889/month</t>
  </si>
  <si>
    <t>£574.7180/month</t>
  </si>
  <si>
    <t>£259.4751/month</t>
  </si>
  <si>
    <t>H16</t>
  </si>
  <si>
    <t>£1,123.5161/month</t>
  </si>
  <si>
    <t>£725.2473/month</t>
  </si>
  <si>
    <t>£522.4595/month</t>
  </si>
  <si>
    <t>£235.9384/month</t>
  </si>
  <si>
    <t>H16mr</t>
  </si>
  <si>
    <t>£1,655.6220/month</t>
  </si>
  <si>
    <t>£1,069.0215/month</t>
  </si>
  <si>
    <t>£770.1118/month</t>
  </si>
  <si>
    <t>£347.6807/month</t>
  </si>
  <si>
    <t>H16m</t>
  </si>
  <si>
    <t>£1,505.4572/month</t>
  </si>
  <si>
    <t>£971.8224/month</t>
  </si>
  <si>
    <t>£700.0947/month</t>
  </si>
  <si>
    <t>£316.1460/month</t>
  </si>
  <si>
    <t>H8 Promo</t>
  </si>
  <si>
    <t>£337.3269/month</t>
  </si>
  <si>
    <t>H8m Promo</t>
  </si>
  <si>
    <t>£452.1268/month</t>
  </si>
  <si>
    <t>H16 Promo</t>
  </si>
  <si>
    <t>£675.1978/month</t>
  </si>
  <si>
    <t>H16r Promo</t>
  </si>
  <si>
    <t>H16m Promo</t>
  </si>
  <si>
    <t>£904.7977/month</t>
  </si>
  <si>
    <t>H16mr Promo</t>
  </si>
  <si>
    <t>£918.3996/month</t>
  </si>
  <si>
    <t>HB60rs</t>
  </si>
  <si>
    <t>228 GiB</t>
  </si>
  <si>
    <t>£1,612.6400/month</t>
  </si>
  <si>
    <t>£1,370.7495/month</t>
  </si>
  <si>
    <t>£1,128.8535/month</t>
  </si>
  <si>
    <t>£338.6544/month</t>
  </si>
  <si>
    <t>HB120rs v2</t>
  </si>
  <si>
    <t>456 GiB</t>
  </si>
  <si>
    <t>£2,546.2737/month</t>
  </si>
  <si>
    <t>£1,909.7325/month</t>
  </si>
  <si>
    <t>£1,273.1314/month</t>
  </si>
  <si>
    <t>£678.3274/month</t>
  </si>
  <si>
    <t>HB120rs v3</t>
  </si>
  <si>
    <t>2,100 GiB</t>
  </si>
  <si>
    <t>£1,018.5095/month</t>
  </si>
  <si>
    <t>HB120-16rs v3</t>
  </si>
  <si>
    <t>16 / 120</t>
  </si>
  <si>
    <t>HB120-32rs v3</t>
  </si>
  <si>
    <t>32 / 120</t>
  </si>
  <si>
    <t>HB120-64rs v3</t>
  </si>
  <si>
    <t>64 / 120</t>
  </si>
  <si>
    <t>HB120-96rs v3</t>
  </si>
  <si>
    <t>96 / 120</t>
  </si>
  <si>
    <t>HC44rs</t>
  </si>
  <si>
    <t>£2,240.5032/month</t>
  </si>
  <si>
    <t>£1,904.6345/month</t>
  </si>
  <si>
    <t>£1,568.5046/month</t>
  </si>
  <si>
    <t>£470.5057/month</t>
  </si>
  <si>
    <t>ResourceName</t>
  </si>
  <si>
    <t>VM Name</t>
  </si>
  <si>
    <t>Type</t>
  </si>
  <si>
    <t>Average</t>
  </si>
  <si>
    <t>P95th</t>
  </si>
  <si>
    <t>Max</t>
  </si>
  <si>
    <t>Trend (Average)</t>
  </si>
  <si>
    <t>Properties</t>
  </si>
  <si>
    <t>v3Standrd | v3Standrd000000</t>
  </si>
  <si>
    <t>AzureScaleSetNode</t>
  </si>
  <si>
    <t>[79.84,89.85,90.08,91.28,92.93,90.59,81.25,84.21,91.55,93.32,91.43,91.42,90.55,80.44,80.48,88.04,87.48,88.43,88.76,87.58,69.88,72.62,89.1,92.94,92.46,87.79,85.23,76.94,77.25,88.64]</t>
  </si>
  <si>
    <t>{"Fully Qualified Domain Name":"v3Standrd000000","OS Type":"windows","Operating System":"Windows Server 2016 Version 1607 build 14393","Ipv4 Addresses":["10.0.0.4"],"Ipv6 Addresses":["fe80::15c4:9c2e:d984:bf0","2001:0:2851:782c:2421:3780:f5ff:fffb","fe80::2421:3780:f5ff:fffb"],"Mac Addresses":["00:0D:3A:C2:93:F5"],"DNS Names":["v3Standrd000000"],"CPUs":"2 @ 2095 MHz","Bitness":"","Physcial Memory":"8191 MB","Virtualization State":"virtual","VM Type":"hyperv","OMS Agent":"1a42d05f-410e-4a0e-aac1-cee93d4f8cd5"}</t>
  </si>
  <si>
    <t>v3Standrd | v3Standrd000001</t>
  </si>
  <si>
    <t>[82.04,91.69,92.68,92.76,91.2,90,81.21,81.77,90.33,92.01,89.85,91.53,88.96,74.18,75.85,86.07,89.16,90.68,87.36,84.35,63.51,71.31,87.3,94.01,89.05,88.58,86.01,78.11,80.03,87.84]</t>
  </si>
  <si>
    <t>{"Fully Qualified Domain Name":"v3Standrd000001","OS Type":"windows","Operating System":"Windows Server 2016 Version 1607 build 14393","Ipv4 Addresses":["10.0.0.5"],"Ipv6 Addresses":["fe80::69ce:7545:f4f3:8b48","2001:0:2851:782c:1821:1fc7:f5ff:fffa","fe80::1821:1fc7:f5ff:fffa"],"Mac Addresses":["00:0D:3A:C2:9B:00"],"DNS Names":["v3Standrd000001"],"CPUs":"2 @ 2095 MHz","Bitness":"","Physcial Memory":"8191 MB","Virtualization State":"virtual","VM Type":"hyperv","OMS Agent":"2b4265c4-ba5e-4601-b7fd-83056bc17840"}</t>
  </si>
  <si>
    <t>v3Standrd | v3Standrd000002</t>
  </si>
  <si>
    <t>[74.8,93.42,91.94,91.45,90.75,86.89,75.61,81.89,91.35,92.34,89.26,89.44,87.33,68.36,68.39,82.27,84.05,84.95,83.18,80.77,63.51,65.04,84.16,85.58,91.83,88.76,82.76,74.98,75.41,86.99]</t>
  </si>
  <si>
    <t>{"Fully Qualified Domain Name":"v3Standrd000002","OS Type":"windows","Operating System":"Windows Server 2016 Version 1607 build 14393","Ipv4 Addresses":["10.0.0.6"],"Ipv6 Addresses":["fe80::a009:360c:9d3:ba30","2001:0:2851:782c:28c6:1578:f5ff:fff9","fe80::28c6:1578:f5ff:fff9"],"Mac Addresses":["00:0D:3A:C2:99:3B"],"DNS Names":["v3Standrd000002"],"CPUs":"2 @ 2095 MHz","Bitness":"","Physcial Memory":"8191 MB","Virtualization State":"virtual","VM Type":"hyperv","OMS Agent":"b5b193b8-1fae-4089-920a-f57b2b446ca8"}</t>
  </si>
  <si>
    <t>v3Standrd | v3Standrd000004</t>
  </si>
  <si>
    <t>[77.6,90.17,92.06,90.57,89.68,85.02,74.42,84.45,86.07,88.79,88.14,87.09,84.74,68.31,67.33,80.76,83.19,86.53,82.35,79.15,53.57,59.27,83.55,90.49,83.4,84.67,83.52,76.06,72.61,86.75]</t>
  </si>
  <si>
    <t>{"Fully Qualified Domain Name":"v3Standrd000004","OS Type":"windows","Operating System":"Windows Server 2016 Version 1607 build 14393","Ipv4 Addresses":["10.0.0.8"],"Ipv6 Addresses":["fe80::783f:55f9:7e7c:853f","2001:0:2851:782c:1067:d5:f5ff:fff7","fe80::1067:d5:f5ff:fff7"],"Mac Addresses":["00:0D:3A:C2:98:D0"],"DNS Names":["v3Standrd000004"],"CPUs":"2 @ 2095 MHz","Bitness":"","Physcial Memory":"8191 MB","Virtualization State":"virtual","VM Type":"hyperv","OMS Agent":"bc6d3b45-f2b2-4787-8d3d-3d880b1ed234"}</t>
  </si>
  <si>
    <t>v3Standrd | v3Standrd000003</t>
  </si>
  <si>
    <t>[70.04,88.65,87.97,86.84,87.71,0,0,0,0,0,0,0,0,0,0,0,0,0,0,0,0,0,0,0,94.54,83.56,82.58,71.27,69.56,82.27]</t>
  </si>
  <si>
    <t>{"Fully Qualified Domain Name":"v3Standrd000003","OS Type":"windows","Operating System":"Windows Server 2016 Version 1607 build 14393","Ipv4 Addresses":["10.0.0.7"],"Ipv6 Addresses":["fe80::a9dd:c32b:641d:83ca","2001:0:2851:782c:84b:2592:f5ff:fff8","fe80::84b:2592:f5ff:fff8"],"Mac Addresses":["00:0D:3A:C2:9E:F7"],"DNS Names":["v3Standrd000003"],"CPUs":"2 @ 2095 MHz","Bitness":"","Physcial Memory":"8191 MB","Virtualization State":"virtual","VM Type":"hyperv","OMS Agent":"75b84b29-df68-491f-a5ec-fe653bba301b"}</t>
  </si>
  <si>
    <t>v3Standrd | v3Standrd00001K</t>
  </si>
  <si>
    <t>[74.63,87.61,88.91,88.87,87.25,84.92,73.31,76.82,86.69,88.95,86.7,87.42,81.56,63.46,68.79,81.69,83.23,83.4,81.27,79.77,55.84,60.66,80.07,82.18,83.96,81.32,78.92,69.17,69.18,82.13]</t>
  </si>
  <si>
    <t>{"Fully Qualified Domain Name":"v3Standrd00001K","OS Type":"windows","Operating System":"Windows Server 2016 Version 1607 build 14393","Ipv4 Addresses":["10.0.0.10"],"Ipv6 Addresses":["fe80::3c6c:b13b:feab:3987","2001:0:2851:782c:475:33a3:f5ff:fff5","fe80::475:33a3:f5ff:fff5"],"Mac Addresses":["00:0D:3A:25:0C:8D"],"DNS Names":["v3Standrd00001K"],"CPUs":"2 @ 2095 MHz","Bitness":"","Physcial Memory":"8191 MB","Virtualization State":"virtual","VM Type":"hyperv","OMS Agent":"8c098e59-1ad7-4bf6-8144-300e4460c247"}</t>
  </si>
  <si>
    <t>v3Standrd | v3Standrd00001S</t>
  </si>
  <si>
    <t>[71.37,86.58,86.84,86.75,84.25,82.85,70.45,78.17,84.6,87.23,86.73,84.94,80.55,62.45,68.3,80.11,82.05,80.72,81.68,79.79,60.87,60.79,81.59,82.21,83.79,81.6,80.66,70.02,70.92,83.63]</t>
  </si>
  <si>
    <t>{"Fully Qualified Domain Name":"v3Standrd00001S","OS Type":"windows","Operating System":"Windows Server 2016 Version 1607 build 14393","Ipv4 Addresses":["10.0.0.18"],"Ipv6 Addresses":["fe80::dc73:a634:6a58:db1","2001:0:2851:782c:2c62:3ac0:f5ff:ffed","fe80::2c62:3ac0:f5ff:ffed"],"Mac Addresses":["00:0D:3A:25:00:9E"],"DNS Names":["v3Standrd00001S"],"CPUs":"2 @ 2095 MHz","Bitness":"","Physcial Memory":"8191 MB","Virtualization State":"virtual","VM Type":"hyperv","OMS Agent":"77bb26c9-bd0e-434a-b2e9-19ec0429b8b0"}</t>
  </si>
  <si>
    <t>v3Standrd | v3Standrd00001L</t>
  </si>
  <si>
    <t>[72.56,87.53,88.05,89.17,84.67,83.77,71.39,74.11,84.72,88.03,87.82,84.21,83.4,63,65.6,77.68,79.92,81.53,79.66,74.79,55.95,58.79,79.14,87.14,81.42,79.53,78.03,69.78,65.24,80.71]</t>
  </si>
  <si>
    <t>{"Fully Qualified Domain Name":"v3Standrd00001L","OS Type":"windows","Operating System":"Windows Server 2016 Version 1607 build 14393","Ipv4 Addresses":["10.0.0.11"],"Ipv6 Addresses":["fe80::9c01:eeb4:303a:8039","2001:0:2851:782c:2855:1b16:f5ff:fff4","fe80::2855:1b16:f5ff:fff4"],"Mac Addresses":["00:0D:3A:25:09:23"],"DNS Names":["v3Standrd00001L"],"CPUs":"2 @ 2095 MHz","Bitness":"","Physcial Memory":"8191 MB","Virtualization State":"virtual","VM Type":"hyperv","OMS Agent":"7991f0c4-7425-4270-b824-f8568bed2601"}</t>
  </si>
  <si>
    <t>v3Standrd | v3Standrd00001O</t>
  </si>
  <si>
    <t>[74.63,88.96,87.85,88.55,85.18,85.5,72.39,75.81,85.05,88.58,85.74,86.04,78.05,62.42,67.9,78.21,79.84,82.29,78.75,77.7,54.8,57.17,80.87,80.35,82.96,78.37,78.61,64.41,67.9,80.05]</t>
  </si>
  <si>
    <t>{"Fully Qualified Domain Name":"v3Standrd00001O","OS Type":"windows","Operating System":"Windows Server 2016 Version 1607 build 14393","Ipv4 Addresses":["10.0.0.14"],"Ipv6 Addresses":["fe80::89c4:2a:fdbc:c447","2001:0:2851:782c:24c5:2363:f5ff:fff1","fe80::24c5:2363:f5ff:fff1"],"Mac Addresses":["00:0D:3A:25:0C:5B"],"DNS Names":["v3Standrd00001O"],"CPUs":"2 @ 2095 MHz","Bitness":"","Physcial Memory":"8191 MB","Virtualization State":"virtual","VM Type":"hyperv","OMS Agent":"61584624-3e1e-4d62-9d92-d62e6a934092"}</t>
  </si>
  <si>
    <t>v3Standrd | v3Standrd00001M</t>
  </si>
  <si>
    <t>[74.51,86.85,87.58,88.52,84.11,86.11,74.7,47.3,78.42,87.36,87.41,86.67,80.04,63.03,65.78,80.17,82.58,81.86,81.27,76.62,57.73,58.83,79.68,86.43,81.09,81.61,75.84,71.08,69.35,82.03]</t>
  </si>
  <si>
    <t>{"Fully Qualified Domain Name":"v3Standrd00001M","OS Type":"windows","Operating System":"Windows Server 2016 Version 1607 build 14393","Ipv4 Addresses":["10.0.0.12"],"Ipv6 Addresses":["fe80::ace6:4dd1:3f59:2ab","2001:0:2851:782c:1c9b:24db:f5ff:fff3","fe80::1c9b:24db:f5ff:fff3"],"Mac Addresses":["00:0D:3A:25:0B:7D"],"DNS Names":["v3Standrd00001M"],"CPUs":"2 @ 2095 MHz","Bitness":"","Physcial Memory":"8191 MB","Virtualization State":"virtual","VM Type":"hyperv","OMS Agent":"56143578-9ead-4916-8f18-d46c7c124f02"}</t>
  </si>
  <si>
    <t>v3Standrd | v3Standrd00001J</t>
  </si>
  <si>
    <t>[69.83,86.38,87.78,87.03,85.82,82.71,69.36,70.93,87.14,87.95,86.33,86.26,79.15,59.01,62.92,77.86,80.09,81.93,79.34,76.07,50.33,54.08,78.78,80.8,83.95,78.4,74.87,65.5,63.79,79.24]</t>
  </si>
  <si>
    <t>{"Fully Qualified Domain Name":"v3Standrd00001J","OS Type":"windows","Operating System":"Windows Server 2016 Version 1607 build 14393","Ipv4 Addresses":["10.0.0.9"],"Ipv6 Addresses":["fe80::697b:3f7b:320b:9988","2001:0:2851:782c:8f7:2ae6:f5ff:fff6","fe80::8f7:2ae6:f5ff:fff6"],"Mac Addresses":["00:0D:3A:25:0D:C7"],"DNS Names":["v3Standrd00001J"],"CPUs":"2 @ 2095 MHz","Bitness":"","Physcial Memory":"8191 MB","Virtualization State":"virtual","VM Type":"hyperv","OMS Agent":"554c1cc2-a550-44b3-85d1-49575b73723e"}</t>
  </si>
  <si>
    <t>v3Standrd | v3Standrd00001N</t>
  </si>
  <si>
    <t>[70.11,86.85,85.1,88.47,81.51,83.01,69.92,75.07,83.7,85.31,83.52,85.36,77.6,62.45,61.22,76.36,79.95,80.29,75.67,75.39,50.78,54.44,76.85,80.89,82.36,80.04,77.48,67.94,69.49,80.79]</t>
  </si>
  <si>
    <t>{"Fully Qualified Domain Name":"v3Standrd00001N","OS Type":"windows","Operating System":"Windows Server 2016 Version 1607 build 14393","Ipv4 Addresses":["10.0.0.13"],"Ipv6 Addresses":["fe80::ddd4:c585:cf21:9a97","2001:0:2851:782c:2cc2:17e3:f5ff:fff2","fe80::2cc2:17e3:f5ff:fff2"],"Mac Addresses":["00:0D:3A:25:04:01"],"DNS Names":["v3Standrd00001N"],"CPUs":"2 @ 2095 MHz","Bitness":"","Physcial Memory":"8191 MB","Virtualization State":"virtual","VM Type":"hyperv","OMS Agent":"8ff79c77-e59b-4675-aa75-e0952afb1edf"}</t>
  </si>
  <si>
    <t>v3Standrd | v3Standrd00001R</t>
  </si>
  <si>
    <t>[68.55,85.38,87.46,86.31,85.54,81.86,65.47,73.93,77.69,79.21,77.18,78.09,74.8,59.07,63.39,74.93,78.41,80.5,78.32,76.57,53.5,55.54,77.05,82.9,78.19,77.38,73.26,67.4,62.38,76.62]</t>
  </si>
  <si>
    <t>{"Fully Qualified Domain Name":"v3Standrd00001R","OS Type":"windows","Operating System":"Windows Server 2016 Version 1607 build 14393","Ipv4 Addresses":["10.0.0.17"],"Ipv6 Addresses":["fe80::4156:5def:b059:e263","2001:0:2851:782c:2c9b:29db:f5ff:ffee","fe80::2c9b:29db:f5ff:ffee"],"Mac Addresses":["00:0D:3A:25:04:25"],"DNS Names":["v3Standrd00001R"],"CPUs":"2 @ 2095 MHz","Bitness":"","Physcial Memory":"8191 MB","Virtualization State":"virtual","VM Type":"hyperv","OMS Agent":"cf687933-c86e-4506-9d59-616537574f4d"}</t>
  </si>
  <si>
    <t>v3Standrd | v3Standrd00001Q</t>
  </si>
  <si>
    <t>[62.08,85.9,81.37,84.9,82.89,82.3,68.96,77.39,82.76,86.11,85.02,82.59,75.76,54.06,59.04,75.95,77.81,77.72,77.27,76.38,48.98,53.86,78.23,81.55,75.15,77.19,73.05,64.91,59.62,76.75]</t>
  </si>
  <si>
    <t>{"Fully Qualified Domain Name":"v3Standrd00001Q","OS Type":"windows","Operating System":"Windows Server 2016 Version 1607 build 14393","Ipv4 Addresses":["10.0.0.16"],"Ipv6 Addresses":["fe80::ff:cd6:8cf0:1986","2001:0:2851:782c:2840:1118:f5ff:ffef","fe80::2840:1118:f5ff:ffef"],"Mac Addresses":["00:0D:3A:25:0C:5D"],"DNS Names":["v3Standrd00001Q"],"CPUs":"2 @ 2095 MHz","Bitness":"","Physcial Memory":"8191 MB","Virtualization State":"virtual","VM Type":"hyperv","OMS Agent":"4c590089-1e16-40f4-9d16-a0f354c6c0ac"}</t>
  </si>
  <si>
    <t>AZREUMON06SLW.regus.local</t>
  </si>
  <si>
    <t>Non-Azure Virtual Machine</t>
  </si>
  <si>
    <t>[73.51,73.42,73.59,74.43,73.12,73.97,73.89,73.51,72.81,73.81,73.87,73.7,74.08,74.5,74.38,71.4,76.79,73.37,73.2,72.65,71.71,72.3,75.32,74.71,74.54,74.54,74.34,74.26,72.09,74.08]</t>
  </si>
  <si>
    <t>v3Standrd | v3Standrd00001P</t>
  </si>
  <si>
    <t>[63.7,82.55,83.34,82.58,82.97,80.16,67.03,66.16,81.23,82.71,78.91,81.86,75.33,55.79,55.1,73.93,77.54,78.48,75.78,73.57,48.48,52.87,74.12,80.39,76.64,78.14,74.33,64.35,59.54,75.45]</t>
  </si>
  <si>
    <t>{"Fully Qualified Domain Name":"v3Standrd00001P","OS Type":"windows","Operating System":"Windows Server 2016 Version 1607 build 14393","Ipv4 Addresses":["10.0.0.15"],"Ipv6 Addresses":["fe80::a484:ffd7:5c9:89a2","2001:0:2851:782c:2cfb:c9:f5ff:fff0","fe80::2cfb:c9:f5ff:fff0"],"Mac Addresses":["00:0D:3A:25:05:EF"],"DNS Names":["v3Standrd00001P"],"CPUs":"2 @ 2095 MHz","Bitness":"","Physcial Memory":"8191 MB","Virtualization State":"virtual","VM Type":"hyperv","OMS Agent":"e0b030ea-ff14-42f1-9c26-b28d2590a4b7"}</t>
  </si>
  <si>
    <t>[60.64,61.69,61.77,61.52,61.21,61.37,61.09,60.43,61.4,62.39,62.76,61.85,61.88,61.33,61.65,61.59,62.53,61.74,61.77,61.73,60.91,61.4,61.34,62.79,62.49,62.62,61.73,61,85.78,99.99]</t>
  </si>
  <si>
    <t>appwe01ttn-uat.regus.local</t>
  </si>
  <si>
    <t>[56.21,61,60.56,57.6,57,58.02,53.91,53.3,55.15,0,0,0,0,0,0,0,0,0,0,0,0,0,0,0,0,0,0,0,0,0]</t>
  </si>
  <si>
    <t>AZREUMON02SLW.regus.local</t>
  </si>
  <si>
    <t>[57.06,57.36,57.4,57.11,57.52,57.47,57.44,57.08,56.93,58.05,57.3,57.04,56.64,56.77,56.32,54.46,59.67,56.87,57.03,56.41,56.04,56.38,56.12,55.71,54.93,55.92,56,55.2,56.1,56.53]</t>
  </si>
  <si>
    <t>appwe01ttn-test.regus.local</t>
  </si>
  <si>
    <t>[44.28,67.78,68.54,45.67,51.93,53.56,53.82,55.28,65.89,0,0,0,0,0,0,0,0,0,0,0,0,0,0,0,0,0,0,0,0,0]</t>
  </si>
  <si>
    <t>AZREUMON03SLW.regus.local</t>
  </si>
  <si>
    <t>[50.02,50.53,50.34,49.76,49.85,50.48,50.35,50.33,50.5,52.69,50.2,49.81,49.34,49.34,48.51,46.49,53.58,51.05,51.67,49.65,48.58,49.07,48.9,49.01,48.98,49.69,50.44,50.05,50.47,50.54]</t>
  </si>
  <si>
    <t>AZREUMON05SLW.regus.local</t>
  </si>
  <si>
    <t>[42.7,42.51,42.57,42.77,41.56,41.94,42,41.6,41.59,41.78,42.34,41.9,41.65,41.32,41.17,38.04,44.83,42.68,42.86,42.04,40.91,40.49,40.42,41,40.86,40.42,40.7,40.86,40.87,40.58]</t>
  </si>
  <si>
    <t>AZRUSMON02SLW.regus.local</t>
  </si>
  <si>
    <t>[27.53,28.82,28.3,28.5,28.9,28.25,28.1,27.59,28.82,29.04,29.88,29.37,27.71,26.86,27.27,23.62,55.94,53.63,56.61,55.62,52.03,51.94,52.62,53.12,53.55,55.2,55.71,55.74,56.8,56.39]</t>
  </si>
  <si>
    <t>AZREUMON04SLW.regus.local</t>
  </si>
  <si>
    <t>[37.52,38.45,38.12,38.19,37.91,37.94,37.64,37.64,37.55,37.66,37.77,37.43,37.13,37.14,38.19,36.2,41.99,39.23,39.48,39.15,38.24,38.17,37.59,37.27,37.25,37.57,38.02,37.62,37.54,37.9]</t>
  </si>
  <si>
    <t>appwe02ttn-prod.regus.local</t>
  </si>
  <si>
    <t>Azure Virtual Machine</t>
  </si>
  <si>
    <t>[26.32,29.2,30.38,30.6,34.4,32.63,29.57,30.8,35.27,39.17,41.28,36,55.76,54.97,55.8,38.07,37.01,38.57,39.09,35.01,30.15,31.25,33.61,33.27,35.47,35.09,37.98,32.97,33.38,36.66]</t>
  </si>
  <si>
    <t>{"Fully Qualified Domain Name":"appwe02ttn-prod.regus.local","OS Type":"windows","Operating System":"Windows Server 2016 Version 1607 build 14393","Ipv4 Addresses":["10.255.183.15"],"Ipv6 Addresses":["fe80::5878:5755:6fd6:ab77"],"Mac Addresses":["00:0D:3A:AB:05:92"],"DNS Names":["appwe02ttn-prod"],"CPUs":"4 @ 2295 MHz","Bitness":"","Physcial Memory":"16383 MB","Virtualization State":"virtual","VM Type":"hyperv","OMS Agent":"c840bbab-1b08-4348-801e-047be72a959e"}</t>
  </si>
  <si>
    <t>appwe01ttn-prod.regus.local</t>
  </si>
  <si>
    <t>[28.27,32.44,32.76,37.47,39.41,37.81,33.49,37.75,37.46,46.28,53.69,38.51,36.06,31.95,33.06,36.46,36.93,38.26,37.17,35.14,30.42,31.57,34.25,34.53,36.05,38.64,36.5,31.98,33.06,37.37]</t>
  </si>
  <si>
    <t>{"Fully Qualified Domain Name":"appwe01ttn-prod.regus.local","OS Type":"windows","Operating System":"Windows Server 2016 Version 1607 build 14393","Ipv4 Addresses":["10.255.183.16"],"Ipv6 Addresses":["fe80::a4cb:ad3:47c6:4e62"],"Mac Addresses":["00:0D:3A:AB:E3:85"],"DNS Names":["appwe01ttn-prod"],"CPUs":"4 @ 2295 MHz","Bitness":"","Physcial Memory":"16383 MB","Virtualization State":"virtual","VM Type":"hyperv","OMS Agent":"5ffbb44c-26e1-4f17-849f-76579870087d"}</t>
  </si>
  <si>
    <t>dbswe01ttn-prod.regus.local</t>
  </si>
  <si>
    <t>[21.4,43,39.65,37.89,39.09,30.41,13.34,19.35,38.95,54.23,61.45,42.94,33.16,17.78,20.19,35.27,38.78,44.91,40.67,30.08,14.97,19.18,40.76,40.75,37.97,36.51,32.13,16.72,21.27,47]</t>
  </si>
  <si>
    <t>{"Fully Qualified Domain Name":"dbswe01ttn-prod.regus.local","OS Type":"windows","Operating System":"Windows Server 2016 Version 1607 build 14393","Ipv4 Addresses":["10.255.187.19","10.255.187.201","169.254.1.153"],"Ipv6 Addresses":["fe80::f50e:27bc:c5a7:a9c","fe80::8d52:374a:c0ec:8cd9"],"Mac Addresses":["00:0D:3A:22:BF:52"],"DNS Names":["dbswe01ttn-prod"],"CPUs":"32 @ 2295 MHz","Bitness":"","Physcial Memory":"442367 MB","Virtualization State":"virtual","VM Type":"hyperv","OMS Agent":"6c4a10f3-61f8-4ba5-8574-ec2532fa5d97"}</t>
  </si>
  <si>
    <t>AZREUDBS01SLW.regus.local</t>
  </si>
  <si>
    <t>[30.24,31.16,30.95,31.08,32.33,31.21,30.41,30.45,32.82,31.48,32.35,31.72,30.86,31.08,30.33,68.22,33.46,31.46,31.55,33.73,31.33,30.83,32.87,33.95,32.36,32.92,31.89,31.68,31.12,31.98]</t>
  </si>
  <si>
    <t>AZREUMON01SLW.regus.local</t>
  </si>
  <si>
    <t>[28.24,29.3,29.31,29.04,29.71,28.92,28.32,28.76,30.19,29.85,29.66,32.72,29.03,28.47,27.77,27.11,31.34,29.64,29.43,29.83,28.53,27.8,30,30.94,29.38,29.89,29.08,28.99,28.26,29.22]</t>
  </si>
  <si>
    <t>AZREUUIP04BOT.regus.local</t>
  </si>
  <si>
    <t>[29.09,32.02,27.65,25.14,24.92,24.39,22.89,23.34,28.2,28.76,28.88,28.65,27.14,25.84,27.06,26.76,27.19,36.31,31.04,30.22,28.04,28.44,31.71,34.51,37.84,0,0,0,0,32.64]</t>
  </si>
  <si>
    <t>AZRUSMON01SLW.regus.local</t>
  </si>
  <si>
    <t>[29.04,29.18,29.12,29.45,30.79,30.62,28.11,27.65,28.52,28.48,30.03,28.89,28.66,26.98,26.94,23.63,30.93,27.37,27.33,27.18,26.98,25.91,25.93,26.21,26.25,27.14,26.65,26.85,26.4,26.83]</t>
  </si>
  <si>
    <t>AZRUSMON04SLW.regus.local</t>
  </si>
  <si>
    <t>[26.44,26.6,26.61,26.44,27.06,27.14,26.3,27.07,27.21,27.45,28.04,27.23,26.89,26.15,26.13,22.58,30.3,26.4,26.51,26.39,25.2,25.22,25.58,25.8,25.81,26.17,26.46,26.23,25.95,26.37]</t>
  </si>
  <si>
    <t>[23.09,23.55,23.85,23.91,23.93,23.65,23.71,23.43,24.8,24.66,24.33,24.04,24.68,23.46,23.37,23.63,23.18,28.8,28.9,28.31,27.77,28.27,28.78,28.93,28.52,28.7,29.58,28.67,0,23.16]</t>
  </si>
  <si>
    <t>appwe01srm</t>
  </si>
  <si>
    <t>[25.75,25.8,25.94,26.02,26.01,25.9,25.71,20.79,26.07,20.32,25.61,25.18,25.28,25.33,25.22,25.01,25.1,25.2,0,0,0,0,0,0,0,0,34.38,22.82,25.31,25.24]</t>
  </si>
  <si>
    <t>AZRUSMON05SLW.regus.local</t>
  </si>
  <si>
    <t>[22.91,23.76,23.71,23.39,24.34,23.75,23.03,22.74,23.77,23.94,24.6,24.23,23.57,22.66,22.89,19.7,27.6,23.51,23.47,23.4,21.81,21.65,22.64,22.63,22.67,23.23,23.1,22.27,22.24,23.2]</t>
  </si>
  <si>
    <t>AZRAPMON02SLW.regus.local</t>
  </si>
  <si>
    <t>[22.55,23.11,22.89,23.02,22.67,22.49,22.08,22.37,22.64,22.95,23.01,22.87,22.13,21.62,22.01,19.24,26.46,22.17,22.19,22.49,21.92,21.92,22.29,21.92,21.88,22.14,22.24,22.11,22.03,22.21]</t>
  </si>
  <si>
    <t>AZRAPMON01SLW.regus.local</t>
  </si>
  <si>
    <t>[20.25,20.53,20.56,21.44,20.39,20.05,19.88,19.87,19.93,20.15,20.23,20.21,19.65,19.15,19.43,17.96,24.7,23.06,21.65,21.57,20.87,20.76,20.81,20.61,20.58,20.91,20.87,20.62,20.6,20.86]</t>
  </si>
  <si>
    <t>[2.22,2.19,2.25,2.46,2.56,2.23,6.22,27.42,27.43,27.41,27.28,27.26,27.27,27.26,27.25,27.3,27.34,27.34,27.3,27.07,27.05,27.05,27.09,27.08,27.06,27.07,27.04,6.46,0,1.49]</t>
  </si>
  <si>
    <t>[19.54,19.65,19.66,20.12,19.95,19.65,19.48,19.63,19.78,19.65,19.77,19.77,19.83,19.45,19.75,19.79,19.86,19.89,19.9,19.9,19.74,19.87,19.78,19.9,19.69,19.95,19.58,19.58,20.17,20.17]</t>
  </si>
  <si>
    <t>dbwe01sql2-prod.regus.local</t>
  </si>
  <si>
    <t>[7.84,6.03,6.35,16.87,22.13,21.1,18.18,22.43,22.09,22.14,20.06,21.11,20.59,18.38,23.33,22.23,22.96,23.07,22.58,21.54,18.16,24.52,21.66,22.25,22.5,22.27,20.86,14.2,17.84,26.56]</t>
  </si>
  <si>
    <t>dbswe01ttn-uat.regus.local</t>
  </si>
  <si>
    <t>[8.58,14.89,10.87,12.05,11.45,18.26,24.51,14.98,12.42,17.53,20.53,16.51,18.35,19.73,12.44,15.59,15.08,15.94,19.54,19.11,22.05,16.96,19.49,25.16,26.72,39.75,28.36,28.16,22.22,23.2]</t>
  </si>
  <si>
    <t>AZREUINC02.regus.local</t>
  </si>
  <si>
    <t>[18.26,18.34,17.96,18.34,18.68,20.72,18.44,18.19,17.93,18.26,19.92,20.17,18.91,18.16,17.91,18.52,17.89,17.67,18.46,18.71,17.36,16.61,17.63,18.35,17.98,19.54,18.13,18.38,20.57,18.72]</t>
  </si>
  <si>
    <t>[13.74,16.96,17.32,16.1,17.06,16.42,16.73,14.87,17.15,17.8,17.24,18.2,17.88,16.94,16.43,18.11,19.53,18.73,19.7,20.23,17.96,18.26,23.64,19.06,17.09,18.02,17.5,12.67,14.07,15.13]</t>
  </si>
  <si>
    <t>{"Fully Qualified Domain Name":"appwe01mags-prod","OS Type":"linux","Operating System":"Linux 3.10.0-1160.42.2.el7.x86_64, Red Hat Enterprise Linux Server release 7.9 (Maipo)","Ipv4 Addresses":["10.255.186.12"],"Ipv6 Addresses":["fe80::20d:3aff:fead:66e"],"Mac Addresses":["00:0D:3A:AD:06:6E"],"DNS Names":["appwe01mags-prod"],"CPUs":"2 @ 2594 MHz","Bitness":"","Physcial Memory":"11264 MB","Virtualization State":"virtual","VM Type":"hyperv","OMS Agent":"dd221852-4260-4be0-b508-6ce735049d72"}</t>
  </si>
  <si>
    <t>appwe01neo-prod.regus.local</t>
  </si>
  <si>
    <t>[4.94,22.89,15.29,15.1,16.08,32.81,6.45,5.1,5.16,17.97,17.05,11.61,27.46,18.04,20.52,31.83,28.84,22.85,15.72,24.8,7.8,8.8,19.81,10.03,14.38,16.76,21.51,8.56,8.7,19.29]</t>
  </si>
  <si>
    <t>AZREUNPS01DVL.regus.local</t>
  </si>
  <si>
    <t>[15.72,13.64,15,15.96,16.8,14.96,14.25,13.71,15.15,15.76,16.39,19.07,16.86,16.45,17.1,17.87,17.7,17.36,18.88,16.92,16.75,17.21,17.67,17.74,16.73,17.84,15.83,15.44,15.83,16.18]</t>
  </si>
  <si>
    <t>AZRAPMON03SLW.regus.local</t>
  </si>
  <si>
    <t>[16.26,16.19,16.16,16.3,16.33,16.07,16.59,16.21,16.57,16.53,16.42,16.37,16.48,16.33,16.28,14.39,28.25,0,0,0,0,0,0,0,0,0,0,0,0,0]</t>
  </si>
  <si>
    <t>AZREUTRP01.regus.local</t>
  </si>
  <si>
    <t>[11.9,9.86,9.45,11.61,18.34,17.62,16.88,15.55,17.62,17.37,17.86,18.98,18.05,17.48,17.84,17.17,17.4,16.42,17.62,17.13,17.51,17.74,17.24,17.53,17.22,17.62,14.33,9.82,11.84,9.65]</t>
  </si>
  <si>
    <t>AZREUINC01.regus.local</t>
  </si>
  <si>
    <t>[14.66,14.54,14.53,14.97,15.15,15.48,14.71,14.93,14.99,15.21,15.98,16.36,14.95,14.8,14.77,15.57,15.17,15.7,15.23,15.36,15.02,14.9,16.05,15.03,14.84,15.01,15.18,14.69,19.8,15.32]</t>
  </si>
  <si>
    <t>Appwe01sg-prod.regus.local</t>
  </si>
  <si>
    <t>[0.99,0.88,11.04,9.28,9.41,9.12,9.75,9.27,9.34,9.45,9.82,9.29,9.18,9.06,10.3,33.76,35.76,38.78,35.8,35.71,33.77,30.16,10.07,10.77,10.32,10.06,10.02,10.62,10.23,10.72]</t>
  </si>
  <si>
    <t>AZREUNPS02AUT.regus.local</t>
  </si>
  <si>
    <t>[11.07,18.84,20.05,13.76,13.39,11.19,6.45,8.03,12.39,3.12,5.23,13.11,12.71,9.32,11.83,20.34,19.9,17.67,15.01,13.2,10.47,12.9,20.4,20.73,22.77,21.26,19.47,14.69,16.21,26.79]</t>
  </si>
  <si>
    <t>aznedom01.regus.local</t>
  </si>
  <si>
    <t>[27.41,27.56,27.72,27.92,27.98,28.1,28.14,28.22,28.33,28.41,28.3,28.44,28.44,10.03,3.67,3.79,3.71,3.81,3.72,3.74,3.73,3.81,3.83,3.97,4.18,3.88,3.94,3.79,3.27,3.28]</t>
  </si>
  <si>
    <t>appwe02neo-prod.regus.local</t>
  </si>
  <si>
    <t>[5.2,11.92,9.01,9.94,9.75,9.42,7.91,5.24,7.62,17.88,16.31,15.11,17.34,14.03,14.31,16.02,17.34,18.02,16.86,17.89,15.46,15.77,17.7,15.5,17.65,17.6,18.49,16.01,15.76,17.63]</t>
  </si>
  <si>
    <t>dbswe01ttn-test.regus.local</t>
  </si>
  <si>
    <t>[6.51,7.63,7.79,7.57,7.17,9.99,12.44,15.37,14.57,16.15,23.2,18.31,10.97,9.48,8.78,12.3,17.25,17.86,19.57,24.07,18.19,18.35,16.4,18.12,17.26,16.54,14.77,11.71,10.32,11.02]</t>
  </si>
  <si>
    <t>appwe05neo-prod.regus.local</t>
  </si>
  <si>
    <t>[3.07,2.55,2.72,2.79,6.21,5.97,43.12,54.38,54.13,18.61,8.26,9.18,5.86,44.23,54.38,21.78,3.21,3.22,5.38,3.26,3.2,3.22,12.44,6.9,6.51,3.15,3.27,4,4.2,17.25]</t>
  </si>
  <si>
    <t>AZRUSNPS01DVL.regus.local</t>
  </si>
  <si>
    <t>[11.65,13.25,11.37,10.68,14.25,11.88,10.94,10.75,11.18,11.02,11.96,15.04,11.57,10.97,11.27,12.73,11.84,12.17,14.78,12.23,11.9,11.83,12.14,12.47,12.11,14.84,12.29,11.9,12.1,12.33]</t>
  </si>
  <si>
    <t>appwe04neo-prod.regus.local</t>
  </si>
  <si>
    <t>[7.46,7.7,7.49,8.03,8.75,8.61,10.06,8.54,8.55,8.63,8.45,8.17,8.35,9.17,58.79,58.64,19.17,8.06,7.98,7.69,7.55,7.82,8.31,9.5,9.06,8.85,8.83,8.76,8.9,8.88]</t>
  </si>
  <si>
    <t>dbswe02ttn-uat.regus.local</t>
  </si>
  <si>
    <t>[6.7,6.96,7.24,7.62,7.9,9.66,7.49,7.33,7.3,8.97,12.57,16.82,21.33,17.68,20.47,16.59,15.56,17.16,12.99,10.88,9.7,9.16,9.87,8.88,8.88,9.26,12.09,11.74,11.25,13.34]</t>
  </si>
  <si>
    <t>[9.88,9.71,9.56,9.89,9.87,9.8,9.8,9.82,9.93,9.77,9.62,9.69,9.72,9.69,9.7,9.63,9.49,9.29,9.42,9.41,9.39,9.51,9.65,9.68,9.69,9.66,9.72,9.74,9.7,9.52]</t>
  </si>
  <si>
    <t>aznedom21.am-can.regus.local</t>
  </si>
  <si>
    <t>[7.79,8.54,9.03,9.69,10.33,11.74,13.22,14.35,15.19,15.35,15.07,14.56,13.78,4.67,3.55,4.33,5.18,6,7.38,8.19,9.42,10.6,11.33,11.66,12.13,11.92,13.11,3.83,2.04,2.46]</t>
  </si>
  <si>
    <t>[7.45,9.91,10.15,10.49,10.26,9.35,6.79,5.53,9.81,9.88,10.54,10.52,9.31,6.18,6.62,8.31,9.62,9.79,9.62,8.93,6.45,6.97,10.31,14.08,13.33,12.81,11.55,8.92,8.27,11.63]</t>
  </si>
  <si>
    <t>{"Fully Qualified Domain Name":"appwe01cst-prod","OS Type":"linux","Operating System":"Linux 3.10.0-1062.52.2.el7.x86_64, Red Hat Enterprise Linux Server release 7.7 (Maipo)","Ipv4 Addresses":["10.255.186.7"],"Ipv6 Addresses":["fe80::20d:3aff:fe38:a515"],"Mac Addresses":["00:0D:3A:38:A5:15"],"DNS Names":["appwe01cst-prod"],"CPUs":"8 @ 2594 MHz","Bitness":"","Physcial Memory":"69120 MB","Virtualization State":"virtual","VM Type":"hyperv","OMS Agent":"0d0a1e6c-c28f-4bc3-8f12-278656db1c99"}</t>
  </si>
  <si>
    <t>[7.73,8.25,8.35,7.8,8.95,8.19,8.13,8.5,8.64,9.17,8.71,8.83,9.84,9.75,7.95,7.74,8.52,9.18,8.23,7.8,8.04,8.15,8.41,11.45,10.96,8.05,8.29,8.04,8.2,8.48]</t>
  </si>
  <si>
    <t>repwe02ttn-prod.regus.local</t>
  </si>
  <si>
    <t>[3.63,5.59,5.47,5.38,5.15,4.5,3.15,3.66,5.46,30.99,51.19,11.01,6.1,3.36,4.35,5.82,6.37,6.41,6.21,5.66,3.19,3.98,6.93,6.27,5.78,6.22,5.45,3.21,3.74,6.6]</t>
  </si>
  <si>
    <t>{"Fully Qualified Domain Name":"repwe02ttn-prod.regus.local","OS Type":"windows","Operating System":"Windows Server 2016 Version 1607 build 14393","Ipv4 Addresses":["10.255.187.30"],"Ipv6 Addresses":["fe80::7991:c668:4798:1f08"],"Mac Addresses":["00:0D:3A:2D:99:08"],"DNS Names":["repwe02ttn-prod"],"CPUs":"8 @ 2295 MHz","Bitness":"","Physcial Memory":"32767 MB","Virtualization State":"virtual","VM Type":"hyperv","OMS Agent":"ca234c5a-d853-425e-8df7-71ecf9ca3145"}</t>
  </si>
  <si>
    <t>aznedom31.asia.regus.local</t>
  </si>
  <si>
    <t>aznedom31.asia</t>
  </si>
  <si>
    <t>[1.68,2.37,2.77,3.43,4.18,4.86,5.88,6.97,7.92,7.77,7.62,7.67,7.78,7.34,4.66,4.94,5.93,6.76,7.57,8.47,10.48,11.74,12.51,12.31,11.99,11.95,11.08,12.54,3.53,2.03]</t>
  </si>
  <si>
    <t>AZRAPNPS01DVL.regus.local</t>
  </si>
  <si>
    <t>[6.82,7.06,8.53,6.94,8.12,6.68,6.58,6.53,6.53,6.29,6.48,8.26,6.53,6.37,6.58,6.85,6.99,7.14,8.95,7.27,7.4,7.41,7.62,7.69,7.53,9.37,7.26,7.15,6.52,6.52]</t>
  </si>
  <si>
    <t>dbswe01sql-prod.regus.local</t>
  </si>
  <si>
    <t>[5.77,6.11,5.84,6.04,6.25,5.85,7.54,6.41,7.21,7.19,7,7.13,6.97,8.83,6.9,7.19,7.08,7.21,7.5,6.97,8.53,6.71,7.26,7.1,6.86,6.89,6.62,8.44,6.43,7.01]</t>
  </si>
  <si>
    <t>dbne03sql2-dr.regus.local</t>
  </si>
  <si>
    <t>[6.88,2.85,2.88,2.75,2.71,2.72,25.39,6.11,5.29,2.64,2.83,2.99,2.79,25.61,7.27,2.91,2.89,3.75,3.15,3.16,25.62,9.27,2.97,3.16,2.97,2.98,3.04,26.27,7.32,3.25]</t>
  </si>
  <si>
    <t>[6.66,6.79,6.66,6.76,7,6.64,6.57,6.3,6.63,6.69,6.6,6.62,6.63,6.45,6.52,6.6,6.75,6.74,6.62,6.59,6.51,6.62,6.75,6.73,6.67,6.72,6.63,6.14,6.05,6.19]</t>
  </si>
  <si>
    <t>repwe01ttn-prod.regus.local</t>
  </si>
  <si>
    <t>[3.34,4.48,4.68,4.48,4.56,4.19,2.98,3.56,4.62,29.72,47.97,7.74,5.05,3.02,3.5,4.6,4.65,4.66,4.99,4.55,2.82,3.41,4.89,4.56,4.57,4.8,4.16,2.89,3.12,4.77]</t>
  </si>
  <si>
    <t>{"Fully Qualified Domain Name":"repwe01ttn-prod.regus.local","OS Type":"windows","Operating System":"Windows Server 2016 Version 1607 build 14393","Ipv4 Addresses":["10.255.187.32"],"Ipv6 Addresses":["fe80::3c10:3a1:2058:5dda"],"Mac Addresses":["00:0D:3A:AF:21:A9"],"DNS Names":["repwe01ttn-prod"],"CPUs":"8 @ 2295 MHz","Bitness":"","Physcial Memory":"32767 MB","Virtualization State":"virtual","VM Type":"hyperv","OMS Agent":"3b4ce2f2-f879-4a98-8f35-9e455b30ff42"}</t>
  </si>
  <si>
    <t>[5.97,6.81,6.73,6.82,6.79,6.58,5.91,5.92,6.79,7.01,6.94,6.95,6.85,6.09,6.2,6.6,7.05,7.03,6.75,6.58,5.8,5.88,6.92,6.86,6.84,6.78,6.64,5.16,5.07,5.99]</t>
  </si>
  <si>
    <t>appwe01cas-prod.regus.local</t>
  </si>
  <si>
    <t>[5.33,5.95,6.04,6.47,6.12,5.74,5.3,5.07,6.39,6.86,7.88,7.61,6.38,5.65,5.44,6.12,6.7,6.79,6.8,6.45,8.04,5.32,6.52,6.99,6.93,8.8,0,0,6.95,6.99]</t>
  </si>
  <si>
    <t>[2.15,6.25,6.6,7.09,7,5.97,2.03,2.33,6.47,7.86,7.77,7.5,6.79,2.94,3.66,7.07,7.82,8.46,9.07,7.56,3.54,4.3,9.49,10.38,10.04,10.69,8.66,1.52,3.26,6.98]</t>
  </si>
  <si>
    <t>{"Fully Qualified Domain Name":"appwe02sales-prod","OS Type":"linux","Operating System":"Linux 3.10.0-1160.42.2.el7.x86_64, Red Hat Enterprise Linux Server release 7.9 (Maipo)","Ipv4 Addresses":["10.255.186.14"],"Ipv6 Addresses":["fe80::20d:3aff:fead:72e8"],"Mac Addresses":["00:0D:3A:AD:72:E8"],"DNS Names":["appwe02sales-prod"],"CPUs":"32 @ 2346 MHz","Bitness":"","Physcial Memory":"134656 MB","Virtualization State":"virtual","VM Type":"hyperv","OMS Agent":"7951e4bc-e856-441a-9e85-bcc79bcf8e70"}</t>
  </si>
  <si>
    <t>appwe01mgt-prod.regus.local</t>
  </si>
  <si>
    <t>[0.93,3.2,4.13,3.8,4.06,3.15,2.07,3.58,4.89,4.84,5.49,5.28,5.39,4.31,4.58,5.59,5.82,5,5.75,32.68,1.48,0.83,2.36,6.85,4.82,7.24,12.82,4.29,4.8,30.13]</t>
  </si>
  <si>
    <t>ratestream-development</t>
  </si>
  <si>
    <t>[6.96,6.71,6.65,7.38,6.59,6.67,6.34,6.56,6.6,6.89,7.1,6.32,6.52,6.41,6.6,6.31,5.76,6.4,7.6,7.32,7.15,7.17,6.93,5,5.05,5.14,5.18,4.31,5.01,4.47]</t>
  </si>
  <si>
    <t>[8.96,9.33,9.18,9.21,9.12,9.22,9.21,9.19,9.6,9.47,9.44,6.59,3.98,3.98,3.93,4.29,4.2,4.3,4.24,4.21,4.23,4.29,4.31,4.23,4.21,4.23,4.19,4.19,4.25,4.34]</t>
  </si>
  <si>
    <t>[5.23,8.1,7.99,4.69,7.08,5.3,7.85,7.23,5.34,8.14,5.38,5.4,5.34,7.9,5.31,5.28,5.35,5.36,5.53,5.42,7.96,5.43,5.39,5.42,5.43,5.35,5.35,7.4,5.04,5.23]</t>
  </si>
  <si>
    <t>appwe01mer-prod.regus.local</t>
  </si>
  <si>
    <t>[5.77,9.94,9.8,6.76,5.44,4.77,4.24,6.46,5.11,5.03,5.93,6.12,5.14,5.18,6.38,5.75,5.58,5.84,5.68,5.82,3.99,4.89,4.58,4.72,4.74,5.59,5.19,5.49,5.42,6.65]</t>
  </si>
  <si>
    <t>{"Fully Qualified Domain Name":"appwe01mer-prod.regus.local","OS Type":"windows","Operating System":"Windows Server 2016 Version 1607 build 14393","Ipv4 Addresses":["10.255.183.13"],"Ipv6 Addresses":["fe80::1884:6cf0:25df:803e"],"Mac Addresses":["00:0D:3A:AD:FB:73"],"DNS Names":["appwe01mer-prod"],"CPUs":"4 @ 2594 MHz","Bitness":"","Physcial Memory":"16383 MB","Virtualization State":"virtual","VM Type":"hyperv","OMS Agent":"617dc1d9-8110-4166-804a-4a3ed110b468"}</t>
  </si>
  <si>
    <t>appwe01cm-prod.regus.local</t>
  </si>
  <si>
    <t>[3.85,4.83,5.42,5.31,5.14,5.57,4.29,5,6.04,6.26,6.3,6.8,6.2,4.87,4.19,5.42,5.81,6.34,5.97,7.34,4.88,4.94,6.04,6.22,7.2,5.94,5.75,4.85,5.23,6.06]</t>
  </si>
  <si>
    <t>AZREUUIP03DBS.regus.local</t>
  </si>
  <si>
    <t>[4.68,3.74,3.67,3.8,4.18,3.85,4.09,4.36,5.62,5.76,4.07,4.39,3.98,3.82,4.05,4.01,3.95,6.43,4.84,14.73,6.85,6.41,6.17,5.88,6.5,6.25,5.83,5.88,5.67,5.91]</t>
  </si>
  <si>
    <t>AZREUUIP05BOT.regus.local</t>
  </si>
  <si>
    <t>[0,0,0,0,0,0,0,0,0,0,0,0,0,0,0,0,0,0,0,0,0,0,0,0,0,0,7.03,3.74,3.49,7.16]</t>
  </si>
  <si>
    <t>appwe01mim-prod.regus.local</t>
  </si>
  <si>
    <t>[3.06,4.12,4.23,4.46,5.05,4.9,6.12,2.74,4.76,4.96,5.18,5.37,5.54,6.45,4.31,5.26,5.46,5.55,5.7,5.67,7.04,5.12,5.52,5.53,5.48,5.46,5.43,7.11,5.07,5.68]</t>
  </si>
  <si>
    <t>{"Fully Qualified Domain Name":"appwe01mim-prod.regus.local","OS Type":"windows","Operating System":"Windows Server 2016 Version 1607 build 14393","Ipv4 Addresses":["10.255.183.14"],"Ipv6 Addresses":["fe80::e1e3:3df8:ceef:5ec"],"Mac Addresses":["00:0D:3A:22:89:BB"],"DNS Names":["appwe01mim-prod"],"CPUs":"8 @ 2594 MHz","Bitness":"","Physcial Memory":"32767 MB","Virtualization State":"virtual","VM Type":"hyperv","OMS Agent":"794f7daa-b596-4a78-ab93-994d3beaa356"}</t>
  </si>
  <si>
    <t>[3.88,3.88,3.93,6.23,5.15,4.71,4.01,4.31,5.16,5.37,4.94,4.6,5.33,5.19,5.23,5.71,5.72,5.41,6.26,5.08,4.99,4.98,4.27,4.99,5.58,6.78,6.91,4.8,5.62,6.69]</t>
  </si>
  <si>
    <t>appwe03ttn-prod.regus.local</t>
  </si>
  <si>
    <t>[4.21,6.78,5.79,5.97,6.55,5.24,3.28,3.23,6.37,6.65,6.3,6.9,5.79,2.95,3.28,5.33,5.61,5.25,5.6,4.97,2.52,2.97,6.88,5.93,5.33,5.58,5.17,2.8,3.67,6.21]</t>
  </si>
  <si>
    <t>{"Fully Qualified Domain Name":"appwe03ttn-prod.regus.local","OS Type":"windows","Operating System":"Windows Server 2016 Version 1607 build 14393","Ipv4 Addresses":["10.255.183.12"],"Ipv6 Addresses":["fe80::95b5:e3cb:7120:f0e2"],"Mac Addresses":["00:0D:3A:AB:E9:EC"],"DNS Names":["appwe03ttn-prod"],"CPUs":"4 @ 2295 MHz","Bitness":"","Physcial Memory":"16383 MB","Virtualization State":"virtual","VM Type":"hyperv","OMS Agent":"58ce8b3e-ce98-4a5a-b73e-ed5f0224ebda"}</t>
  </si>
  <si>
    <t>dbswe02ttn-prod.regus.local</t>
  </si>
  <si>
    <t>[3.98,4.17,3.21,4.66,4.95,4.33,5.96,3.54,4.26,4.73,4.46,4.69,4.26,6.88,3.87,4.3,5.11,18.32,7.2,4.12,6.68,3.75,4.15,3.87,4.52,3.79,3.75,6.21,4.06,5.17]</t>
  </si>
  <si>
    <t>aznedom11.uk-eire.regus.local</t>
  </si>
  <si>
    <t>aznedom11.uk-eire</t>
  </si>
  <si>
    <t>[1.69,1.59,2.06,11.31,18.85,20.95,21.24,21.4,14.08,2.07,1.99,2.02,1.93,1.31,1.17,1.28,1.3,1.24,1.26,1.22,1.23,1.23,1.28,1.38,1.34,1.31,1.26,1.33,1.25,1.32]</t>
  </si>
  <si>
    <t>[0,0,0,0,0,0,0,0,0,0,0,0,0,0,0,0,0,3.96,0,0,32.18,0,0,0,0,0,0,0,0,0]</t>
  </si>
  <si>
    <t>{"Fully Qualified Domain Name":"appwe01cst-test","OS Type":"linux","Operating System":"Linux 3.10.0-1062.40.1.el7.x86_64, Red Hat Enterprise Linux Server release 7.7 (Maipo)","Ipv4 Addresses":["10.255.174.5"],"Ipv6 Addresses":["fe80::20d:3aff:fe21:223e"],"Mac Addresses":["00:0D:3A:21:22:3E"],"DNS Names":["appwe01cst-test"],"CPUs":"2 @ 2295 MHz","Bitness":"","Physcial Memory":"11264 MB","Virtualization State":"virtual","VM Type":"hyperv","OMS Agent":"fb60cced-273f-4dd9-9999-a40ecae0ae1c"}</t>
  </si>
  <si>
    <t>appwe03neo-prod.regus.local</t>
  </si>
  <si>
    <t>[3.32,3.43,3.47,3.54,4.43,4.85,4.57,4.91,5,4.15,4.53,6.97,4.83,4.85,4.98,4.94,4.62,4.55,4.71,4.74,4.76,4.88,4.71,5.01,4.87,4.95,4.88,4.75,4.81,4.74]</t>
  </si>
  <si>
    <t>AZREUDBS02CLV.regus.local</t>
  </si>
  <si>
    <t>[5,4.74,4.87,4.77,4.82,4.74,4.63,4.71,4.49,4.75,4.8,4.82,4.4,4.42,4.47,4.4,4.33,4.34,4.38,4.34,4.15,4.21,4.13,4.11,4.13,4.28,4.23,4.28,4.36,4.33]</t>
  </si>
  <si>
    <t>azwedom02.regus.local</t>
  </si>
  <si>
    <t>azwedom02</t>
  </si>
  <si>
    <t>[4.06,4.4,4.25,5.29,5.11,3.9,4.02,4.19,3.96,4.33,4.06,4.27,4.3,4.18,3.93,4.09,3.76,3.79,4.03,4.16,3.91,3.87,4.19,3.85,4.82,5.35,5.23,4.94,5.12,4.91]</t>
  </si>
  <si>
    <t>[3.5,3.55,3.76,4.08,4.12,4.16,4.1,4.04,4.1,4.11,4.08,4.17,4.27,4.08,4.24,4.24,4.33,4.53,4.57,4.6,4.66,4.88,5.06,5.1,5.19,5.38,5.25,3.97,3.86,4.03]</t>
  </si>
  <si>
    <t>dbwe02sql2-prod.regus.local</t>
  </si>
  <si>
    <t>[12.83,17.73,13.31,6.83,1.58,1.58,8.58,2.58,1.8,1.65,1.77,1.85,1.84,8.84,2.65,1.76,1.76,1.86,1.96,1.99,9.14,2.92,1.95,1.77,1.74,1.8,1.83,9.06,2.66,1.9]</t>
  </si>
  <si>
    <t>[3.97,3.92,4.28,4.12,4.04,4.08,4.11,3.95,4.12,4.07,4.54,4.05,4.74,4.19,4.26,4.42,4.19,3.98,4.22,4.1,4.06,4.11,4.67,4.58,4.33,4.58,4.06,4.43,4.46,4.34]</t>
  </si>
  <si>
    <t>appwe02ttn-uat.regus.local</t>
  </si>
  <si>
    <t>[3.12,4.22,4.28,4.5,3.79,4.4,3.26,3.07,4.13,3.88,4.02,3.74,4.18,3.26,3.09,4.2,4.04,3.74,4.23,4.17,4.07,3.59,4.75,4.66,4.76,5.8,6.03,4.48,4.25,5.77]</t>
  </si>
  <si>
    <t>[4.2,4.24,4.23,4.24,4.18,4.1,4.17,4.11,4.18,4.2,4.21,4.17,4.18,4.17,4.23,4.17,4.2,4.18,4.19,4.2,4.15,4.07,4.19,4.05,4.07,4.08,4.03,4.06,4.05,4.14]</t>
  </si>
  <si>
    <t>{"Fully Qualified Domain Name":"appwe01hpi-test","OS Type":"linux","Operating System":"Linux 3.10.0-1160.42.2.el7.x86_64, Red Hat Enterprise Linux Server release 7.9 (Maipo)","Ipv4 Addresses":["10.255.175.10"],"Ipv6 Addresses":["fe80::20d:3aff:fe25:19c1"],"Mac Addresses":["00:0D:3A:25:19:C1"],"DNS Names":["appwe01hpi-test"],"CPUs":"2 @ 2594 MHz","Bitness":"","Physcial Memory":"11264 MB","Virtualization State":"virtual","VM Type":"hyperv","OMS Agent":"1bf707c7-e697-4062-92b1-7a6261552981"}</t>
  </si>
  <si>
    <t>[4.14,3.97,4.15,4.09,3.87,4.21,3.97,4.1,4,4.08,4.24,4.04,3.88,4.29,3.93,4.07,4.13,4.34,4.36,4.3,3.94,4.24,3.88,4.57,4.07,4.24,4.9,3.9,4.05,4.13]</t>
  </si>
  <si>
    <t>[0,3.67,4.04,4.36,4.08,3.97,3.85,3.98,4.29,4.23,4.24,4.25,4.18,4,4.01,4.2,4.13,3.89,3.9,4.04,4.23,4.37,4.4,4.5,4.2,3.78,4.27,4.16,4.14,4.22]</t>
  </si>
  <si>
    <t>dbswe01fp-uat.regus.local</t>
  </si>
  <si>
    <t>[2.94,4.86,8.96,4.25,2.88,16.3,4.23,1.96,3.75,2.11,1.32,3.48,5.87,3.22,3.86,1.8,1.88,4.16,2.3,2.16,0.86,1.42,4.26,13.87,1.54,8.15,2.41,0.9,1.54,4.11]</t>
  </si>
  <si>
    <t>AZREUUIP01STD.regus.local</t>
  </si>
  <si>
    <t>[1.23,2.48,2.1,2.53,6.19,3.95,2.22,2.3,5.62,7.5,8.54,7.31,3.53,2.23,2.27,2.99,3.02,4.37,6.37,2.69,2.3,2.24,3.45,5.65,0,0,0,0,0,3.57]</t>
  </si>
  <si>
    <t>[4.03,4.32,4.2,4.18,4.05,3.77,3.82,3.89,4.13,4.19,4.1,4.04,4.13,4.07,4.06,3.85,3.92,3.87,3.82,3.41,3.41,3.42,3.52,3.5,3.46,3.48,3.43,3.42,3.48,3.46]</t>
  </si>
  <si>
    <t>Appwe01baduat.regus.local</t>
  </si>
  <si>
    <t>[0.98,0.99,1.1,0.97,0.97,0.98,1.01,0.95,1.06,3.7,2.82,4.04,1.28,1.49,2.54,3.13,6.3,9.95,7.93,0,0,0,7,4.59,7.47,11.15,7.86,0,0,6.79]</t>
  </si>
  <si>
    <t>[3.7,3.55,3.58,3.64,3.5,3.43,3.26,3.23,3.57,3.55,3.85,4.03,3.84,3.48,3.47,3.57,3.64,3.57,3.65,3.57,3.51,3.36,3.95,3.67,3.55,3.51,3.49,3.44,3.36,3.45]</t>
  </si>
  <si>
    <t>{"Fully Qualified Domain Name":"appwe02sales-uat","OS Type":"linux","Operating System":"Linux 3.10.0-1160.42.2.el7.x86_64, Red Hat Enterprise Linux Server release 7.9 (Maipo)","Ipv4 Addresses":["10.255.179.6"],"Ipv6 Addresses":["fe80::20d:3aff:fe4a:7bd5"],"Mac Addresses":["00:0D:3A:4A:7B:D5"],"DNS Names":["appwe02sales-uat"],"CPUs":"4 @ 2295 MHz","Bitness":"","Physcial Memory":"19456 MB","Virtualization State":"virtual","VM Type":"hyperv","OMS Agent":"062f87a7-b0bb-48e4-b528-1a37e521e5de"}</t>
  </si>
  <si>
    <t>[3.53,3.62,3.62,3.59,3.52,3.53,3.48,3.34,3.63,3.56,3.48,3.52,3.52,3.45,3.46,3.53,3.5,3.57,3.52,3.52,3.48,3.47,3.56,3.54,3.49,3.53,3.47,3.54,3.45,3.58]</t>
  </si>
  <si>
    <t>[3.37,3.42,3.52,3.34,3.4,3.4,3.35,3.39,3.42,3.46,3.43,3.45,3.43,3.39,3.45,3.47,3.46,3.49,3.44,3.47,3.33,3.32,3.43,3.3,3.33,3.3,3.29,3.32,3.42,3.51]</t>
  </si>
  <si>
    <t>{"Fully Qualified Domain Name":"appwe01magazines-uat","OS Type":"linux","Operating System":"Linux 3.10.0-1160.42.2.el7.x86_64, Red Hat Enterprise Linux Server release 7.9 (Maipo)","Ipv4 Addresses":["10.255.179.8"],"Ipv6 Addresses":["fe80::20d:3aff:fea9:496e"],"Mac Addresses":["00:0D:3A:A9:49:6E"],"DNS Names":["appwe01magazines-uat"],"CPUs":"2 @ 2594 MHz","Bitness":"","Physcial Memory":"11264 MB","Virtualization State":"virtual","VM Type":"hyperv","OMS Agent":"9813b24b-2fcf-40b0-a3b2-b9c3d0882633"}</t>
  </si>
  <si>
    <t>dbswe01sql-uat.regus.local</t>
  </si>
  <si>
    <t>[3.66,3.72,3.79,3.76,3.85,3.76,3.73,4.84,3.54,3.51,3.48,3.34,3.32,3.27,3.25,3.41,3.45,3.45,3.41,3.46,3.22,3.27,3.37,4,2.67,2.6,2.53,2.42,2.32,2.94]</t>
  </si>
  <si>
    <t>appwe02cas-prod.regus.local</t>
  </si>
  <si>
    <t>[2.85,3.16,3.08,3.1,3.09,3.07,2.81,2.86,3.2,3.51,4.2,3.98,3.09,3.01,2.87,3.07,3.15,3.31,3.21,3.15,6.42,2.76,3.27,3.43,3.4,3.47,3.28,3.01,4.52,3.57]</t>
  </si>
  <si>
    <t>[3.38,3.41,3.46,3.41,3.46,3.38,3.36,3.3,3.35,3.35,3.4,3.4,3.36,3.39,3.46,3.57,3.4,3.39,3.36,3.32,3.29,3.26,3.32,3.24,3.25,3.26,3.23,3.24,3.25,3.28]</t>
  </si>
  <si>
    <t>dbsne03sql-dr.regus.local</t>
  </si>
  <si>
    <t>[1.66,1.73,1.7,1.78,1.71,1.76,9.22,1.71,1.88,2.06,2.1,2.03,2.02,9.53,2.16,2.16,2.32,2.34,2.6,2.44,9.73,2.8,3.22,3.21,3.2,3.2,3.17,10.43,3.17,3.21]</t>
  </si>
  <si>
    <t>appwe01mim-uat.regus.local</t>
  </si>
  <si>
    <t>[4.94,10.23,4.66,3.64,3.08,2.51,2.45,2.29,2.42,2.75,2.5,2.43,4.2,4.9,2.15,2.54,2.78,2.85,4.77,2.9,2.76,2.73,2.78,2.74,2.84,3.13,3.23,3.15,3.22,0.82]</t>
  </si>
  <si>
    <t>[0,0,0,0,0,0,0,0,0,0,0,0,0,0,0,0,0,0,0,0,3.28,0,0,0,0,0,0,0,0,0]</t>
  </si>
  <si>
    <t>{"Fully Qualified Domain Name":"appwe02cst-test","OS Type":"linux","Operating System":"Linux 2.6.32-754.35.1.el6.x86_64, CentOS release 6.10 (Final)","Ipv4 Addresses":["10.255.174.8"],"Ipv6 Addresses":["fe80::20d:3aff:fe45:aa89"],"Mac Addresses":["00:0D:3A:45:AA:89"],"DNS Names":["appwe02cst-test"],"CPUs":"2 @ 2095 MHz","Bitness":"","Physcial Memory":"11264 MB","Virtualization State":"virtual","VM Type":"hyperv","OMS Agent":"f1db6c4a-5785-406e-8361-a2c519a22a52"}</t>
  </si>
  <si>
    <t>AZREUWEB01DVL.regus.local</t>
  </si>
  <si>
    <t>[2.17,2.13,2.24,2.18,7.13,2.5,2.2,2.73,2.62,2.61,2.57,7.53,3.07,2.53,2.47,2.5,2.49,2.46,7.19,3.77,2.88,2.9,2.94,2.97,2.98,7.48,3.42,2.46,2.45,2.25]</t>
  </si>
  <si>
    <t>dbswe01sql-test.regus.local</t>
  </si>
  <si>
    <t>[2.53,2.44,2.45,2.46,2.44,2.42,2.46,2.63,2.6,2.59,2.7,2.78,2.45,2.44,2.49,2.54,3.7,4.13,4.31,4.29,4.04,4.08,4.16,3.95,5.06,3.55,3.59,3.56,3.95,3.59]</t>
  </si>
  <si>
    <t>aznedom41.eu-af.regus.local</t>
  </si>
  <si>
    <t>aznedom41.</t>
  </si>
  <si>
    <t>[11.28,11.49,10.96,12.15,9.65,1.64,1.68,2.49,1.86,1.79,1.71,1.85,1.74,1.52,1.33,1.39,1.39,1.46,1.4,1.48,1.46,1.58,1.59,1.64,1.59,1.6,1.56,1.88,1.6,1.65]</t>
  </si>
  <si>
    <t>secwe01traps.regus.local</t>
  </si>
  <si>
    <t>secwe01traps</t>
  </si>
  <si>
    <t>[3.71,3.08,2.97,3.8,2.99,3.01,2.96,2.97,3.15,3.37,3.97,3.25,2.93,2.86,3.63,2.97,3.01,2.98,3.68,2.85,2.64,2.67,2.77,3.53,2.84,2.64,2.65,2.63,2.63,2.64]</t>
  </si>
  <si>
    <t>dbswe01turk-uat.regus.local</t>
  </si>
  <si>
    <t>[3.25,3.32,3.43,3.51,3.53,3.46,3.49,3.19,3.17,3.28,2.8,2.88,2.78,2.75,2.72,2.79,2.88,2.93,2.94,2.79,2.65,2.64,2.58,2.55,2.57,2.6,2.72,2.68,5.85,2.76]</t>
  </si>
  <si>
    <t>[2.54,2.45,2.45,2.5,2.33,2.3,2.19,2.09,2.06,2.09,2.1,2.14,2.73,3.46,3.47,3.37,3.56,3.68,3.76,3.67,3.5,3.55,4.03,3.71,3.57,3.66,3.71,3.6,3.54,3.67]</t>
  </si>
  <si>
    <t>{"Fully Qualified Domain Name":"appwe01sales-uat","OS Type":"linux","Operating System":"Linux 3.10.0-1127.19.1.el7.x86_64, Red Hat Enterprise Linux Server release 7.9 (Maipo)","Ipv4 Addresses":["10.255.179.5"],"Ipv6 Addresses":["fe80::20d:3aff:feab:b866"],"Mac Addresses":["00:0D:3A:AB:B8:66"],"DNS Names":["appwe01sales-uat"],"CPUs":"4 @ 2095 MHz","Bitness":"","Physcial Memory":"19456 MB","Virtualization State":"virtual","VM Type":"hyperv","OMS Agent":"3c91d34e-1bbd-459f-a144-ad5d5aba8821"}</t>
  </si>
  <si>
    <t>appwe01cch-prod.regus.local</t>
  </si>
  <si>
    <t>[1.96,4.04,4.01,4.03,3.5,3.34,2.51,2.47,2.2,5.36,3.79,3.93,2.03,2.08,2.04,2.38,2.84,2.27,2.1,2.18,2,1.89,2.27,3.13,4.53,4.17,2.97,2.2,2.17,2.17]</t>
  </si>
  <si>
    <t>{"Fully Qualified Domain Name":"appwe01cch-prod.regus.local","OS Type":"windows","Operating System":"Windows Server 2016 Version 1607 build 14393","Ipv4 Addresses":["10.255.183.6"],"Ipv6 Addresses":["fe80::90f6:a408:2098:d48e"],"Mac Addresses":["00:0D:3A:BC:D9:B4"],"DNS Names":["appwe01cch-prod"],"CPUs":"2 @ 2594 MHz","Bitness":"","Physcial Memory":"8191 MB","Virtualization State":"virtual","VM Type":"hyperv","OMS Agent":"43ca1382-2a7c-4971-a968-59d54f03615a"}</t>
  </si>
  <si>
    <t>AZREUAPI01OTR.regus.local</t>
  </si>
  <si>
    <t>[3.35,3.12,3.03,3.05,4.84,2.75,2.98,2.76,2.63,2.96,3.07,4.81,2.39,2.48,2.48,2.54,2.45,2.39,4.02,2.35,2.16,2.16,2.09,2.1,2.13,4.04,2.39,2.34,2.66,2.16]</t>
  </si>
  <si>
    <t>[2.33,2.37,2.36,2.76,2.28,2.38,2.29,2.47,17.05,2.19,2.22,2.16,2.19,2.23,2.21,2.24,2.28,2.3,2.29,2.09,2.08,2.08,2.14,2.1,2.1,2.12,2.1,2.07,0,2.17]</t>
  </si>
  <si>
    <t>[0,3.29,0,2.75,2.66,0,0,0,0,2.67,2.55,13.59,3.21,0,0,3.33,0,2.38,0,2.46,0,0,2.92,3.25,3.55,2.37,2.88,1.55,2.36,1.2]</t>
  </si>
  <si>
    <t>azwedom01.regus.local</t>
  </si>
  <si>
    <t>[2.23,2.69,2.37,2.76,2.77,2.58,2.25,2.34,2.61,3.12,3.46,2.7,2.59,2.28,2.32,2.56,2.74,2.76,2.81,2.72,2.34,2.36,2.73,2.79,2.72,2.81,2.58,2.35,2.62,2.81]</t>
  </si>
  <si>
    <t>appwe03ttn-uat.regus.local</t>
  </si>
  <si>
    <t>[1.91,2.43,2.19,2.38,2.34,2.26,1.81,1.9,2.17,2.75,2.48,2.03,2.43,2.21,1.81,2.21,2.32,2.6,2.86,2.18,2.67,2.13,2.34,2.87,2.7,3.91,2.96,2.46,2.34,2.82]</t>
  </si>
  <si>
    <t>AZREUDEVSLW01.regus.local</t>
  </si>
  <si>
    <t>[2.68,2.74,2.73,2.69,2.7,2.69,2.68,2.63,2.82,2.76,3.58,0,0,0,0,0,0,3.53,1.95,1.92,1.85,1.85,1.9,2.1,2.74,1.94,2.02,2.03,2.1,2.18]</t>
  </si>
  <si>
    <t>[2.01,2.48,2.55,2.43,2.46,2.6,2.16,2.27,2.13,2.54,2.42,2.62,2.42,2.03,2.05,2.03,2.42,2.32,2.38,2.47,1.91,1.93,2.21,2.29,2.3,2.29,2.44,1.9,1.97,2.36]</t>
  </si>
  <si>
    <t>[2.28,2.28,2.31,2.32,2.34,2.27,2.21,2.24,2.25,2.31,2.25,2.24,2.26,2.22,2.22,2.24,2.31,2.31,2.26,2.26,2.26,2.26,2.27,2.26,2.27,2.26,2.24,2.24,2.25,2.3]</t>
  </si>
  <si>
    <t>{"Fully Qualified Domain Name":"iwg-mysql","OS Type":"linux","Operating System":"Linux 5.4.0-1056-azure, Ubuntu 18.04.1 LTS","Ipv4 Addresses":["10.2.0.4"],"Ipv6 Addresses":["fe80::20d:3aff:fe45:a037"],"Mac Addresses":["00:0D:3A:45:A0:37"],"DNS Names":["iwg-mysql"],"CPUs":"2 @ 2594 MHz","Bitness":"","Physcial Memory":"8191 MB","Virtualization State":"virtual","VM Type":"hyperv","OMS Agent":"80d195f1-80aa-4a21-8b0e-99398823dae1"}</t>
  </si>
  <si>
    <t>appwe02win10tst.regus.local</t>
  </si>
  <si>
    <t>[0,0,0,0,1.69,2.11,0,18.62,3.18,0,0,0,0,0,0,0,0,0,0,0,0,0,0,0,0,0,0,0.68,3.31,0]</t>
  </si>
  <si>
    <t>[2.18,2.16,2.14,2.13,2.12,2.38,2.29,1.97,2.08,2.1,2.25,2.28,2.29,2.25,2.27,1.54,2.26,2.28,2.33,2.32,2.28,2.26,2.28,2.29,2.3,2.27,2.28,2.26,2.25,2.29]</t>
  </si>
  <si>
    <t>{"Fully Qualified Domain Name":"dbswe01mysql-uat","OS Type":"linux","Operating System":"Linux 3.10.0-1160.42.2.el7.x86_64, Red Hat Enterprise Linux Server release 7.9 (Maipo)","Ipv4 Addresses":["10.255.178.4","10.255.178.6"],"Ipv6 Addresses":["fe80::20d:3aff:fe2a:31db","fe80::a934:d279:774f:a722"],"Mac Addresses":["00:0D:3A:2A:31:DB","00:0D:3A:2A:39:E0"],"DNS Names":["dbswe01mysql-uat"],"CPUs":"8 @ 2095 MHz","Bitness":"","Physcial Memory":"69120 MB","Virtualization State":"virtual","VM Type":"hyperv","OMS Agent":"27e63f92-355a-46f8-bfe5-f0a1091f3117"}</t>
  </si>
  <si>
    <t>AZREUDEVNPS01.regus.local</t>
  </si>
  <si>
    <t>[2.48,2.24,2.19,2.19,2.2,2.21,2.19,2.22,2.05,2.27,2.31,2.29,2.1,2.02,2.02,2.16,2.17,4.37,2.38,1.84,1.74,1.73,1.88,1.79,1.8,1.8,1.86,1.83,1.84,1.89]</t>
  </si>
  <si>
    <t>appus01snmpprod.regus.local</t>
  </si>
  <si>
    <t>[0.66,0.76,0.66,0.99,1.14,0.96,0.93,0.89,0.93,0.98,1.01,0,0,0,0,0,0,0,0,0.98,0.82,0.82,1.07,1.07,1.03,1.43,3.02,4.45,6.17,14.76]</t>
  </si>
  <si>
    <t>[1.89,1.94,1.93,1.91,1.9,1.85,1.89,1.89,1.91,2.11,2.19,2.16,2.17,2.13,2.12,2.26,2.16,2.17,2.16,2.14,2.11,2.09,2.19,2.12,2.09,2.11,2.12,2.09,2.06,2.12]</t>
  </si>
  <si>
    <t>{"Fully Qualified Domain Name":"appwe01sales-test","OS Type":"linux","Operating System":"Linux 3.10.0-1160.42.2.el7.x86_64, Red Hat Enterprise Linux Server release 7.9 (Maipo)","Ipv4 Addresses":["10.255.174.6"],"Ipv6 Addresses":["fe80::20d:3aff:fe2c:8d20"],"Mac Addresses":["00:0D:3A:2C:8D:20"],"DNS Names":["appwe01sales-test"],"CPUs":"4 @ 2346 MHz","Bitness":"","Physcial Memory":"19456 MB","Virtualization State":"virtual","VM Type":"hyperv","OMS Agent":"4a10f078-cc65-4988-8540-819940e8ee3a"}</t>
  </si>
  <si>
    <t>[0,2.19,2.11,1.9,2.15,2.28,0,0,2.48,1.67,1.84,2.31,1.9,0,0,1.58,0,1.49,1.94,1.6,0,0,2.14,1.65,2.08,2.08,1.95,2.86,3.02,1.98]</t>
  </si>
  <si>
    <t>appwe01snmpprod.regus.local</t>
  </si>
  <si>
    <t>[0.94,1.03,0.77,1.16,1.39,0.97,0.94,0.99,1.66,1.31,1.33,0.93,0.76,0.65,0.73,1.04,0.85,1.08,1.16,1.45,1.13,1.09,1.3,1.33,1.31,1.67,3.17,4.05,6.49,13.71]</t>
  </si>
  <si>
    <t>[1.89,1.95,2.04,1.91,1.9,1.98,1.84,1.88,1.79,2.1,1.94,2.02,1.73,1.74,1.75,1.73,1.81,1.8,1.84,1.88,1.73,1.72,1.78,1.85,1.82,1.79,1.82,1.77,1.79,1.78]</t>
  </si>
  <si>
    <t>appwe01piv-prod.regus.local</t>
  </si>
  <si>
    <t>[1.3,2.01,2.71,3.01,2.92,1.84,1.57,1.44,1.79,1.83,2.07,1.86,1.71,1.58,1.61,1.77,1.77,1.81,1.8,1.69,1.47,1.56,1.82,1.83,1.8,1.76,1.66,1.48,1.54,1.85]</t>
  </si>
  <si>
    <t>[1.12,2.28,2.3,2.28,2.45,1.92,0.89,1.07,2.32,2.38,2.3,2.23,1.92,0.94,1.18,2.25,2.49,2.36,2.38,1.98,0.96,1.2,2.12,2.03,1.91,1.94,1.7,0.88,1.06,1.96]</t>
  </si>
  <si>
    <t>[1.82,1.91,1.87,1.86,1.87,1.83,1.79,1.85,1.86,1.84,1.84,1.86,1.84,1.8,1.82,1.9,1.88,1.81,1.8,1.78,1.66,1.7,1.78,1.79,1.75,1.78,1.88,1.87,1.81,1.81]</t>
  </si>
  <si>
    <t>{"Fully Qualified Domain Name":"appwe01cst-uat","OS Type":"linux","Operating System":"Linux 3.10.0-1062.52.2.el7.x86_64, Red Hat Enterprise Linux Server release 7.7 (Maipo)","Ipv4 Addresses":["10.255.179.18"],"Ipv6 Addresses":["fe80::20d:3aff:feab:4110"],"Mac Addresses":["00:0D:3A:AB:41:10"],"DNS Names":["appwe01cst-uat"],"CPUs":"4 @ 2594 MHz","Bitness":"","Physcial Memory":"19456 MB","Virtualization State":"virtual","VM Type":"hyperv","OMS Agent":"d303afbd-bcb6-4d07-a2a7-d8b5a90bb888"}</t>
  </si>
  <si>
    <t>AZREUUIP02ORC.regus.local</t>
  </si>
  <si>
    <t>[1.58,1.67,1.6,1.66,1.65,1.59,1.61,1.63,1.92,2.01,1.94,1.78,1.78,1.72,1.71,1.81,1.73,3.13,1.82,1.93,1.75,1.78,1.78,1.88,1.88,1.82,1.8,1.71,1.62,1.87]</t>
  </si>
  <si>
    <t>[1.62,1.59,1.58,1.54,1.53,1.52,1.47,1.38,1.5,1.5,1.81,1.92,1.92,1.91,1.88,1.6,1.9,1.93,1.98,1.97,1.94,1.96,1.97,1.93,1.96,1.98,1.93,1.97,1.97,1.97]</t>
  </si>
  <si>
    <t>{"Fully Qualified Domain Name":"dbswe02mysql-uat","OS Type":"linux","Operating System":"Linux 3.10.0-1160.42.2.el7.x86_64, Red Hat Enterprise Linux Server release 7.9 (Maipo)","Ipv4 Addresses":["10.255.178.7","10.255.178.8"],"Ipv6 Addresses":["fe80::20d:3aff:fe2a:353b","fe80::565:2fb5:6d6d:dcb4"],"Mac Addresses":["00:0D:3A:2A:35:3B","00:0D:3A:2A:3E:EC"],"DNS Names":["dbswe02mysql-uat"],"CPUs":"8 @ 2095 MHz","Bitness":"","Physcial Memory":"69120 MB","Virtualization State":"virtual","VM Type":"hyperv","OMS Agent":"4711b2ba-100f-47a0-a900-17d27b3a5e56"}</t>
  </si>
  <si>
    <t>appwe01fin-test.regus.local</t>
  </si>
  <si>
    <t>[1.61,1.73,1.57,1.79,1.74,2,1.8,1.56,1.88,1.98,1.83,1.79,1.8,1.71,1.85,1.78,1.76,1.64,1.35,1.63,1.41,1.57,1.39,3.02,1.72,2.37,1.37,1.73,1.87,1.83]</t>
  </si>
  <si>
    <t>appwe05piv-prod.regus.local</t>
  </si>
  <si>
    <t>[1.38,1.99,1.79,1.72,1.48,1.87,1.26,1.32,1.89,1.95,1.93,1.88,1.79,1.46,1.55,1.83,1.94,1.89,1.91,1.82,1.48,1.53,2,1.98,1.94,1.9,1.8,1.48,1.54,1.99]</t>
  </si>
  <si>
    <t>appwe03piv-prod.regus.local</t>
  </si>
  <si>
    <t>[1.37,1.95,1.84,1.77,1.51,1.9,1.45,1.36,1.97,2.02,2.03,1.98,1.85,1.52,1.59,1.93,2.02,2.05,1.98,1.88,1.31,1.41,1.84,1.85,1.83,1.77,1.65,1.33,1.38,1.82]</t>
  </si>
  <si>
    <t>appwe04piv-prod.regus.local</t>
  </si>
  <si>
    <t>[1.36,1.66,2.47,2.82,2.82,1.6,1.35,1.47,1.7,1.7,1.66,1.65,1.53,1.33,1.41,1.65,1.67,1.7,1.73,1.6,1.36,1.44,1.75,1.73,1.72,1.69,1.57,1.4,1.44,1.81]</t>
  </si>
  <si>
    <t>dbswe01turk-prd.regus.local</t>
  </si>
  <si>
    <t>[1.83,1.82,1.83,1.84,1.83,1.84,1.99,1.8,1.68,1.8,1.97,1.82,1.6,1.6,1.62,1.6,1.58,1.6,1.61,1.6,1.54,1.53,1.53,1.54,1.54,1.61,1.63,1.64,1.63,1.63]</t>
  </si>
  <si>
    <t>dbswe01cch-prod.regus.local</t>
  </si>
  <si>
    <t>[1.78,2.16,1.89,1.82,1.87,1.88,2.02,1.82,1.56,1.99,1.6,1.61,1.6,1.58,1.55,1.57,1.63,1.57,1.57,1.56,1.46,1.45,1.46,1.53,1.57,1.67,1.68,1.63,1.62,1.67]</t>
  </si>
  <si>
    <t>appwe02piv-prod.regus.local</t>
  </si>
  <si>
    <t>[1.11,1.42,2.19,2.49,2.43,1.36,1.12,1.2,1.58,1.61,1.6,1.58,1.48,1.28,1.34,1.59,1.59,1.6,1.63,1.52,1.3,1.37,1.67,1.65,1.64,1.61,1.51,1.35,1.38,1.7]</t>
  </si>
  <si>
    <t>[1.53,1.59,1.61,1.6,1.55,1.62,1.53,1.76,1.54,1.55,1.55,1.54,1.5,1.49,1.53,1.53,1.53,1.51,1.53,1.5,1.53,1.55,1.57,1.57,1.56,1.57,1.55,1.51,1.49,1.5]</t>
  </si>
  <si>
    <t>appwe01dp-test.regus.local</t>
  </si>
  <si>
    <t>[0.14,0.14,0.14,0.14,2.33,2.55,3.61,2.21,2.17,2.12,2.1,1.95,2.16,2.84,1.73,0.8,0.77,0.75,0.73,1.92,2.8,2.32,2.28,1.63,1,0.77,0.68,0.64,0.95,1.67]</t>
  </si>
  <si>
    <t>appwe01samrm.regus.local</t>
  </si>
  <si>
    <t>[1.56,1.6,1.88,1.71,1.73,1.59,1.61,1.44,1.53,1.59,1.69,1.58,1.4,1.33,1.4,1.4,1.39,1.41,1.36,1.37,1.2,1.18,1.29,1.33,1.28,1.43,1.36,1.32,3.25,1.41]</t>
  </si>
  <si>
    <t>appwe01dp-dev.regus.local</t>
  </si>
  <si>
    <t>[1.27,1.31,1.3,1.27,1.31,2.22,1.24,1.31,1.31,1.35,1.32,1.3,2.14,1.34,1.26,1.29,1.29,1.32,1.27,2.09,1.47,1.27,1.3,1.31,1.31,1.31,2.25,1.29,1.97,1.3]</t>
  </si>
  <si>
    <t>azwedom31.asia.regus.local</t>
  </si>
  <si>
    <t>azwedom31.asia</t>
  </si>
  <si>
    <t>[1.49,1.49,1.73,1.6,1.63,2.68,1.21,1.29,1.25,1.51,1.39,1.42,1.26,1.08,1.14,1.42,1.4,1.38,1.31,1.3,1.09,1.12,1.27,1.63,1.32,1.41,1.41,1.24,1.2,1.36]</t>
  </si>
  <si>
    <t>AZREUNPS03ALW.regus.local</t>
  </si>
  <si>
    <t>[1.3,1.37,1.39,1.51,1.4,1.3,1.19,1.44,1.32,1.52,1.57,1.52,1.31,1.08,1.08,1.3,1.33,1.35,1.26,1.18,1.03,1.19,1.39,1.26,2.87,1.17,1.1,0.99,1.15,1.14]</t>
  </si>
  <si>
    <t>AZREUAPI02PRV.regus.local</t>
  </si>
  <si>
    <t>[1.85,1.39,1.35,1.37,2.67,1.21,1.34,1.17,1.12,1.07,1.08,2.33,1.03,1.13,1.05,1.04,1.01,1.05,2.26,1.02,0.93,0.94,0.98,0.95,0.99,2.22,1.08,1.05,1.06,1.04]</t>
  </si>
  <si>
    <t>azwedom21.am-can.regus.local</t>
  </si>
  <si>
    <t>azwedom21</t>
  </si>
  <si>
    <t>[1.16,1.24,1.46,1.31,1.28,1.36,1.35,1.22,1.19,1.23,1.32,1.25,1.25,1.14,1.15,1.27,1.3,1.22,1.18,1.18,1.04,1.04,1.17,1.12,1.55,1.29,1.26,1.17,1.19,1.5]</t>
  </si>
  <si>
    <t>Appwe02baduat.regus.local</t>
  </si>
  <si>
    <t>[0.91,0.98,0.85,0.93,0.98,1.43,1.02,0,1,1.62,1,1.55,1.07,1.16,1.71,1.83,1.2,1.2,1.28,0,0,0,1.33,1.41,1.27,1.18,1.21,0,0,1.66]</t>
  </si>
  <si>
    <t>appwe01per-prod.regus.local</t>
  </si>
  <si>
    <t>[0.14,0.15,0.15,0.14,0.14,0.14,0.14,0.13,0.13,0.12,0.14,0.14,0.15,0.2,0.21,0.21,0.23,0.53,1.08,2.03,0.81,0.93,3.78,0.4,0.83,1.93,4.92,6.05,6.46,4.76]</t>
  </si>
  <si>
    <t>azwedom41.eu-af.regus.local</t>
  </si>
  <si>
    <t>azwedom41.</t>
  </si>
  <si>
    <t>[1.3,1.24,1.28,1.23,1.4,1.21,1.25,1.25,1.24,1.33,1.46,1.39,1.14,1.08,1.08,1.15,1.16,1.18,1.17,1.1,1.03,1.03,1.16,1.16,1.53,1.34,1.33,1.11,1.16,1.3]</t>
  </si>
  <si>
    <t>dbswe02sql-prod.regus.local</t>
  </si>
  <si>
    <t>[1.29,0.53,0.57,0.56,0.62,0.63,2.51,1.1,1.55,1.1,1.12,1.14,1.11,2.85,0.93,0.94,0.92,1.07,1.16,0.98,2.85,0.97,1.05,1.08,1.01,0.94,0.98,2.9,0.98,0.93]</t>
  </si>
  <si>
    <t>[1.08,1.09,1.11,1.07,1.07,1.06,1.06,1.06,1.06,1.05,1.22,1.18,1.19,1.19,1.17,1.21,1.2,1.21,1.2,1.18,1.18,1.17,1.24,1.19,1.2,1.19,1.17,1.18,1.18,1.19]</t>
  </si>
  <si>
    <t>{"Fully Qualified Domain Name":"dbswe01mysql-test","OS Type":"linux","Operating System":"Linux 3.10.0-1160.42.2.el7.x86_64, Red Hat Enterprise Linux Server release 7.9 (Maipo)","Ipv4 Addresses":["10.255.173.4"],"Ipv6 Addresses":["fe80::20d:3aff:feaa:5e6"],"Mac Addresses":["00:0D:3A:AA:05:E6"],"DNS Names":["dbswe01mysql-test"],"CPUs":"8 @ 2594 MHz","Bitness":"","Physcial Memory":"69120 MB","Virtualization State":"virtual","VM Type":"hyperv","OMS Agent":"7fa4e223-0ee2-442a-b56b-eb7362cb43ed"}</t>
  </si>
  <si>
    <t>dbsne03ttn-dr.regus.local</t>
  </si>
  <si>
    <t>[0.75,0.98,0.89,0.93,0.91,0.88,2.63,0.89,0.94,1.03,0.99,0.94,0.91,2.76,0.77,0.86,0.91,0.99,1.03,0.97,2.67,0.74,1.01,0.98,0.92,0.91,0.88,2.71,0.71,0.99]</t>
  </si>
  <si>
    <t>appwe01turk-uat.regus.local</t>
  </si>
  <si>
    <t>[1.43,1.34,1.39,1.5,1.49,1.46,1.37,1.28,1.18,1.5,1.5,1.49,1.31,0.98,0.95,0.99,0.99,0.91,0.86,0.81,0.72,0.67,0.67,0.7,0.74,0.77,0.87,0.89,22.04,0]</t>
  </si>
  <si>
    <t>[1.12,1.15,1.16,1.16,1.15,1.12,1.11,1.12,1.13,1.14,1.12,1.13,1.13,1.13,1.14,1.12,1.12,1.14,1.14,1.14,1.12,1.11,1.13,1.13,1.14,1.15,1.14,1.07,1.09,1.11]</t>
  </si>
  <si>
    <t>appwe01turk-prd.regus.local</t>
  </si>
  <si>
    <t>[1.19,1.18,1.19,1.2,1.18,1.19,1.14,1.06,1.06,1.08,1.14,1.09,1.1,1.1,1.11,1.08,1.09,1.11,1.12,1.09,1.09,1.1,1.1,1.1,1.13,1.11,1.1,1.11,1.12,1.13]</t>
  </si>
  <si>
    <t>AZR80DBS01POL.regus.local</t>
  </si>
  <si>
    <t>[0.61,1.57,1.18,0.61,0.62,0.91,0.71,0.71,0.81,0.8,0.73,0.87,0.78,0.63,0.64,1.12,2.75,1.2,4.02,0.71,0.57,0.55,1.88,1.85,2.12,0.72,0.86,0.61,0.68,0.72]</t>
  </si>
  <si>
    <t>appwe02mgt-prod.regus.local</t>
  </si>
  <si>
    <t>[1.08,1.02,1.03,1.02,1.08,1.05,1.06,0.99,0.97,0.99,1.03,1.03,0.85,0.96,0.98,1.32,1.06,1.09,1.1,1.13,1.11,1.22,1.19,1.16,1.17,1.21,1.15,1.14,1.13,1.16]</t>
  </si>
  <si>
    <t>[0.88,1.17,1.26,1.16,1.1,1.12,0.82,0.81,1.11,1.16,1.15,1.13,1.06,0.85,0.88,1.1,1.14,1.17,1.14,1.06,0.85,0.9,1.18,1.17,1.15,1.13,1.11,0.85,0.85,1.16]</t>
  </si>
  <si>
    <t>{"Fully Qualified Domain Name":"appwe01sales-prod","OS Type":"linux","Operating System":"Linux 3.10.0-1160.42.2.el7.x86_64, Red Hat Enterprise Linux Server release 7.9 (Maipo)","Ipv4 Addresses":["10.255.186.13"],"Ipv6 Addresses":["fe80::20d:3aff:feab:a628"],"Mac Addresses":["00:0D:3A:AB:A6:28"],"DNS Names":["appwe01sales-prod"],"CPUs":"16 @ 2346 MHz","Bitness":"","Physcial Memory":"69120 MB","Virtualization State":"virtual","VM Type":"hyperv","OMS Agent":"85668594-bcb3-401a-9dfe-44d5b9a6b0e2"}</t>
  </si>
  <si>
    <t>appwe01canon-prod.regus.local</t>
  </si>
  <si>
    <t>[0.86,1.04,1.04,1.03,1.04,1,0.85,0.86,0.87,1.01,1.44,1.23,1.12,0.86,0.89,1.11,1.13,1.2,1.2,1.06,0.8,0.81,1.07,1.07,1.65,0,0,0,0,0]</t>
  </si>
  <si>
    <t>{"Fully Qualified Domain Name":"appwe01canon-prod.regus.local","OS Type":"windows","Operating System":"Windows Server 2016 Version 1607 build 14393","Ipv4 Addresses":["10.255.183.23"],"Ipv6 Addresses":["fe80::6551:8168:c064:f69a"],"Mac Addresses":["00:0D:3A:2B:EB:FC"],"DNS Names":["appwe01canon-prod"],"CPUs":"4 @ 2594 MHz","Bitness":"","Physcial Memory":"16383 MB","Virtualization State":"virtual","VM Type":"hyperv","OMS Agent":"3b158c57-75e3-431b-8b6a-8c1cc1ca68af"}</t>
  </si>
  <si>
    <t>appwe01dp-prod.regus.local</t>
  </si>
  <si>
    <t>[6.95,1.29,0.15,1.36,1.54,1.59,0.78,0.8,0.79,0.8,0.79,0.79,1.16,0.75,0.74,0.76,0.76,0.77,0.74,0.96,0.64,0.54,0.56,0.47,0.4,0.37,0.42,0.4,1.24,1.83]</t>
  </si>
  <si>
    <t>azwedom11.uk-eire.regus.local</t>
  </si>
  <si>
    <t>azwedom11.uk-eire</t>
  </si>
  <si>
    <t>[0.91,0.96,0.88,0.98,0.9,0.98,1.08,1.1,1,0.92,0.95,0.94,0.9,0.87,0.96,0.93,1.04,1.07,1.09,0.94,0.87,0.88,1.01,0.97,1.37,0.98,1.06,1.01,1.03,1.25]</t>
  </si>
  <si>
    <t>appwe01snow-uat.regus.local</t>
  </si>
  <si>
    <t>[0.29,0.31,0.32,0.51,0.58,0.41,0.36,0.36,0.65,0.76,1.03,1,1.11,1.19,1.13,1.15,1.23,1.18,1.33,1.33,1.17,1.18,1.2,1.22,1.2,1.22,1.2,1.2,1.2,1.21]</t>
  </si>
  <si>
    <t>[0.76,0.96,0.98,0.96,0.96,0.93,0.72,0.69,0.93,0.96,0.96,0.93,0.89,0.83,0.91,0.94,0.98,0.99,0.97,0.93,0.74,0.79,1,0.98,0.97,0.97,0.95,0.76,0.75,0.99]</t>
  </si>
  <si>
    <t>appwe01adm-prod.regus.local</t>
  </si>
  <si>
    <t>[0.79,0.87,0.71,0.81,0.85,0.75,0.72,0.9,0.7,0.74,0.73,0.76,0.75,0.69,0.7,0.67,0.84,0.84,0.78,0.73,0.58,0.61,0.7,0.81,0.97,1.39,0.7,0.86,1.5,1.74]</t>
  </si>
  <si>
    <t>[0.69,0.91,0.67,0.7,0.7,0.68,0.68,0.65,0.69,0.69,0.69,0.69,0.61,0.6,0.59,0.6,0.6,0.61,0.61,0.6,0.61,0.6,0.6,0.6,1.34,0.71,0.72,0.69,0.66,1.98]</t>
  </si>
  <si>
    <t>appea01snmpprod.regus.local</t>
  </si>
  <si>
    <t>[0.69,0.69,0.69,0.74,0.7,0.69,0.69,0.71,0.71,0.73,0.73,0.7,0.59,0.56,0.56,0.59,0.57,0.56,0.59,0.56,0.55,0.57,0.59,0.59,0.59,0.6,0.61,0.78,1.07,2.51]</t>
  </si>
  <si>
    <t>[0.52,0.65,0.65,0.62,0.67,0.66,0.6,0.53,0.75,0.72,0.82,0.72,0.7,0.6,0.51,0.61,0.66,0.74,0.66,0.58,0.46,0.49,0.63,0.63,0.61,0.59,0.6,0.46,0.48,0.62]</t>
  </si>
  <si>
    <t>[0.57,0.56,0.56,0.56,0.56,0.56,0.55,0.56,0.56,0.56,0.57,0.57,0.56,0.56,0.56,0.57,0.56,0.57,0.57,0.56,0.56,0.56,0.56,0.56,0.57,0.57,0.57,0.55,0.56,0.56]</t>
  </si>
  <si>
    <t>{"Fully Qualified Domain Name":"dbsne01cst-dr","OS Type":"linux","Operating System":"Linux 3.10.0-1160.42.2.el7.x86_64, Red Hat Enterprise Linux Server release 7.9 (Maipo)","Ipv4 Addresses":["10.255.170.14"],"Ipv6 Addresses":["fe80::20d:3aff:fe65:8177"],"Mac Addresses":["00:0D:3A:65:81:77"],"DNS Names":["dbsne01cst-dr"],"CPUs":"16 @ 2295 MHz","Bitness":"","Physcial Memory":"134656 MB","Virtualization State":"virtual","VM Type":"hyperv","OMS Agent":"2c89875d-6441-4636-bc8e-82d314dc9a06"}</t>
  </si>
  <si>
    <t>solrvmpoc0.regus.local</t>
  </si>
  <si>
    <t>solrvmpoc0</t>
  </si>
  <si>
    <t>[0.47,0.47,0.48,0.48,0.49,0.51,0.53,0.52,0.53,0.53,0.53,0.53,0.54,0.57,0.57,0.59,0.55,0.56,0.57,0.56,0.56,0.56,0.57,0.55,0.57,0.57,0.57,0.58,0.58,0.57]</t>
  </si>
  <si>
    <t>[0.32,0.5,0.52,0.54,0.52,0.52,0.5,0.49,0.51,0.56,0.54,0.51,0.52,0.51,0.51,0.52,0.52,0.54,0.53,0.52,0.49,0.5,0.53,0.52,0.54,0.53,0.52,0.48,0.49,0.52]</t>
  </si>
  <si>
    <t>{"Fully Qualified Domain Name":"dbswe01cst-prod","OS Type":"linux","Operating System":"Linux 3.10.0-1160.42.2.el7.x86_64, Red Hat Enterprise Linux Server release 7.9 (Maipo)","Ipv4 Addresses":["10.255.187.14"],"Ipv6 Addresses":["fe80::20d:3aff:feaa:c51a"],"Mac Addresses":["00:0D:3A:AA:C5:1A"],"DNS Names":["dbswe01cst-prod"],"CPUs":"32 @ 2295 MHz","Bitness":"","Physcial Memory":"265730 MB","Virtualization State":"virtual","VM Type":"hyperv","OMS Agent":"3cec3cba-3c0a-4600-9d29-a2e19227bf4c"}</t>
  </si>
  <si>
    <t>solrvmuat0</t>
  </si>
  <si>
    <t>[0.42,0.44,0.41,0.42,0.42,0.41,0.39,0.38,0.41,0.4,0.42,0.41,0.44,0.43,0.44,0.43,0.45,0.44,0.46,0.43,0.44,0.43,0.44,0.42,0.43,0.44,0.44,0.41,0.79,0.44]</t>
  </si>
  <si>
    <t>appne01snow-uat.regus.local</t>
  </si>
  <si>
    <t>[0,0,0,0,0,0,0,0,0,0,0,0.31,0.35,0.35,0.35,0.35,0.37,0.37,0.39,0.51,0.37,0.36,0.4,0.76,0.5,0.44,0.45,0.41,0.41,0.4]</t>
  </si>
  <si>
    <t>[0.36,0.45,0.46,0.44,0.44,0.42,0.32,0.32,0.43,0.44,0.43,0.42,0.4,0.33,0.34,0.43,0.45,0.45,0.44,0.42,0.32,0.35,0.45,0.45,0.44,0.43,0.44,0.34,0.34,0.43]</t>
  </si>
  <si>
    <t>{"Fully Qualified Domain Name":"dbswe02mysql-prod","OS Type":"linux","Operating System":"Linux 3.10.0-1160.42.2.el7.x86_64, Red Hat Enterprise Linux Server release 7.9 (Maipo)","Ipv4 Addresses":["10.255.187.7","10.255.187.8"],"Ipv6 Addresses":["fe80::20d:3aff:fe4a:d3a","fe80::b6bb:8f29:7be2:b819"],"Mac Addresses":["00:0D:3A:4A:03:DC","00:0D:3A:4A:0D:3A"],"DNS Names":["dbswe02mysql-prod"],"CPUs":"32 @ 2694 MHz","Bitness":"","Physcial Memory":"69120 MB","Virtualization State":"virtual","VM Type":"hyperv","OMS Agent":"6b1b4071-04b5-4288-926a-16a6fd3baf23"}</t>
  </si>
  <si>
    <t>appwe01dp-uat.regus.local</t>
  </si>
  <si>
    <t>[0.42,0.42,0.43,0.43,0.41,0.42,0.41,0.42,0.42,0.42,0.42,0.43,0.4,0.34,0.34,0.35,0.34,0.32,0.32,0.33,0.32,0.32,0.31,0.31,0.31,0.3,0.31,0.31,0.55,0.31]</t>
  </si>
  <si>
    <t>solrvmtest0</t>
  </si>
  <si>
    <t>[0.28,0.29,0.29,0.29,0.29,0.29,0.28,0.29,0.28,0.29,0.29,0.29,0.29,0.29,0.28,0.29,0.29,0.29,0.28,0.28,0.28,0.29,0.28,0.29,0.29,0.29,0.3,0.29,0.33,0.29]</t>
  </si>
  <si>
    <t>[247356.54,245229.45,232255.31,232188.12,232119.91,232061.83,231994.03,231896.88,231798.89,231720.74,231661.39,231629.95,231596.46,231561.9,231533.82,231498.01,231463.09,231446.89,231392.14,231372.26,231348.05,231325.22,231309.25,231279.62,231253.56,231217.35,231513,238721.72,232313.79,232269.33]</t>
  </si>
  <si>
    <t>[227928.54,227198.43,226860.63,226619.73,226453.84,226007.88,225776.95,225337.48,225047.21,224766.72,224279.94,224069.71,224039.73,223909.1,223813.4,223696.35,223291.48,223066.65,222920.68,222807.31,222482.03,222261.12,222027.99,221915.91,221774.34,221683.54,221977.98,231896.19,227554.61,226713.7]</t>
  </si>
  <si>
    <t>[105381.62,105326.84,105285.56,105234.85,105182.02,105148.79,105111.25,105069.09,105037.1,104989.21,104952.98,104915.33,104880.46,104848.87,104805.41,104775.46,104742.15,104710.37,104674.02,104638.8,104617.8,104570.52,104533.82,104505.38,104453.83,104424.54,104720.84,123962.85,123816.08,123717.36]</t>
  </si>
  <si>
    <t>[113840,105894.16,105223.44,104244.51,104448.9,106548.95,112727.3,112597.27,105557.31,103425.68,103380.88,103409.44,104909.73,111059.83,109921.29,104556.2,102233.53,101779.1,101595.96,104025.6,110152.54,108657.12,100566.73,99952.14,100299.85,99878.3,92755.84,122208.23,121033.42,101574.94]</t>
  </si>
  <si>
    <t>[26243.02,15696.24,17342.99,14394.1,16354.04,19412.33,21059.35,33943.41,119492.34,104530.7,102353.61,87105.11,92218.62,104258.77,92938.43,104030.26,104976.24,102454.76,99599.31,97842.12,99769.66,102589.12,100470.78,98447.76,101456.76,95702.17,95274.27,100887.18,100604.28,97621.9]</t>
  </si>
  <si>
    <t>[123677.77,71048.77,60901.41,61214.94,61070.76,60895.45,60756.77,60741.99,60673.84,60673.79,60659.01,60643.63,60599.05,60623.76,60611.49,60571.1,60618.07,60569,60659.43,60543.75,60594.48,60574.83,60544.97,60516.29,60449.72,60481.57,60462.21,60426.85,60547.39,60617.31]</t>
  </si>
  <si>
    <t>[62526.72,62462.69,62416.78,62374.54,62333.26,62297.15,62252.2,62206.83,62179.36,62139.96,62106.64,62066.61,62032.57,62000.18,61964.8,61929.47,61883.52,61856.13,61830.03,61789.03,61760.75,61721.58,61692.68,61655.16,61621.65,61587.88,61547.65,62606.61,62472.01,62374.86]</t>
  </si>
  <si>
    <t>[61253.73,61229,61197.06,61170.44,61149.07,61116.6,61084.61,61028.54,61006.48,60978.83,60948.97,60919.33,60898.9,60902.01,60895.67,60860.26,60767.52,60732.08,60711.63,60692.83,61574.86,61495.89,61478.78,61442.62,61345.34,61359.69,61328.49,61280.4,61247.65,61209.23]</t>
  </si>
  <si>
    <t>[59010.77,58772.86,58742.54,58697.83,58578.31,58616.53,58331.33,55799.71,58928.65,58844.72,58707.58,58686.49,58700.77,58640.35,58695.34,58554.39,58568.86,58472.35,58448.5,58383.01,58472.33,58393.72,58248.02,58242.81,58166.59,58067.65,58064.76,59348.96,58981.78,58747.56]</t>
  </si>
  <si>
    <t>[61252.37,61142.39,61022.88,58239.66,57572.55,57467.39,57354.58,57214.56,57138.43,57044.12,56925.8,56812.84,56713.75,56634.44,56535.59,56432.72,56329.92,56230.4,56136.45,56047.32,55958.2,55853.43,55740.19,55644.82,55544.65,55441.17,55352.57,61300.25,61317.88,61141.86]</t>
  </si>
  <si>
    <t>[112550.35,131665.39,131510.93,131273.88,130490.18,130166.08,90272.04,14362.42,13773.01,14261.06,14247.28,14195.96,14156.11,13870.46,13673.37,13723.01,13733.69,13743.91,13823.27,13801.64,13570.84,13381.94,13366.67,13444.29,13468.7,13493.2,13443.5,13076.96,12986.65,12998.49]</t>
  </si>
  <si>
    <t>[38001.57,37954.89,37902.41,37877.31,37847.46,37824.15,37797.04,37755.91,37740.9,37721.2,37696.05,37657.09,37644.82,37598.38,37591.19,37565.84,37502.51,37466.95,37438.02,37419.98,37375.11,37365.51,37346.11,37358.55,37326.77,37301.2,37275.73,43765.9,37828.12,37784.23]</t>
  </si>
  <si>
    <t>[35025.15,34984.94,34960.19,34935.87,34912.33,34887.66,34849.38,34801.34,34776.75,34717.76,34646.07,34621.25,34600.52,34568.59,34538.03,34500.03,34484.3,34470.72,34445.6,34417.96,52612.96,39735.75,35235.71,35163.07,35106.17,35062.73,35029.34,34971.83,34937.8,34857.22]</t>
  </si>
  <si>
    <t>[36711.15,35133.02,34882.26,34776.66,34684.53,34608.75,34528.21,34425.79,34331.77,34264.87,34212.27,34150.16,34100.86,34066.7,34017.5,33938.72,33904.61,33837.76,33790.24,33729.68,33708.56,33660.59,33574.61,33537.6,33491.48,33443.02,33412.87,40449.74,36696.61,35097.54]</t>
  </si>
  <si>
    <t>[33205.15,33197.59,33190.29,33160.87,33102.87,33056.81,33013.1,32988.84,32958.98,32918.75,32866.92,32845.98,32785.98,32734.61,32703.54,32658.48,32590.58,32561.91,32529.04,32520.35,50154.51,37035.51,35438.29,35216.5,35199.15,35173.35,35148.47,35104.68,35079.18,35034.48]</t>
  </si>
  <si>
    <t>[30111.49,30074.1,30112.84,30093.98,30042.54,30081.55,30119.55,30076.03,30105.55,30111.28,30079.26,30048.02,30121.6,30101.13,30094.25,30107.89,30097.99,30109.23,0,0,0,0,0,0,0,0,30075.4,30032,30128.79,30049.24]</t>
  </si>
  <si>
    <t>[29661.41,29612.65,29566.8,29521.57,29498.79,29484.11,29480.19,29440.49,29440.05,29440.33,29411.02,29397.51,29377.24,29367.66,29375.04,29374.38,29368.21,29409.26,29497.62,29446.84,29438.25,29424.89,29405.46,29394.81,29361.7,29370.13,29342.05,29348.81,30047.54,30005.53]</t>
  </si>
  <si>
    <t>[29353.59,29316.98,29274.38,29237.28,29204.24,29159.88,29117.76,29072.01,29055.79,29018.27,29002.14,28972.06,28808.87,28748.73,28618.43,28589.65,28578.61,28546.87,28520.34,28495.08,28467.22,28443.85,28415.08,28388.26,28361.75,28327.05,28299.64,29203.72,29164.79,29134.35]</t>
  </si>
  <si>
    <t>[28922.9,28923.81,28940.16,28921.69,28854.83,28748.82,28824.24,28817.55,28802.71,28836.22,28823.4,28822.32,28743.43,28804.11,28823.87,28808.43,28829.29,28829.68,28815.46,28735.83,28768.1,28753.43,28740.27,28743.63,28729.56,28731.06,28657.31,28711.95,29178.84,29221.8]</t>
  </si>
  <si>
    <t>[28667.69,28655.87,28643.38,28650.58,28959.19,28978.98,28902.34,28944.4,28969.95,28955.58,28954.13,28936.34,28931.97,28880.63,28899.04,28832.1,28821.76,28805.44,28838.91,28936.54,28875.98,28937.9,28925.33,28855.96,28729.91,28685.47,28655.51,28621.66,28722.28,28639.5]</t>
  </si>
  <si>
    <t>[28374.91,27732.08,27508.14,27663.36,27675.72,27547.62,27940.25,27864.9,27392.08,27502.28,27372.6,27441.13,27128.69,27484.88,27535.83,27199.2,26938.89,27015.23,27125.73,27128.69,27538.22,27510.63,27128.9,27131.87,27049.99,26495.4,27061.35,27443.74,27318.59,26983.58]</t>
  </si>
  <si>
    <t>[83051.92,80802.23,80314.79,79897.76,79974.91,79879.36,69515.43,6097.64,6078.46,6479.5,6347.31,6251.36,6056.64,6096.69,6049.84,6137.24,6087.66,6082.23,6154.49,6111.19,6073.01,6020.11,6090.33,6258.12,6097.04,6125.76,6152.89,6035.49,6173.26,6117.49]</t>
  </si>
  <si>
    <t>[92191.86,79328.46,75576.16,65836.72,60592.49,57829.73,41585.35,11716.74,10506.83,10088.14,9580.28,8783.27,8371.16,7953.85,7727.8,7431.19,7402.19,7330.16,7395.78,7375.82,7376.58,7394.54,7395.56,7435.45,7417.69,7368.31,7380.37,7303.75,7260.99,7279.72]</t>
  </si>
  <si>
    <t>[22778.48,22571.44,22448,22202.55,21892.81,21666.63,21694.62,21374.6,21089.33,21139.83,20886.45,20910.68,20837.85,20705.03,20243.75,20402.26,20473.2,20362.94,20438.87,20398.24,20435.08,20249.64,20245.5,19980.38,19877.79,19858.63,19862.15,19896.33,19809.62,19610.49]</t>
  </si>
  <si>
    <t>[29784.08,29768.83,29743.33,29661.35,29632.09,29617.66,29592.24,29547.44,29545.23,29588.83,29539.34,29556.08,29499.53,29450.33,29429,29424.83,29411.82,26936.86,27950.65,5486.67,1155.25,1841.35,2338.98,1542.45,1247.44,5226.66,2205.29,1197.6,1127.68,1655.97]</t>
  </si>
  <si>
    <t>[93562.61,110898.67,104585.69,86388.17,5966.24,5972.3,5986.36,5967.18,5977.05,6026.37,5983.15,5956.67,5997.16,5966.45,5994.87,5963.99,5993.91,5986.89,5939.99,5990.19,5946.16,6055.98,5934.71,5944.86,5960,5894.82,5960.08,5941.48,5964.4,5971.14]</t>
  </si>
  <si>
    <t>[16296.34,16252.22,16224.67,16229.66,16205.21,16372.17,16238.38,16232.41,16064.49,16186.4,16087.48,16040.9,15992.7,16079.62,16117.12,16059.75,16032.69,16162.03,16028.62,15975.32,16132.99,16000.32,15904.75,16068.73,15893.58,16029.3,16013.05,15969.92,15846.91,15834.7]</t>
  </si>
  <si>
    <t>[14564.92,14457.9,14447.42,14434.81,14430.11,14424.87,14420.41,14413.39,14406.91,14401.09,14397.64,14390.61,14384.65,14382.75,14378.06,14370.49,14367.86,14334.75,14318.36,14330.62,14328.04,14325.53,14320.81,14319.57,14312.71,14305.09,14307.04,14656.29,14587.41,14540.27]</t>
  </si>
  <si>
    <t>[14569.5,14530.54,14495.71,14457.01,14429.81,14376.97,14342.24,14294.28,14102.98,13973.18,13861.58,13802.68,13778.31,13845.82,14217.73,14185.46,14180.69,14173.54,14154.28,14110.52,14940.27,14855.7,14782.23,14666.41,14520.28,14464.21,14412.64,14416.42,14544.49,14492.13]</t>
  </si>
  <si>
    <t>[14509.43,14459.97,14371.93,14352.19,14321.76,14303.86,14281.24,14291.33,14255.66,14289.04,14256.53,14264.57,14241.96,14244.51,14213.39,14180.22,14167.5,14214.51,14197.64,14173.37,14163.47,14155.1,14125.74,14111.77,14092.15,14100.72,14087.24,14097.82,14069.49,14074.27]</t>
  </si>
  <si>
    <t>[0,0,0,0,0,0,0,0,0,0,0,0,0,0,0,0,0,0,0,0,0,0,0,0,0,0,14095.23,14102.18,14094.51,13950.04]</t>
  </si>
  <si>
    <t>[13936.08,13895.89,13878,13880.05,13883.43,13844.98,13818.91,13812.13,13816.64,13820.47,13823.71,13810.14,13788.13,13757.27,13753.21,13744.02,13739.11,13752.09,13730.02,13689.41,13698.19,13702.52,13696.37,13663.18,13677.61,13683.4,13669.7,13640.43,14325.51,14272.55]</t>
  </si>
  <si>
    <t>[0,0,0,0,0,0,0,0,0,0,0,13592.08,13484.81,13443.11,13412.74,13379.44,13152.82,13070.86,14101.44,13248.85,13207.8,13183.76,13247.11,13137.04,12987.79,12934.88,13532.82,14008.42,13949.95,13917.17]</t>
  </si>
  <si>
    <t>[13373.8,13341.21,13336.03,13313.9,13309.5,13399.73,13342.52,13358.42,13340.4,13339.7,13354.64,13279.21,13309.8,13294.17,13291.84,13279.09,13264.25,13345.85,13386.4,13392.39,13368.93,13330.21,13335.75,13300.47,13317.22,14002.24,13912.92,13820.73,13786.2,13583.26]</t>
  </si>
  <si>
    <t>[13762.78,13763.97,13921.22,13958.9,13490.99,13520.17,13499.09,13436.33,13389.6,13409.56,13361.45,13240.55,13234.57,13245.21,13249.51,13199.25,13215.05,13363.88,13161.01,13150.16,13182.12,13198.86,13219.38,13301.97,13499.63,13094.16,13176.18,13249.6,13169.73,13432.36]</t>
  </si>
  <si>
    <t>[13748.15,13609.7,13460.5,13331.11,13248.24,13193.42,13299.95,13554.27,13518.51,13483.93,13447.88,13415.46,13387.87,13250.18,13265.58,12876.34,12466.14,12277.2,12032.94,11948.23,13877.91,13440.15,13392.7,13284.26,13181.29,13132.13,13137.51,13249.83,13504.86,13316.72]</t>
  </si>
  <si>
    <t>[13873.8,13827.35,13778.22,13746.69,13715.34,13682.4,13673.75,13660.37,13592.49,13622.24,12694.57,12634.11,12557.65,12561.76,12588.55,12505.97,12502.98,12522.19,12753.58,12713.82,12720.14,12698.44,12663.96,12657.24,12249.93,13555.39,13531.12,13517.73,13485.2,13421.82]</t>
  </si>
  <si>
    <t>[13310.58,13270.38,13246.88,13232.2,13131.75,13131.17,13087.26,13086.29,13068.62,13071.9,13052.83,13004.18,12984.02,12989.44,12961.22,12971.25,12952.31,12954.74,12917.32,12936.69,12929.07,12925.56,12905.65,12903.71,12882.44,12787.07,12764.06,12780.38,12761.49,12814.07]</t>
  </si>
  <si>
    <t>[13216.59,13183.24,13132.93,13112.76,13095.98,13058.37,13039.8,13034.02,13014.67,12996.74,12988.85,12975.04,12978.15,12933.83,12913.54,12897.98,12958.29,12904.29,12997.11,12977.57,12961.7,12970.66,12950.52,12936.04,12930.51,12902.62,12881.96,12876.83,12717.24,12715.82]</t>
  </si>
  <si>
    <t>[13455.22,13341.57,13202.74,13095.36,13036.27,12976.16,13003.87,12916.74,12749.83,12571.7,12396.08,12108.52,11985.98,12074.66,12877.03,12748.49,12698.31,13374.4,13087,13071.63,13688.34,13325.64,13300.09,13000.23,12747.48,12673.42,12613.24,12737.49,13275.21,12942.29]</t>
  </si>
  <si>
    <t>[13310.6,13124.99,13048.29,13064.27,13056.26,12964.21,12906.21,12899.67,12796.49,12808.58,12722.64,12741.56,12696.88,12704.16,12735.26,12680.46,12783.74,12602.42,12425.12,12411.9,12552.39,12580.46,12519.98,12466.05,12059.23,13555.84,13456.69,13431.02,13408.46,13367.41]</t>
  </si>
  <si>
    <t>[13503.72,13479.96,13434.52,13437.15,13020.56,12839.58,12802.54,12725.37,12650.37,12619.33,12624.34,12500.67,12507,12490,12534.86,12462.24,12501.43,12571.75,12429.12,12473.83,12488.15,12461.99,12446.92,12551.86,12511.95,12305.04,12304.99,12314.64,14144.97,13811.86]</t>
  </si>
  <si>
    <t>[11740.54,10723.16,11067.3,10989.06,10892.91,11247.16,11066.14,11017.42,11051.88,10843.4,10040.7,11573.42,17648.95,14082.71,14167.72,13682.12,13332.89,13532.91,13541.35,13285.29,13410.89,13787.6,13314.98,13197.12,13083.72,12674.14,12898.92,13115.17,13410.35,12803.8]</t>
  </si>
  <si>
    <t>[13539.15,13356.55,13250.36,13189.24,13119.18,13058.21,13079.81,13212.09,13109.96,12957.29,12408.96,11823.74,11632.33,11679.34,12681.28,12035.59,11975.66,12418.05,11999.03,11745.82,13613.02,13335.2,12410.54,11896.19,11668.43,11532.88,11473.83,11780.14,13207.21,12816.93]</t>
  </si>
  <si>
    <t>[13563.49,15006.68,13294.01,13108.99,13008.35,13021.61,12971.59,12770.64,12552.46,12681.7,12714.43,12424.67,12400.84,12411.9,12394.75,12322.03,12186.54,12165.66,12012.28,11961.94,11864.26,11844.07,11838.09,11648.03,11888.12,11691.58,11564.76,11574.45,11543.29,11435.44]</t>
  </si>
  <si>
    <t>[14412.63,13483.03,12906.33,12610.42,12544.38,12442.81,12343.01,12232.89,12141.57,11835.35,11832.07,11781.14,11760.21,11719.01,11717.59,11908.55,14101.98,13370.36,12750.9,12429.97,12305.28,12257.42,12168.52,12042,11970.89,11933.02,11969,11991.47,11984.09,11935.79]</t>
  </si>
  <si>
    <t>[13668.49,13492.3,13396.88,13292.16,13243.4,13191.7,13156.69,13111.59,13013.22,12926.95,12943.92,12977.13,12941.08,12917.33,12857.93,12813.21,12731.52,11702.11,9582,10047.24,10527.59,10575.78,9719.04,9522.84,9706.22,0,0,0,0,13901.74]</t>
  </si>
  <si>
    <t>[17612.65,10714.56,10924.48,10731.07,12534.66,7683.49,6078.53,9047.74,13183.41,15009.83,10051.43,7333.14,5402.38,6691.32,6216.29,14836.17,11500.03,10038.03,15095.93,10307.66,13951.59,18776.83,17049.46,16080.05,11521.29,13979.62,12325.73,14122.48,17811.23,16197.01]</t>
  </si>
  <si>
    <t>[11978.84,11931.56,11921.75,11911.34,11906,11982.92,11982.23,11982.24,11986.22,11981.53,11972.21,11974.18,11970.52,11951.62,11954.38,11945.42,11931.54,11943.96,12002.83,12000.79,12027.41,12053.12,12010.69,11962.15,11244.67,12422.57,12372.94,12350.79,12335.94,12309.26]</t>
  </si>
  <si>
    <t>[12707.57,12530.51,12442.79,12311.59,12313.35,12288.35,12274.47,12217.02,8934.08,12132.79,12144.16,12090.57,12060.85,12056.35,12044.63,11992.28,11985.57,11807.64,11851.96,11839.92,11810.7,11785.12,11661.1,11679.62,11690.1,11591.87,11651.29,12701.37,0,12480.47]</t>
  </si>
  <si>
    <t>[11795,11731.82,11694.83,11866.88,12035.52,12033.93,11988.32,11910.98,11899.73,11909.1,11844.24,11815.61,11790.73,11763.03,11770.86,11824.12,11868.55,11871.09,11218.39,11906.8,12038.36,12013.98,12024.89,11994.77,11995.59,12018.64,11931.63,11857.46,11919.99,11680.17]</t>
  </si>
  <si>
    <t>[12819,12640.69,12585.62,12383.24,12373.41,12315.4,12280.96,12237.08,12148.3,12015.34,11965.16,11937.65,11883.07,11879.8,11842.85,11837.95,11802.82,11339.43,11312.26,11243.88,11217.49,11212.22,11180.06,11154.56,11146.27,11043.23,11137.89,12635.29,0,12500.09]</t>
  </si>
  <si>
    <t>[13763.37,13727.94,13709.23,12571.82,12134.8,12093.97,12223.87,12166.34,11688.28,11823.76,11471.78,11454.11,11444.4,11470.38,11453.17,11426.08,11424.25,11151.68,11152.5,11175.93,11226.35,11234.91,11205.32,11330.45,11330.09,11348.33,11305.67,11300.21,11281.15,11279.43]</t>
  </si>
  <si>
    <t>[12878.28,12459.33,12306.97,12270.09,10575.11,10292.88,11147.49,11759.63,11721.1,11760.99,11726.26,11634.16,11730.58,11778.73,11788.82,11776.84,11764.81,11686.11,11253.33,10942.75,10897.47,11030.64,10995.57,11035.2,11131.25,11039.31,11060.57,11019.23,11009.55,11923.25]</t>
  </si>
  <si>
    <t>[11824.27,11792.89,11695.8,11644.83,11677.77,11565.26,11496.86,11473.3,11460.3,11433.3,11447.03,11415.29,11425.66,11374.37,11373.35,11338.04,11262.45,11314.92,11310.3,11323.42,11285.85,11309.35,11468.86,11468.35,11442.86,11422.18,11421.69,11399.41,11370.21,11337.64]</t>
  </si>
  <si>
    <t>[11899.42,11763,11873.69,11810.94,11852.22,11694.37,11611.98,11756.18,11591.09,11493.8,11477.14,11405.07,11426.49,11448.72,11487.2,11487.18,11466.27,11362.92,11398.04,11354.83,11388.84,11319.57,11376.8,11523.77,10870.8,10606.64,10569.91,10544.89,10561.59,10556.92]</t>
  </si>
  <si>
    <t>[11559.22,11462.35,11553.08,11545.98,11513.83,11457.29,11318.22,11552.56,11440.72,11345.4,11354.85,11315.9,11390.86,11337.15,11361.97,11346.04,11354.31,11347.93,11329.93,11256.47,11259.33,11232.14,11196.77,11314.03,11253.8,11248.53,11259.55,11323.52,10968.29,10763.9]</t>
  </si>
  <si>
    <t>[12326.63,12215.84,12128.83,12074.5,11998.87,11896.41,11822.04,11745.83,11671.02,11605.93,11529.82,11452.72,11356.67,11357.6,11245.88,11176.73,11118.93,11099.37,11081.5,11004.02,11030.41,10992.33,10856.98,10795.28,10728.88,10652.89,10574.1,10523.08,10459.68,10350.68]</t>
  </si>
  <si>
    <t>[11854.84,11707.73,11730.13,11753.8,11772.43,11685.65,11371.69,11443.94,11293.02,11236,11058.94,11030.79,11117.24,11171.06,11275.2,11357.36,11330.07,11298.15,11327.35,11362.86,11345.1,11290.16,11204.07,11480.13,10940.57,10358.47,10662.46,11039.65,10944.62,10986.34]</t>
  </si>
  <si>
    <t>[11736.32,11638.14,11581.91,11562.57,11540,11558.07,11271.23,11373.74,11370.83,11324.92,11224.31,11271.36,11306.78,11298.39,11317.21,11039.5,11046.49,11244.02,11357.38,11307.97,11327.8,11303.67,11228.8,11374.01,10845.66,10403,10728.97,10813.25,10756.9,10775.76]</t>
  </si>
  <si>
    <t>[11656.57,11442.48,11437.11,11287.35,11242.61,11229.64,11173.48,11363.3,11259.47,11159.56,11134.81,11060.7,11106.89,11071.95,11104.98,11039.71,11054.37,11004,11074.73,11100.44,11104.33,11155.2,11267.32,11338.94,11237.89,11192.76,11227.48,11165.4,11174.29,11150.46]</t>
  </si>
  <si>
    <t>[10986.04,11520.01,11711.53,11631.99,11462.2,11373.89,11348.69,11185.3,11261.43,11210.2,10996.43,11332.42,11344.95,11316.28,11364.44,11099.39,11046.48,11136.31,10976.1,10843.54,11070.4,11179.14,11146.17,11074.54,11008.24,10952.94,10827.25,10402.41,10939.96,10623.34]</t>
  </si>
  <si>
    <t>[10326.83,10324.98,10206.68,10064.98,10218.06,11755.86,11529.05,11588.81,11465.3,11461.35,11487.53,11269.91,11306.91,11278.67,11274.16,11318.34,11336.92,11248.38,11415.24,11378.67,11352.53,11358.08,11377.81,11388.57,10715.18,10800.7,10891.1,10865.62,10868.31,10908.09]</t>
  </si>
  <si>
    <t>[13990.76,13869.97,13670.75,13051.52,12590.28,12248.98,11982.96,11947.55,11790.52,11605.89,11416.16,11164.13,10907.22,10872.02,10713.88,10487.28,10236.26,9933.06,9689.63,9427.36,9172.82,8918.88,8705.21,8411.16,8185.83,7917.78,7658.21,13945.01,13882.87,13583.75]</t>
  </si>
  <si>
    <t>[11496.96,11414.1,11436.31,11350.24,11384.44,11305.14,11189.42,11190.55,11129.31,11135.88,11049.95,11061.67,11065.61,11009.92,11078.16,11028.43,10975.33,10902.01,10949.15,10954.91,10905.2,10860.15,10918.71,11045.09,11020.64,11027.15,11007.5,10305.56,10182.99,10209.78]</t>
  </si>
  <si>
    <t>[11450.25,11286.7,11238.93,11179.51,11178.7,11036.09,11155.3,11194.87,11103.42,10925.93,10892.72,10879.76,10864.46,10942.96,11021.21,11005.02,10942.37,10905.85,10931.6,10904.84,10901.46,10934.12,10898.92,10972.36,10281.25,10440.29,10512.36,10576.82,10609.6,10579.25]</t>
  </si>
  <si>
    <t>[11465.43,11153.62,11058.17,11042.33,11109.79,11145.72,11022.06,10995.78,11010.93,10950.38,10948.72,10943.09,10917.54,10933.75,10840.02,10721.82,10682.53,10721.24,10817.39,10797,10747.18,10790.7,10696.38,11027.56,10863.24,10820.88,10727.95,10809.38,10784.7,10728.49]</t>
  </si>
  <si>
    <t>[11353.81,11329.26,11330.61,11270.38,10966.64,10555.07,10296.31,10088.55,9837.2,9665.7,9521.87,0,0,0,0,0,0,0,0,11204.4,11481.41,11602.67,11481.87,11486.43,11434.47,11348.25,10986.09,10393.83,11334.86,10440.35]</t>
  </si>
  <si>
    <t>[11006.84,10951.12,10979.76,10846.75,10515.72,10782.16,10915.92,10902.28,10796.03,10779.57,10766.9,10680.46,10691.55,11021.58,11025.08,10950.65,10908.32,10864.22,10858.95,10864.49,10981.01,10985.07,10865.98,10828.02,10840.38,10819.54,10783.17,10903.45,10855.85,10717.37]</t>
  </si>
  <si>
    <t>[10856.2,10850.76,10847.87,10816.88,10779.51,10785.41,10826.16,10804.66,10810.24,10798.92,10754.56,10752.31,10746.3,10746.22,10734.4,10738.62,10723.28,10527.77,10266.87,10147.83,10068.59,10026.28,10573.39,10641.17,10423.06,10271.23,10179.97,10124.35,10079.03,9987.88]</t>
  </si>
  <si>
    <t>[13230.98,12414.8,11210.66,11172.45,10690.03,11063.17,11150.76,10850.92,10133.27,9976.78,10097.54,10238.17,10270.04,10394.94,10522.95,10339.39,10476.21,10507.27,10543.55,10152.1,10584.55,10820.79,10491.61,9968.72,9054.98,9443.89,9830.27,9795.31,9868.65,9819.74]</t>
  </si>
  <si>
    <t>[12025.62,11825.44,11121.14,10906.63,10663.39,10448.56,10469.46,10463.58,10357.46,10330.46,10208.66,10145.84,10283.09,10262.94,10357.2,10309.15,10231.67,10172.55,10265.89,10243.34,10351.17,10464.99,10379.49,10289.19,10319.69,10137.93,10081.87,10103.16,9982.98,9958.26]</t>
  </si>
  <si>
    <t>[11288.49,10874.27,10882.07,10683.22,10533.55,10439.76,10845.99,10856.95,10650.84,10509.83,10465.31,10444.71,10499.71,10532.52,10601.64,10597.21,10479.72,10401.77,9986.76,9821.65,9869.82,9910.89,9849.92,10025.23,10021.4,10222.91,10312.28,10419.07,10468.94,10311.5]</t>
  </si>
  <si>
    <t>[10316.99,9713.78,9717.28,9959.64,10300.58,10455.86,10972,10749.81,9734.07,8735.43,8903.75,9468.1,10085.43,10978.61,10746.24,9637.06,9803.98,9575.03,9485.77,9469.45,10716.17,10641.13,10103.98,10054.62,9911.06,9796.23,10210.17,10895.97,10588.47,9884.81]</t>
  </si>
  <si>
    <t>[9272.2,9038.31,8985.98,8703.71,9624.52,10198.15,10385.88,10309.23,10007.57,9749.88,9603.96,9927.16,9797.78,10354.24,10566.13,10378.04,10312.05,10264.9,10252.42,10327.62,10541.84,10493.62,10297.9,10277.88,10062.79,10161.17,10189.66,10393.14,10378.47,10135.79]</t>
  </si>
  <si>
    <t>[11352.66,11063.39,10885.69,10749.46,10436.13,10218.11,10203.58,10056.21,9822.95,9614.68,9832.62,9751.34,9870.72,9843,9925.81,9647.04,9536.99,9529.86,9693.92,9651.85,9677.84,9807.97,9710.74,9739.1,9656.22,9593.72,9526.86,9534.25,9248.67,9298.21]</t>
  </si>
  <si>
    <t>[13360.36,12711.2,11535.68,11082.96,10963.15,10927.52,10891.04,10856.2,10859.24,10786.2,10738.11,10670.98,10470.2,10392.64,10187.72,6847.53,5515.12,5067.12,5229.73,5819.23,5379.83,6883.51,11271.79,10102.31,10351.15,10263.83,10045.03,9872.21,9929.84,9569.97]</t>
  </si>
  <si>
    <t>[10574.7,10675.25,10241.34,9995.82,9839.78,9777.88,9637.39,8452.61,9721.69,9715.35,9907.1,9825.8,9606.62,9500.05,9372.72,9517.19,9393.6,9261.34,9132.69,9176.05,9205.18,9179.21,9016.08,9007.37,9007.98,8975.62,8858.34,10307.71,0,10285.76]</t>
  </si>
  <si>
    <t>[13371.21,11642.73,11497.53,11317.3,10557.69,10234.59,10301.63,10335.04,9261.2,7485.82,7358.86,6199.53,8125.74,9067.21,9029.37,9655.6,9286.21,8367.33,7822.99,8316.14,8665.16,8683.7,8951.96,10527.5,0,0,0,0,0,9389.21]</t>
  </si>
  <si>
    <t>[9948.31,9656.3,9692.74,8121.46,7583.68,8714.78,8969.53,9062.77,8899.56,8685.71,9735.03,9649.9,9745.63,9898.92,9850.43,9731.64,9640.77,9461.73,9278.12,9556.56,9727.22,9664.08,9070.03,9320.39,9430.94,9339.76,9329.13,9543.57,9455.25,9262.16]</t>
  </si>
  <si>
    <t>[4784.15,4442.8,3876.54,3630.57,3217.01,3147.43,3071.83,7763.71,11106.98,10883.18,10489.4,10335,10177.25,10054.84,9949.26,9760.64,9475.11,9136.6,8982.89,8845.25,8755.82,8630.15,8480.58,9010.97,12077.59,10680.85,10487.16,10307.1,13189.44,11779.53]</t>
  </si>
  <si>
    <t>[8910.58,8667.9,8562.59,8530.91,8458.95,8504.56,8451.49,8460.69,8399.17,8391.72,8295.49,8269.01,8253.76,8227.33,8213.85,8307.16,8555.19,8513.76,8496.25,8460.08,8546.25,8506.81,8459.47,8387.76,8332.94,8259.41,8212.01,8192.31,8188.28,8153.5]</t>
  </si>
  <si>
    <t>[9335.38,8969.36,8973.58,8884.52,8889.76,8864.19,8280.42,7307.42,7253.85,7233.43,7156.37,7091.73,7118.24,7102.47,7084.36,7401.69,8903.61,8844.86,8776.33,8763.49,8764.27,8730.23,8753.74,8755.23,8738.18,8716.59,8610.61,8617.59,8656.03,8663.84]</t>
  </si>
  <si>
    <t>[8981.25,8703.55,8706.43,8585.87,8474.58,8440.75,8469.42,8330.65,8270.65,8248.6,8182.56,8154.68,8067.36,8283.48,8180.73,8397.47,8471.31,8379.25,8322.72,8278.24,8320.17,8248.65,8234.61,8226.59,8133.41,8049.99,7980.53,7946.74,8028.23,7986.79]</t>
  </si>
  <si>
    <t>[8848.72,8630.78,8511.39,8543.11,8499.55,8446.06,8490.13,8421.37,8342.46,8360.57,8208.7,8064.42,8109.86,8079.79,8022.75,8263.38,8457.39,8397.31,8399.05,8301.12,8322.55,8337.1,8213.59,8130.66,8053.42,7993.65,7944.7,7933.25,7908.92,7861.36]</t>
  </si>
  <si>
    <t>[8757.32,8441.75,8389.82,8299.65,8206.43,8247.72,8199.63,8194.07,8161.25,8134.72,7934.38,7893.36,7920.52,7891.59,7881.39,8068.69,8473.84,8374.41,8335.02,8301.95,8353.1,8325.82,8264.46,8225.92,8153.46,8125.87,8073.88,8034.73,8033.2,7987.36]</t>
  </si>
  <si>
    <t>[9000.78,8826.38,8790.55,8669.74,8612.34,8225.85,8190.29,8144.41,8042.37,8040.61,7965.11,7866.34,7873.4,7859.22,7813.39,7901.28,8627.99,8314.05,8259.73,7995.3,7966.86,7981.57,7929.92,7917.58,7894.72,7827.16,7710.87,7677.47,7681.09,7635.69]</t>
  </si>
  <si>
    <t>[8970.94,8692.21,8669.09,8625.19,8559.28,8525.21,8034.61,7106.2,7058.41,7005.57,7008.04,6948.74,6963.8,6940.07,6907.32,7412.28,8679.84,8617.99,8595.39,8555.58,8628.75,8584.51,8567.16,8578.37,8547.67,8528.28,8481.45,8438.4,8374.55,8342.68]</t>
  </si>
  <si>
    <t>[7542.86,7502.48,7474.62,7439.48,7404.02,7383.09,7354.74,7300.68,6788.33,7093.36,7091,0,0,0,0,0,0,8395.01,8163.23,8028,7810.92,7609.59,7424.02,7189.74,6844.35,9386.26,8464.19,8202.37,8030.74,7667.13]</t>
  </si>
  <si>
    <t>[6958.6,6981.42,6965.47,6984.57,6976.75,6982.09,6948.25,6960.24,6984.87,7014.78,6990.69,7006.4,6977.76,6990.23,6992.47,7036.19,6997.52,6974.98,6975.25,6977.8,6972.66,6951.85,6959.08,6944.81,6939.63,6954.31,6922.53,6931.62,6932.42,6968.74]</t>
  </si>
  <si>
    <t>[7035.08,7018.24,6988.76,6956.21,6953.79,6953.92,6957.32,6952.58,6952.2,6949.22,6941.33,6945.84,6944.8,6945.92,6941.66,6940.33,6941.29,6925.49,6927.05,6928.14,6929.37,6927.26,6926.11,6926.35,6920.26,6918.97,6921.03,6922.02,6922.33,6920.22]</t>
  </si>
  <si>
    <t>[0,0,0,0,0,0,0,0,0,0,0,0,0,0,0,0,0,6942.11,0,0,6926.24,0,0,0,0,0,0,0,0,0]</t>
  </si>
  <si>
    <t>[6933.9,6927.38,6962.35,6969.96,6957.52,6929.16,6935.1,6932.94,6948.14,6956.12,6953.19,6931.32,6911,6954.86,6945.88,6945.13,6957.71,6928.43,6935.26,6926.02,6914.89,6952.65,6891.21,6914.31,6908.27,6904.41,6875.39,6909.44,6884.76,6908.96]</t>
  </si>
  <si>
    <t>[6996.65,6731.83,6785.26,6564.98,6294.08,5700.23,6532.85,6303.06,6043.06,5054.67,5445.25,6251.73,7439.01,7806.95,7657.26,7026.53,7090.17,7166.01,6652.7,6979.41,7312.4,7222.73,6977.17,6915.95,6756.98,6675.84,6846.27,7076.42,7100.92,6469.16]</t>
  </si>
  <si>
    <t>[8981.03,7826.93,7526.16,7168.49,6305.94,5791.43,5542.11,5347.74,5140.07,5018.09,4895.54,4720.83,5262.17,5325.02,5206.31,4860.94,6126.85,19451.36,15824.65,15623.6,11416.77,3865.62,3833.66,3711.53,3822.93,3895.15,3671.3,3628.11,3656.42,3369.98]</t>
  </si>
  <si>
    <t>[7013.75,6506.32,6375.21,6452.32,6429.88,6615.9,6745.44,6668.14,5960.26,4827.07,4536.19,5920.81,7061.35,7434,7204.36,6680.88,6716.44,6590.99,6551.15,6827.16,7090.61,7148.5,5976.89,6475.17,6655.28,6313.47,6541.64,6919.73,6913.28,6421.84]</t>
  </si>
  <si>
    <t>[6564.13,6563.92,6540.75,6587.69,6551.8,6544.33,6511.66,6569.57,6544.17,6546.66,6532.08,6564.09,6543.18,6549.2,6596.87,6570.87,6535.94,6529.87,6523.45,6469.68,6444.07,6470.62,6384.61,6323.04,6274.45,6235.9,6204.24,6582.93,6593.76,6597.37]</t>
  </si>
  <si>
    <t>[0,6987.99,6813.93,6530.11,6476.01,6472.69,6461.15,6447.51,6439.64,6434.71,6426.79,6421.92,6417.58,6412.78,6408.12,6401.11,6396.76,6396.68,6394.25,6387.51,6379.82,6374.42,6369.92,6363.54,6358.6,6354.94,6345.58,6324.08,6322.87,6333.81]</t>
  </si>
  <si>
    <t>[6358.87,6359.22,6351.05,6349.74,6351.19,6353.12,6337.99,6348.05,6325.78,6320.65,6325.08,6322.74,6321.6,6313.3,6308.94,6309.36,6304.86,6298.24,6298,6294.67,6974.46,6860.71,6765.73,6680.58,6599.65,6520.59,6441.34,6364.37,6292.28,6216.97]</t>
  </si>
  <si>
    <t>[12903,8119.12,7597.69,6871.51,6787.06,6980.34,7476.14,6521.01,5170,5549.53,4912.44,3532.31,4505.59,4906.14,4926.39,4006.68,4033.59,4131.5,2534.53,3357.66,13126.16,13024.48,10406.62,9290.9,6123.04,4849.5,4715.47,5533.22,4899.29,4879.14]</t>
  </si>
  <si>
    <t>[0,0,0,0,6487.72,6451.27,0,6635,6041.58,0,0,0,0,0,0,0,0,0,0,0,0,0,0,0,0,0,0,6647.38,6335.15,0]</t>
  </si>
  <si>
    <t>[6563.87,6428.46,6395.2,6420.42,6412.8,6407.36,6385.07,6369.89,6308.31,6345.42,6338.14,6332.62,6326.62,6321.93,6316.77,6312.14,6306.84,6302.09,6286.58,6284.62,6307.16,6284.02,6293.87,6279.4,6278.34,6275.45,6251.88,6259.76,6247.64,6267.39]</t>
  </si>
  <si>
    <t>[6384.92,6570.81,6601.87,6494.59,6444.26,6384.75,6342.54,6302.41,6271.35,6225.29,6175.81,6127.58,6259.05,6236.15,6233.54,6209.53,6179.44,6168.9,6150.04,6134.98,6136.95,6110.24,6392.07,6396.09,6361.12,6312.3,6616.46,6522.88,6374.69,6326.86]</t>
  </si>
  <si>
    <t>[6333.54,6333.49,6345.23,6405.92,6381.68,6353.64,6326.6,0,6341.17,5871.2,6332.14,6049.29,6386.01,6359.1,5807.09,5922.22,6294.74,6328.04,6330.45,0,0,0,6305.15,6214.91,6317.12,6315.76,6316.47,0,0,6361.95]</t>
  </si>
  <si>
    <t>[6789.45,6494.84,6561.92,6430.96,6280.26,6109.48,6240.73,6204.6,6168.59,6070.09,5964.55,5900.32,5914.71,5827.04,5766.33,6044.28,6076.43,5873.38,5736.01,5659.41,5888.09,5977.63,6651.7,6493.4,6442.81,6334.91,6300.05,6220.29,6096.61,5893.82]</t>
  </si>
  <si>
    <t>[5841.77,5924.37,5974.68,6098.66,6144.41,6171.48,6263.42,6149.84,6271.49,6210.98,5960.37,6356.76,6634.82,6197.05,6043.88,6447.31,6590.94,6401.96,6074.61,5948.05,6049.04,6018.88,5992.24,5980.91,6269.29,6061.35,6098.76,5991.67,5985.02,5996.05]</t>
  </si>
  <si>
    <t>[6521.01,6423.57,6369.68,6324.78,6285.02,6239.42,6191.03,6148.73,6108.58,6070.29,6032.15,6024.55,6020.48,6025.61,6016.47,6006.35,6002.74,5993.97,5988.82,5986.67,5985.65,5984.12,5969.49,5973.5,5964.48,5962.67,5961.73,6564.76,6487.25,6418.65]</t>
  </si>
  <si>
    <t>[6234.24,6145.89,6098.76,6060.84,6055.06,6054.02,6060.83,6080.35,5994.82,5992.77,5990.77,5990.11,5990.46,6022.28,5972.68,5912.09,5911.6,5906.33,5803.59,5804.33,6728.55,6492.9,6369.5,6274.63,6213.28,6143.72,6081.31,6033.97,5936.54,5733.56]</t>
  </si>
  <si>
    <t>[6769.76,6331.97,6255.57,6245.16,6213.65,6217.74,6191.35,6198.36,6169.43,6163.67,6128.51,6114.29,6084.77,6043.74,6030.85,6042.19,6029.54,5976.83,5981.17,5937.93,5978.19,5916.9,5924.71,5877.28,5872.8,5857.07,5836.18,5820.45,5787.62,5764.92]</t>
  </si>
  <si>
    <t>[6689.78,6417.97,6320.72,6232.54,6013.16,5903.82,6000.39,5944.89,5876.33,5937.77,5816.98,5799.87,5874.44,5857.32,5736.44,6077.45,6222.77,6272.25,6187.46,5944.97,6143.48,6102.74,6031.1,6051.5,5984.57,5902.55,5852.86,5803.32,5828.37,5737.85]</t>
  </si>
  <si>
    <t>[6571.49,6119.48,6014.46,6132.86,6061.05,5993.1,6064.68,6000.84,5935.66,5930.58,5867.29,5815.25,5849.14,6058.68,6010.82,6178.14,6315.85,6290.33,6117.51,5876.39,6050.14,6017.23,5975.4,5870.25,5863.1,5819.86,5785.55,5738.83,5731.96,5634.59]</t>
  </si>
  <si>
    <t>[11792.79,12771.85,11748.35,11254.41,11072.87,10952.6,10895.09,10157.22,9183.76,9053.99,8776.75,8323.53,8012.06,7953.44,7907.59,7611.41,1933.63,1229.58,1119.83,1513.23,1647.2,1329.32,1205.12,1215.67,1383.82,1800.38,1703.33,1448.36,1894.94,1812.41]</t>
  </si>
  <si>
    <t>[6515.21,6216.29,6115.49,6058.25,5868.92,5793.12,5979.27,5925.9,5872.37,5950.58,5808.71,5888.24,5862.51,5880.89,5771.63,6036.31,6313.45,6208.48,6056.01,5863.7,5979.87,5937.05,5895.56,5895.12,5844.73,5742.91,5674.8,5680.77,5677.4,5461.65]</t>
  </si>
  <si>
    <t>[6564.71,6328.38,6276.7,6327.84,6180.75,5996.96,5907.37,5875.9,5879.65,5861.64,5691.68,5668.89,5798.34,6014.57,5920.48,6227.71,6153.86,6058.67,5981.18,5632.47,5851.55,5858.71,5776.17,5717.31,5585.18,5495.56,5530.79,5494.8,5460.75,5438.01]</t>
  </si>
  <si>
    <t>[6213.2,6123.71,6085.8,6028.7,5954.12,5889.29,5847.02,5852.15,5806.92,5780.7,5774.21,5765.49,5755.92,5776.46,5811,5751.56,5729.11,5725.21,5737.99,5755.67,5774.36,5804.86,5752.34,5731.13,5715.74,5717.79,5714.78,6323.61,6176.41,6091.8]</t>
  </si>
  <si>
    <t>[6362.9,6322.27,6354.33,6407.58,6350.49,6333.49,6359.79,6347.29,6299.32,5648.63,5501.59,5816.47,6377.05,6329.53,5665.14,5993.52,5508.23,5098.8,5460.92,0,0,0,5178.54,5189.63,5403.59,5224.29,5347.58,0,0,5260.88]</t>
  </si>
  <si>
    <t>[6207.11,6175.83,6150.76,6145.92,6102.86,6098.89,6052.82,5932.62,5846.37,5791.38,5765.3,5735.56,5746.08,5735.84,5718.47,5703,5716.25,5702.17,5768.18,5772.88,5767.78,5760.54,5747.54,5729.89,5669.32,5593.33,5564.94,5545.24,5546.12,5524.54]</t>
  </si>
  <si>
    <t>[6128.91,6096.08,6073.34,6069.2,6053.51,6053.77,6031.49,5908.79,5752.91,5723.59,5719.35,5692.93,5672.95,5655.24,5631.51,5625.63,5616.73,5601.73,5686.39,5687.44,5636.67,5642.16,5644.73,5638.11,5615.37,5617.35,5601.65,5596.89,5599.91,5566.88]</t>
  </si>
  <si>
    <t>[6162.39,6115.85,6110.86,6096.03,6085.99,6079.43,6055.78,5907.1,5746.2,5666.13,5652.51,5649.05,5638.73,5609.07,5605.76,5611.14,5579.08,5505.87,5518.55,5523.27,5600.87,5584.62,5592.73,5582.6,5560.4,5550.17,5528.97,5469.79,5510.03,5540.74]</t>
  </si>
  <si>
    <t>[6159.02,6113.81,6090.57,6069.54,6055.57,6057.35,6034.18,5763.4,5731.91,5692.7,5686.88,5672.48,5637.41,5606.77,5591.58,5577.09,5601.65,5593.56,5653.42,5651.77,5648.2,5632.74,5620.62,5609.01,5515.44,5362.89,5357.75,5349.29,5337.8,5295.65]</t>
  </si>
  <si>
    <t>[5750.14,5745.15,5734.52,5710.96,5703.64,5641.46,5625.49,5606.66,5606.17,5584.71,5574.69,5570.02,5568.29,5534.3,5522.78,5509.53,5535.66,5111.03,5132.24,5922.24,5903.28,5894.56,5892,5879.23,5865.27,5851.11,5806.01,5778.32,5777.64,5773.28]</t>
  </si>
  <si>
    <t>[5938.18,5911.04,5872.57,5859.34,5838.62,5784.31,5771.02,5773,5766.87,5699.18,5676.68,5686.92,5652.98,5652.6,5649.6,5599.96,5568.8,5573.35,5661.8,5636.03,5614.8,5598.96,5575.2,5547.37,5481.55,5448.89,5427.56,5401.7,5356.05,5333.34]</t>
  </si>
  <si>
    <t>[6107.37,5847.91,5942.26,5901.03,5868.95,5876.96,5640.13,4939.1,4964.46,4888.19,5298.84,5472.6,5397.7,5564.31,5567.36,5474.29,5423.87,5417.21,5441.78,5436.67,5598.92,5589.24,5477.25,5573,5493.18,5479.76,5412.68,5550.78,5548.15,5437.02]</t>
  </si>
  <si>
    <t>[5270.62,5236.23,5224.9,5181.24,5156.89,5138.22,5141.48,5131.13,5106.07,5067.07,5039.31,5043.62,5007.51,4982.72,4953.32,4924.89,4918.9,5470.59,6062.62,5965.87,5858.23,5823.86,5810.13,5828.63,5843.39,5790.42,5903.01,5765.7,6039.29,5896.67]</t>
  </si>
  <si>
    <t>[5703.07,5432.93,5477.3,5471.05,5464.6,5356.87,5710.1,5719.51,5699.34,5445,5440.67,5539,5257.86,5445.05,5445.22,5289.63,5233.23,5236.78,5256.05,5325.46,5484.93,5487.67,5298.22,5368.05,5237.46,5218.2,5210.48,5349.97,5348.35,5130.1]</t>
  </si>
  <si>
    <t>[5354.57,5353.94,5331.21,5321.74,5312.33,5310.01,5314.6,5331.13,5312.28,5306.93,5294.75,5264.33,5263.37,5250.81,5231.98,4822,4677.45,4671.68,4743.72,4737.93,4743.05,5101.87,6105.81,6040.08,6016.2,5927.39,5943.85,5947.51,5931.5,5909.19]</t>
  </si>
  <si>
    <t>[6110.22,5537.05,5469.24,5430.53,5426.75,5437.5,5410.67,5500.19,5375.6,5331.21,5286.99,5321.27,5268.03,5236.4,5258.86,5249.09,5238.09,5246.67,5301.48,5310.25,5331.06,5331.93,5319.73,5282.65,5204.78,5216.29,5177.54,5168.76,5168.04,5114.28]</t>
  </si>
  <si>
    <t>[5450.26,5324.14,5219.92,5161.47,5410.84,5574.43,5520.31,5285.86,5364.66,5327.38,5335,5286.53,5237.53,5272.99,5276.42,5207.28,5184.15,5313.77,5361.18,5368.81,5451.88,5553.79,5457.11,5115.22,5426.4,5341.03,5234.98,5184.2,5371.06,5375.29]</t>
  </si>
  <si>
    <t>[5395.97,5260.09,5212.43,5223.85,5427.08,5562.05,5486.9,5367.88,5257.79,5231.63,5207.49,5144.34,5234.65,5273.91,5216.71,5160.16,5132.99,5283.94,5326.87,5285.95,5408.96,5555.62,5435.07,5379.14,4698.47,5273.52,5310.65,5372.13,5498.62,5490.31]</t>
  </si>
  <si>
    <t>[5285.81,5190.25,5159.86,5154.76,5367.57,5540.46,5460.11,5407.26,5413.55,5351.14,5268.91,5217.49,5230.17,5248.24,5220.45,5134.92,5089.09,5234.52,5322.56,5302.01,5409.81,5486.31,5351.4,5361.61,4709.49,5511.31,5378.29,5337.36,5468.96,5476.77]</t>
  </si>
  <si>
    <t>[5450.24,5392.66,5301.44,5219.03,5409.04,5559.19,5440.55,5371.57,5358.69,5285.62,5221.08,5145.25,5093.46,5109.71,5096,4997.05,4965.37,5145.24,5254.84,5284.26,5580.81,5557.28,5415.55,5367.43,4772.9,5308.85,5356.64,5324,5430.23,5408.94]</t>
  </si>
  <si>
    <t>[5459.26,5343.08,5256.53,5179.45,5353.96,5488.13,5382.73,5306.51,5279.65,5213.26,5160.05,5101.61,5096.26,5134.43,5088.79,5003.98,4997.71,5139.36,5360.26,5369.39,5455.93,5461.56,5356.82,4850.38,5370.04,5234.08,5191.11,5196.3,5376.82,5412.32]</t>
  </si>
  <si>
    <t>[5361.94,5295.73,5267.09,5232.47,5400.31,5501.05,5367.01,5298.78,5313.09,5235.08,5193.48,5119.75,5102.02,5127.86,5097.32,5009,4972.35,5166.1,5255.06,5228.98,5317.47,5466.69,5361.61,5032.59,5361.39,5260.55,5221.42,5208.86,5399.34,5412.67]</t>
  </si>
  <si>
    <t>[5391.09,5341.51,5341.38,5323.2,5461.41,5515.25,5398.85,5299.58,5343.54,5316.02,5260.18,5201.65,5261.3,5340.39,5299.01,5190.15,5135.69,5073.66,5064.22,5034.73,5123.93,5106.97,4979.8,4468.37,5409.13,5350.86,5308.89,5260.81,5422.74,5435.21]</t>
  </si>
  <si>
    <t>[7414.61,5562.59,4869.21,5036.23,5171.07,5059.45,4482.81,9633.27,5777.06,5289.37,5123.34,5073.42,4787.66,4385.64,4438.87,5517.5,4912.38,4973.7,5048.91,4896.27,4253.63,4674.13,5747.49,4801.58,4765.98,4890.36,5222.37,4347.68,4232.72,6768.7]</t>
  </si>
  <si>
    <t>[5241.74,5089.33,5060.29,5101.33,5324.97,5439.84,5377.37,5259.26,5203.71,5247.81,5183.55,5109.06,5047.1,5172.85,5101.98,5040.49,5029.24,5166.16,5235.06,5220.77,5334.44,5366.1,5324.35,4958.4,5604.82,5287.02,5174.45,5155.8,5382.01,5414.27]</t>
  </si>
  <si>
    <t>[5339.31,5207.14,5139.75,5107.57,5313.52,5425.36,5336.15,5267.66,5266.93,5182.35,5106.63,5029.63,4978.46,4998.86,4971.53,4882.01,4858.81,5143.77,5308.12,5248.91,5313.72,5338.31,5245.01,5286.84,4677.14,5199.56,5169,5183.64,5319.32,5332.12]</t>
  </si>
  <si>
    <t>[5383.21,5259.17,5121.96,5140.29,5371.88,5462.58,5371.64,5254.45,5190.72,5157.26,5095.03,5013.82,4961.67,4996.84,4979.31,4908.39,4878.69,5007.84,5110.82,5069.74,5160.85,5108.17,5004.23,5156.56,4619.18,5442.67,5307.23,5267.29,5372.38,5388.6]</t>
  </si>
  <si>
    <t>[5215.12,5158.26,5129.99,5185.99,5102.45,5126.4,5322.6,5289.38,5122.98,5121.48,5114.19,5207.93,5068.73,5167.99,5283.2,5123.85,5127.83,5140.57,5075.54,5067.69,5218.61,5247.34,5060.23,5040.82,5040.56,4752.34,4781.38,4925.11,4977.09,4889.29]</t>
  </si>
  <si>
    <t>[5209.26,5133.01,5036.8,4960.58,5148.75,5258.93,5188.61,5173.8,5104.69,5043.85,5004.95,4938.06,4878,4905.68,4860.84,4785.48,4762.43,4983.11,5181.54,5137.85,5239.26,5235.64,5105.3,4661.75,5327.21,5199.1,5120.58,5071.53,5139.79,5097.59]</t>
  </si>
  <si>
    <t>[5243.54,5218.01,5208.98,5212.6,5196.71,5169.28,5161.22,5130.35,5110.31,5080.24,5050.44,5014.62,4997.94,5017.9,5053.08,5017.51,4993.44,4963.69,4944.57,4935.42,5000.69,5001.47,4938.63,4911.37,4874.07,4858.01,4807.05,4764,5193.5,5198.89]</t>
  </si>
  <si>
    <t>[5254.5,5231.33,5183.22,5131.03,5191.92,5284.52,5266.65,5211.61,5201.16,5139.21,5064.41,4977.23,4909.7,4879.33,4849.67,4806.58,4787.37,4882.28,5052.49,5026.45,5084.15,5037.62,4939.25,4823.85,4250.35,4878.01,5182.59,5177.81,5166.36,5085.8]</t>
  </si>
  <si>
    <t>[5163.86,5076.86,4980.97,4914.48,5104.31,5217.29,5181.04,5142.1,5119.2,5025.36,4951.19,4882.36,4890.1,4932.1,4869.18,4821.95,4787.1,4887.22,5095.32,5048.72,5128.62,5097.57,4988.93,4715.59,5153.23,5072.47,5048.23,4981.64,5159.79,5206.67]</t>
  </si>
  <si>
    <t>[5186,5137.55,5088.46,5041.92,4997.9,4957.22,4898.31,4696.19,4563.81,4520.08,4474.45,4426.41,4380.5,4337.71,4291.85,4244.95,4194.14,4152.19,4104.31,4056.3,6273.24,6251.43,6123.16,6011.84,5913.37,5815.69,5713.21,5622.35,5538.13,5481.03]</t>
  </si>
  <si>
    <t>[5187.62,5140.88,5036.75,4964.09,5161.97,5257.62,5224.01,5180.03,5156.62,5069.54,4985.21,4900.47,4833.3,4853.37,4827.1,4733.87,4705.74,4897.8,5018.11,4940.09,4998,4988.32,4935.82,5124.16,4585.02,5126.96,5067.5,5066.75,5195.24,5229.36]</t>
  </si>
  <si>
    <t>[6168.75,6021.03,5906,5790.8,5671.82,5551.76,5443.28,5336.06,5208.91,5117.29,5034.85,4957.38,4874.07,4814.03,4777.28,4668.98,4581.27,4495.29,4424.04,4347.72,4288.89,4246.73,4138.42,4041.78,3957.67,3876.89,3804.22,6317.95,6159.33,6011.72]</t>
  </si>
  <si>
    <t>[5229.77,5120.27,5030.9,4957.98,5162.95,5291.91,5249.28,5188.37,5083.99,5013.94,4945.46,4868.07,4800.91,4789.99,4780.6,4689.7,4676.46,4840.31,5001.66,4949.39,5012.46,5010.53,4951.51,4901.59,4371.63,5227.8,5053.06,5005.69,5197.07,5259.07]</t>
  </si>
  <si>
    <t>[1776.2,4018.95,3586.71,12245.05,8073.81,5843.7,5715.35,5637.97,5703.8,5575.11,5942.36,6007.83,5251.89,4519.4,4334.02,4231.41,3832.18,3405.3,3001.83,3008.68,3011.3,2989.31,2927.57,2906.74,2868.71,2780.29,2677.58,2593.31,11491.63,10063.89]</t>
  </si>
  <si>
    <t>[5029.43,4980.85,5009.83,4987.62,4953.19,4886.54,4873.93,4852.57,4800.33,4772.31,4752.15,4789.27,4752.06,4799.61,4792.32,4735.58,4723.77,4442.2,4213.3,4431.93,4504.88,4583,4679.66,4744.18,4715.96,4737.15,4754.65,4761.75,4765.63,4672.98]</t>
  </si>
  <si>
    <t>[4842.62,4709.63,4735.96,4775.3,4729.11,4684.61,4935.79,4934.99,4746.92,4703.45,4714.46,4792.34,4724.84,4731.07,4837.58,4655.67,4765.96,4740.98,4702.16,4691.73,4769.83,4861.72,4727.77,4674.04,4615.2,4225.87,4328.24,4426.24,4529.64,4356.76]</t>
  </si>
  <si>
    <t>[5475.18,4945.84,4891.33,4846.38,4720.78,4703.47,4771.39,4641.07,4412.83,4560.83,4541.06,4250.11,4328.89,4400.72,4468.34,4535.69,5174.85,4882.08,4888.38,4503.71,4845.35,4848.4,4648.84,4366.6,4306.71,4113.18,4315.94,4472.05,4502.69,4386.95]</t>
  </si>
  <si>
    <t>[6154.72,5987.55,5931,5930.42,5936.37,4951.02,5004.23,5043.31,5022.07,5068.36,4976.23,4622.52,4336.04,4314.64,4305.24,4248.72,4220.06,4267.79,4271.45,4231.36,4211.54,4243.92,4252.64,4169.97,4035.06,3765.05,3601.36,3599.9,3576.41,3580.02]</t>
  </si>
  <si>
    <t>[5697.29,5558.4,5501.44,5462.71,5247.77,4644.98,4661.8,4530.33,4626.36,4634.47,4641.32,4524.89,4352.19,4453.71,4513.83,4473.13,4465.72,4465.96,4380.49,3994.56,4021.42,4027.73,4070.09,4103.65,4108.6,3952.58,4230.7,4376.62,4370.41,4640.38]</t>
  </si>
  <si>
    <t>[5946.85,5910.74,5901.09,5885.44,5199.07,4632.55,3815.43,3831.1,3791.33,4583.07,4773.79,4701.85,4265.2,3512.41,3517.88,4124.11,4459.58,4396.21,4407.46,4443.25,4521.05,4502.23,4369.53,4306.01,4370.3,4480.01,4518.75,4534.06,4352.23,3978.14]</t>
  </si>
  <si>
    <t>[4365.79,4275.84,4283.35,4480.32,4573.9,4470.06,4692.07,4714.42,4434.87,4376.7,4438.35,4483.37,4282.86,4302.45,4518.02,4365.22,4526.54,4624.35,4404.76,4464.47,4526.22,4638.97,4510.18,4482.44,4430.21,4309.73,4368.27,4535.33,4528.79,4435.34]</t>
  </si>
  <si>
    <t>[5249.58,4928.91,4444.24,4366.06,3694.54,3725.46,4667.05,4770.99,4820.75,4327.71,3526.46,3271.49,3440.26,4414.39,4292.83,4435,3915.31,3565.98,4124.76,3891.94,4355.63,4057.47,3790.7,4127.05,3637.47,5766.3,5107.45,5058.44,5274.17,4872.72]</t>
  </si>
  <si>
    <t>[4605.32,4529.74,4470.68,4377.34,4373.63,4339.52,4338.33,4317.84,4304.24,4279.04,4267.32,4264.23,4261.56,4249.66,4244.61,4211.58,4188.51,4132.9,4156.75,4144.69,4161.67,3832.06,3757.54,3752.04,3715.93,3708.77,3705.98,5539.66,5230.67,5029.05]</t>
  </si>
  <si>
    <t>[5903.58,5820.82,5509.11,5390.97,4718.24,4458.95,3674.01,3430.25,3532.82,3226.38,3047.53,3040.43,3322.45,2770.6,2537.8,2540.38,4144.49,4736.57,4708.95,4740.58,4728.59,4717.52,4622.31,3702.72,3339.72,2757.29,2557.06,2603.42,2538.14,2646.7]</t>
  </si>
  <si>
    <t>[4781.16,4176.43,4082.33,4021.58,3898.54,3816.6,3724.21,3650.94,3634.71,3554.85,3475.16,3368.84,3306.65,3405.51,3352.03,3272.76,3159.08,3097.02,3045.07,2966.03,2933.11,2895.13,2897.27,2946.86,2993.67,2907.15,2829.74,2820.55,2772.47,2732.76]</t>
  </si>
  <si>
    <t>[4644.97,4179.08,4023.47,3917.22,3839.69,3800.28,3933.05,3916.68,3569.19,3395.05,3368.96,3246.54,3184.05,3464.21,3531.51,3308.82,3122.37,3054.46,3063.65,2731.69,3656.13,3703.06,3103.43,2501.91,2397.59,2029.24,2013.81,2100.81,3225.32,3670.1]</t>
  </si>
  <si>
    <t>[5664.01,4456.24,3791.07,3596.64,3398.18,3262.48,3335.61,3364.31,3348.09,2700.67,3429.72,3224.97,3256.97,3236.4,3224.72,3146.41,3080.1,3085.55,3189.91,3188.29,3201.26,3210.21,3094.38,2948.64,2447.86,2551.6,2109.01,2088.96,2133.73,2191.77]</t>
  </si>
  <si>
    <t>[4253.11,4044.68,4002.34,3886.32,3366.73,2823.49,2936.27,2727,2556.28,2558.23,2593.66,2976.91,2904.86,2972.53,3054.35,3068.97,3059.2,3053.59,2900.08,3042.95,2883.15,2955.76,2891.48,2811.06,2948.04,2802.75,2594.57,2468.37,2771,2513.21]</t>
  </si>
  <si>
    <t>[2907.87,2992.25,2975.19,2980.01,2965.5,2956.51,2835.03,2908.76,2949.21,2994.14,2946.95,3015.86,2945.09,2914.95,2922.13,2966.41,2992.74,2996.86,2966.22,3004.68,2943.02,2922.63,2966.14,3072.11,2981.72,3000.1,2975.84,2973.77,2927.94,2990.05]</t>
  </si>
  <si>
    <t>[4438.16,3074.16,3080.06,3029.56,2722.9,2636.78,2626.51,2575.86,2532.88,2486.82,2469.68,2691.24,2703.1,2656.94,2590.5,2512.54,2451.3,2438.24,2518.84,2925.3,2894.97,2873.72,2852.28,2803.96,3417.05,3302.62,3286.6,3242.33,3247.7,3247.42]</t>
  </si>
  <si>
    <t>[2857.68,2879.36,2885.07,2900.96,2914.56,2906.04,2815.62,2873.01,2903.88,3081.49,2871.93,2887.83,2870.77,2797.1,2854.87,2877.52,2872.56,2858.52,2868.88,2866.11,2788.18,2852.99,2863.36,2858.65,2856.18,2863.11,2860.63,2808.63,2863.18,2859.56]</t>
  </si>
  <si>
    <t>[9363.21,7382.23,5184.83,3577.53,2451.66,2246.3,2277.68,2291.57,2122.73,2020.77,2480.48,2521.42,2547.51,2530.46,2607.6,2600.05,2709.43,2850.31,3310.62,1511.29,1308.87,1426.29,1478.3,1595.8,1771.53,1856.19,1944.68,2010.87,2006.18,2069.72]</t>
  </si>
  <si>
    <t>[3122.48,2870.61,2739.36,2702.33,2556.82,2679.9,2730.15,2689.07,2596.01,2574.47,2562.9,2371.3,2630.56,2535.73,2531.01,2494.61,2552.36,2504.4,2409.98,2282.4,2267.84,2334.85,2416.79,2409.78,2074.26,2047.29,2081.04,2113.89,2088.56,2478.17]</t>
  </si>
  <si>
    <t>[2457.88,2434.16,2419.95,2409.98,2400.54,2422.01,2416.45,2403.89,2399.32,2401.99,2416.43,2418.76,2408.77,2405.62,2391.27,2392.06,2384.71,2417.67,2468.16,2456.44,2450.27,2466.49,2466.79,2459.26,2451.37,2439.66,2415.53,2396.97,1889.58,0]</t>
  </si>
  <si>
    <t>[0,1948.23,2138.55,2176.87,2128.59,2233.65,0,0,2084.81,2216.08,1578.06,2134.86,1609.21,0,0,2051.81,2141.32,2189.13,2181.52,2094.83,0,0,2089.14,2132.37,2055.29,2184.67,2156.78,2158.1,1821.65,2136.91]</t>
  </si>
  <si>
    <t>[3674.71,2801.08,1922.77,1780.5,1770.43,1700.98,1691.82,1638.06,1543.24,1350.22,1285.08,1208.62,1324.05,1636.25,1543.91,1445.27,1303.31,1370.88,1579.13,1429.79,3319.54,3018.16,2121.65,984.35,811.71,2829.91,3674.87,3353.91,3851.17,2672.26]</t>
  </si>
  <si>
    <t>[1743.86,1754.39,1749.64,1757.85,1754.25,1755.82,1762.17,1751.35,1762.25,1781.17,1767.81,1915.47,1882.02,1887.4,1883.61,1860.91,1954.64,1875.04,1838.48,1851.38,1847.83,1830.29,1798.83,1835.27,1815.15,1811.25,1805.45,1800.76,1873.71,1854.73]</t>
  </si>
  <si>
    <t>[1834.26,1778.06,1813.35,1817.07,1803.2,1796.15,1794.15,1794.05,1756.13,1747.4,1811.85,1782.41,1779.25,1779.08,1774.58,1776.37,1810.74,1811.77,1813.17,1821.83,1821.66,1837.58,1805.32,1805.5,1823.9,1821.44,1816.62,1849.07,1826.59,1785.43]</t>
  </si>
  <si>
    <t>[10518.4,3415.27,1842.5,1535.51,1401.86,1053.76,1125.68,1287.72,1369.56,1382.1,1412.42,1429.27,1481.9,1498.74,1522.11,1420.63,1449.47,1447.75,1403.91,1389.84,1463.24,1495.77,1420.6,1444.46,1550.7,1466.81,1394.16,1422.2,1449.35,1440.98]</t>
  </si>
  <si>
    <t>[1966.92,1907.43,1772.06,1727.4,1691.66,1678.57,1613.71,1615.23,1585.73,1553.93,1556.85,1526.72,1535.67,1528.36,1512.25,1536.38,1518.61,1507.4,1606.33,1588.19,1567.56,1561.47,1547.91,1526.42,1513.14,1517.06,1512.7,1501.59,1469.25,1477.88]</t>
  </si>
  <si>
    <t>[1498.3,1532.18,1596.32,1583.84,1544.76,1386.88,1387.78,1360.89,1415.17,1399.49,1377.94,1217.49,1295.68,1297.77,1299.19,1302.97,1324.54,1361.57,1243.34,1271.1,1382.22,1437.24,1388.52,1355.16,1366.92,1274,1342.46,1362.76,1456.81,1503.02]</t>
  </si>
  <si>
    <t>[1822.27,1299.61,1159.25,1173.94,1043.4,989.25,1426.63,1352.89,982.85,985.45,1065.46,998.29,941.25,1388.16,1381.97,1383.63,1035.49,932.77,1091.03,902.83,1415.99,1418.07,973.2,900.99,962.69,931.71,884.57,1419.87,1393.62,1003.54]</t>
  </si>
  <si>
    <t>[1277.01,1275.25,1353.66,1389.13,1317.61,1214.87,1215.48,1196.7,1259.29,1230.07,1221.04,1171.31,1053.68,1053.41,1067.85,1057.42,1073.02,1022.06,1089.73,1077.34,1056.19,1039.25,1027.41,1014.26,990.91,942.62,907.78,917.35,921.07,880.99]</t>
  </si>
  <si>
    <t>[0,472.34,0,513.79,515.68,0,0,0,0,513.6,293.62,238.35,266.63,0,0,578.18,0,557.63,0,507.22,0,0,488.5,493,495.74,548.65,493.48,2377.25,1978.77,2353.98]</t>
  </si>
  <si>
    <t>[618.05,613.22,612.52,609.26,610.55,608.42,612.37,611.4,609.23,606.84,606.77,606.02,601.77,603.35,604.34,603.07,603.18,600.46,594.05,597.54,600.38,600.17,596.26,594.69,596.96,594.86,593.28,592.55,590.57,588.73]</t>
  </si>
  <si>
    <t>InstanceSizeFlexibilityGroup</t>
  </si>
  <si>
    <t>ArmSkuName</t>
  </si>
  <si>
    <t>Naming Standard</t>
  </si>
  <si>
    <t>Ratio</t>
  </si>
  <si>
    <t>Series Information</t>
  </si>
  <si>
    <t>Pay As You Go</t>
  </si>
  <si>
    <t>1 Year Reservation</t>
  </si>
  <si>
    <t>3 Year Reservation</t>
  </si>
  <si>
    <t>Discount Western Europe</t>
  </si>
  <si>
    <r>
      <rPr>
        <b/>
        <sz val="10"/>
        <color rgb="FF000000"/>
        <rFont val="Arial Unicode MS"/>
      </rPr>
      <t>General Purpose</t>
    </r>
    <r>
      <rPr>
        <sz val="10"/>
        <color rgb="FF000000"/>
        <rFont val="Arial Unicode MS"/>
      </rPr>
      <t xml:space="preserve"> - BS Series High Memory</t>
    </r>
  </si>
  <si>
    <t>Azure Compute Unit (ACU): Varies*</t>
  </si>
  <si>
    <t>£15.07</t>
  </si>
  <si>
    <t>£9.82</t>
  </si>
  <si>
    <t>£7.08</t>
  </si>
  <si>
    <t>42-62%</t>
  </si>
  <si>
    <r>
      <t xml:space="preserve">Premium Storage: </t>
    </r>
    <r>
      <rPr>
        <b/>
        <sz val="11"/>
        <color theme="1"/>
        <rFont val="Calibri"/>
        <family val="2"/>
        <scheme val="minor"/>
      </rPr>
      <t>Supported</t>
    </r>
  </si>
  <si>
    <t>£56.58</t>
  </si>
  <si>
    <t>£34.91</t>
  </si>
  <si>
    <t>£24.02</t>
  </si>
  <si>
    <t>Premium Storage caching: Not Supported</t>
  </si>
  <si>
    <t>£113.17</t>
  </si>
  <si>
    <t>£69.82</t>
  </si>
  <si>
    <t>£48.04</t>
  </si>
  <si>
    <t>41-62%</t>
  </si>
  <si>
    <r>
      <t xml:space="preserve">Live Migration: </t>
    </r>
    <r>
      <rPr>
        <b/>
        <sz val="11"/>
        <color theme="1"/>
        <rFont val="Calibri"/>
        <family val="2"/>
        <scheme val="minor"/>
      </rPr>
      <t>Supported</t>
    </r>
  </si>
  <si>
    <t>£226.34</t>
  </si>
  <si>
    <t>£139.64</t>
  </si>
  <si>
    <t>£96.06</t>
  </si>
  <si>
    <t>Memory Preserving Updates: Supported</t>
  </si>
  <si>
    <t>£339.50</t>
  </si>
  <si>
    <t>No Reservation Option</t>
  </si>
  <si>
    <t>VM Generation Support: Generation 1 and 2</t>
  </si>
  <si>
    <t>£452.67</t>
  </si>
  <si>
    <t>Accelerated Networking: Supported**</t>
  </si>
  <si>
    <t>£565.84</t>
  </si>
  <si>
    <r>
      <rPr>
        <b/>
        <sz val="10"/>
        <color rgb="FF000000"/>
        <rFont val="Arial Unicode MS"/>
      </rPr>
      <t>General Purpose</t>
    </r>
    <r>
      <rPr>
        <sz val="10"/>
        <color rgb="FF000000"/>
        <rFont val="Arial Unicode MS"/>
      </rPr>
      <t xml:space="preserve"> - Dasv4 Series</t>
    </r>
  </si>
  <si>
    <t>£112.62</t>
  </si>
  <si>
    <t>£91.67</t>
  </si>
  <si>
    <t>£78.69</t>
  </si>
  <si>
    <t>33-54%</t>
  </si>
  <si>
    <t>Premium Storage caching: Supported</t>
  </si>
  <si>
    <t>£225.25</t>
  </si>
  <si>
    <t>£183.34</t>
  </si>
  <si>
    <t>£157.37</t>
  </si>
  <si>
    <t>£450.49</t>
  </si>
  <si>
    <t>£366.67</t>
  </si>
  <si>
    <t>£314.75</t>
  </si>
  <si>
    <t>£900.99</t>
  </si>
  <si>
    <t>£733.34</t>
  </si>
  <si>
    <t>£629.50</t>
  </si>
  <si>
    <t>£1,801.98</t>
  </si>
  <si>
    <t>£1,466.69</t>
  </si>
  <si>
    <t>£1,259.00</t>
  </si>
  <si>
    <t>Accelerated Networking: Supported (Requires a minimum of 4 vCPU)</t>
  </si>
  <si>
    <t>£2,702.97</t>
  </si>
  <si>
    <t>£2,200.03</t>
  </si>
  <si>
    <t>£1,888.49</t>
  </si>
  <si>
    <t>Ephemeral OS Disks: Supported</t>
  </si>
  <si>
    <t>£3,603.96</t>
  </si>
  <si>
    <t>£2,933.38</t>
  </si>
  <si>
    <t>£2,517.99</t>
  </si>
  <si>
    <t>£5,405.93</t>
  </si>
  <si>
    <t>£4,400.06</t>
  </si>
  <si>
    <t>£3,776.99</t>
  </si>
  <si>
    <r>
      <rPr>
        <b/>
        <sz val="10"/>
        <color rgb="FF000000"/>
        <rFont val="Arial Unicode MS"/>
      </rPr>
      <t>General Purpose</t>
    </r>
    <r>
      <rPr>
        <sz val="10"/>
        <color rgb="FF000000"/>
        <rFont val="Arial Unicode MS"/>
      </rPr>
      <t xml:space="preserve"> - Ddsv4 Series</t>
    </r>
  </si>
  <si>
    <t>£124.05</t>
  </si>
  <si>
    <t>£93.72</t>
  </si>
  <si>
    <t>£78.17</t>
  </si>
  <si>
    <t>£248.10</t>
  </si>
  <si>
    <t>£187.43</t>
  </si>
  <si>
    <t>£156.34</t>
  </si>
  <si>
    <t>£496.20</t>
  </si>
  <si>
    <t>£374.87</t>
  </si>
  <si>
    <t>£312.68</t>
  </si>
  <si>
    <t>£992.39</t>
  </si>
  <si>
    <t>£749.68</t>
  </si>
  <si>
    <t>£625.38</t>
  </si>
  <si>
    <t>£1,984.79</t>
  </si>
  <si>
    <t>£1,499.36</t>
  </si>
  <si>
    <t>£1,250.75</t>
  </si>
  <si>
    <t>£2,977.18</t>
  </si>
  <si>
    <t>£2,249.03</t>
  </si>
  <si>
    <t>£1,876.14</t>
  </si>
  <si>
    <t>£3,969.58</t>
  </si>
  <si>
    <t>£2,998.72</t>
  </si>
  <si>
    <t>£2,501.49</t>
  </si>
  <si>
    <r>
      <rPr>
        <b/>
        <sz val="10"/>
        <color rgb="FF000000"/>
        <rFont val="Arial Unicode MS"/>
      </rPr>
      <t>Memory Optimized</t>
    </r>
    <r>
      <rPr>
        <sz val="10"/>
        <color rgb="FF000000"/>
        <rFont val="Arial Unicode MS"/>
      </rPr>
      <t xml:space="preserve"> - Edsv4 Series</t>
    </r>
  </si>
  <si>
    <t>£144.18</t>
  </si>
  <si>
    <t>£105.58</t>
  </si>
  <si>
    <t>£85.83</t>
  </si>
  <si>
    <t>£288.36</t>
  </si>
  <si>
    <t>£211.16</t>
  </si>
  <si>
    <t>£171.64</t>
  </si>
  <si>
    <t>£161.11</t>
  </si>
  <si>
    <t>£121.58</t>
  </si>
  <si>
    <t>£576.72</t>
  </si>
  <si>
    <t>£272.22</t>
  </si>
  <si>
    <t>£193.14</t>
  </si>
  <si>
    <t>£322.27</t>
  </si>
  <si>
    <t>£243.19</t>
  </si>
  <si>
    <t>£422.38</t>
  </si>
  <si>
    <t>£343.30</t>
  </si>
  <si>
    <t>£1,153.44</t>
  </si>
  <si>
    <t>£644.48</t>
  </si>
  <si>
    <t>£486.35</t>
  </si>
  <si>
    <t>£544.37</t>
  </si>
  <si>
    <t>£386.24</t>
  </si>
  <si>
    <t>£844.70</t>
  </si>
  <si>
    <t>£686.57</t>
  </si>
  <si>
    <t>£1,441.80</t>
  </si>
  <si>
    <t>£1,055.87</t>
  </si>
  <si>
    <t>£858.24</t>
  </si>
  <si>
    <t>£2,306.88</t>
  </si>
  <si>
    <t>£1,288.97</t>
  </si>
  <si>
    <t>£972.73</t>
  </si>
  <si>
    <t>£1,689.41</t>
  </si>
  <si>
    <t>£1,373.17</t>
  </si>
  <si>
    <t>£1,088.76</t>
  </si>
  <si>
    <t>£772.51</t>
  </si>
  <si>
    <t>£3,460.32</t>
  </si>
  <si>
    <t>£2,534.12</t>
  </si>
  <si>
    <t>£2,059.75</t>
  </si>
  <si>
    <t>£4,613.76</t>
  </si>
  <si>
    <t>£2,578.00</t>
  </si>
  <si>
    <t>£1,945.45</t>
  </si>
  <si>
    <t>Standard_E64-16ds_v4</t>
  </si>
  <si>
    <t>£2,177.56</t>
  </si>
  <si>
    <t>£1,545.01</t>
  </si>
  <si>
    <t>£3,378.88</t>
  </si>
  <si>
    <t>£2,746.32</t>
  </si>
  <si>
    <r>
      <rPr>
        <b/>
        <sz val="10"/>
        <color rgb="FF000000"/>
        <rFont val="Arial Unicode MS"/>
      </rPr>
      <t>Compute Optimized</t>
    </r>
    <r>
      <rPr>
        <sz val="10"/>
        <color rgb="FF000000"/>
        <rFont val="Arial Unicode MS"/>
      </rPr>
      <t xml:space="preserve"> - FSv2 Series</t>
    </r>
  </si>
  <si>
    <t>£100.65</t>
  </si>
  <si>
    <t>£81.30</t>
  </si>
  <si>
    <t>£69.10</t>
  </si>
  <si>
    <t>41-64%</t>
  </si>
  <si>
    <t>£201.31</t>
  </si>
  <si>
    <t>£162.65</t>
  </si>
  <si>
    <t>£138.21</t>
  </si>
  <si>
    <t>£402.62</t>
  </si>
  <si>
    <t>£325.24</t>
  </si>
  <si>
    <t>£276.38</t>
  </si>
  <si>
    <t>£805.78</t>
  </si>
  <si>
    <t>£650.49</t>
  </si>
  <si>
    <t>£552.77</t>
  </si>
  <si>
    <t>£1,611.01</t>
  </si>
  <si>
    <t>£1,301.04</t>
  </si>
  <si>
    <t>£1,105.55</t>
  </si>
  <si>
    <t>£2,468.47</t>
  </si>
  <si>
    <t>£1,951.53</t>
  </si>
  <si>
    <t>£1,658.32</t>
  </si>
  <si>
    <t>£3,222.02</t>
  </si>
  <si>
    <t>£2,602.08</t>
  </si>
  <si>
    <t>£2,211.09</t>
  </si>
  <si>
    <t>£3,624.63</t>
  </si>
  <si>
    <t>£2,927.33</t>
  </si>
  <si>
    <t>£2,487.48</t>
  </si>
  <si>
    <t>FSv2 Series Dedicated Host</t>
  </si>
  <si>
    <t>Fsv2_Type2</t>
  </si>
  <si>
    <t>Fsv2 Type3</t>
  </si>
  <si>
    <t>1.277777778</t>
  </si>
  <si>
    <t>H Series</t>
  </si>
  <si>
    <t>Standard_H8</t>
  </si>
  <si>
    <t>Standard_H16</t>
  </si>
  <si>
    <t>H Series High Memory</t>
  </si>
  <si>
    <t>Standard_H8m</t>
  </si>
  <si>
    <t>Standard_H16m</t>
  </si>
  <si>
    <t>H Series High Memory Low Latency</t>
  </si>
  <si>
    <t>Standard_H16mr</t>
  </si>
  <si>
    <t>H Series Low Latency</t>
  </si>
  <si>
    <t>Standard_H16r</t>
  </si>
  <si>
    <t>HBS Series</t>
  </si>
  <si>
    <t>Standard_HB60-45rs</t>
  </si>
  <si>
    <t>Standard_HB60-30rs</t>
  </si>
  <si>
    <t>Standard_HB60rs</t>
  </si>
  <si>
    <t>Standard_HB60-15rs</t>
  </si>
  <si>
    <t>HBSv2 Series Low Latency</t>
  </si>
  <si>
    <t>Standard_HB120rs_v2</t>
  </si>
  <si>
    <t>HBrsv3 Series Low Latency</t>
  </si>
  <si>
    <t>Standard_HB120-16rs_v3</t>
  </si>
  <si>
    <t>Standard_HB120-96rs_v3</t>
  </si>
  <si>
    <t>Standard_HB120-32rs_v3</t>
  </si>
  <si>
    <t>Standard_HB120rs_v3</t>
  </si>
  <si>
    <t>Standard_HB120-64rs_v3</t>
  </si>
  <si>
    <t>HCS Series</t>
  </si>
  <si>
    <t>Standard_HC44-32rs</t>
  </si>
  <si>
    <t>Standard_HC44-16rs</t>
  </si>
  <si>
    <t>Standard_HC44rs</t>
  </si>
  <si>
    <t>LS Series</t>
  </si>
  <si>
    <t>Standard_L4s</t>
  </si>
  <si>
    <t>Standard_L8s</t>
  </si>
  <si>
    <t>Standard_L16s</t>
  </si>
  <si>
    <t>Standard_L32s</t>
  </si>
  <si>
    <t>LSv2 Series</t>
  </si>
  <si>
    <t>Standard_L8s_v2</t>
  </si>
  <si>
    <t>Standard_L16s_v2</t>
  </si>
  <si>
    <t>Standard_L32s_v2</t>
  </si>
  <si>
    <t>Standard_L48s_v2</t>
  </si>
  <si>
    <t>Standard_L64s_v2</t>
  </si>
  <si>
    <t>Standard_L80s_v2</t>
  </si>
  <si>
    <t>Standard_L96s_v2</t>
  </si>
  <si>
    <t>LSv2 Series Dedicated Host</t>
  </si>
  <si>
    <t>Lsv2_Type1</t>
  </si>
  <si>
    <t>LSv2 Series Isolated</t>
  </si>
  <si>
    <t>Standard_L88is_v2</t>
  </si>
  <si>
    <t>MS Series</t>
  </si>
  <si>
    <t>Standard_M64s</t>
  </si>
  <si>
    <t>Standard_M64</t>
  </si>
  <si>
    <t>Standard_M128s</t>
  </si>
  <si>
    <t>Standard_M128</t>
  </si>
  <si>
    <t>MS Series Dedicated Host</t>
  </si>
  <si>
    <t>Ms_Type1</t>
  </si>
  <si>
    <t>MS Series Fractional</t>
  </si>
  <si>
    <t>Standard_M16s</t>
  </si>
  <si>
    <t>Standard_M32s</t>
  </si>
  <si>
    <t>MS Series Fractional High Memory</t>
  </si>
  <si>
    <t>Standard_M8-2ms</t>
  </si>
  <si>
    <t>Standard_M8ms</t>
  </si>
  <si>
    <t>Standard_M8-4ms</t>
  </si>
  <si>
    <t>Standard_M16ms</t>
  </si>
  <si>
    <t>Standard_M16-4ms</t>
  </si>
  <si>
    <t>Standard_M16-8ms</t>
  </si>
  <si>
    <t>Standard_M32-16ms</t>
  </si>
  <si>
    <t>Standard_M32-8ms</t>
  </si>
  <si>
    <t>Standard_M32ms</t>
  </si>
  <si>
    <t>MS Series Fractional Large</t>
  </si>
  <si>
    <t>Standard_M32ls</t>
  </si>
  <si>
    <t>Standard_M64ls</t>
  </si>
  <si>
    <t>1.8846875</t>
  </si>
  <si>
    <t>MS Series Fractional Tiny</t>
  </si>
  <si>
    <t>Standard_M32ts</t>
  </si>
  <si>
    <t>MS Series HM Dedicated Host</t>
  </si>
  <si>
    <t>Msm_Type1</t>
  </si>
  <si>
    <t>MS Series High Memory</t>
  </si>
  <si>
    <t>Standard_M64m</t>
  </si>
  <si>
    <t>Standard_M64-16ms</t>
  </si>
  <si>
    <t>Standard_M64-32ms</t>
  </si>
  <si>
    <t>Standard_M64ms</t>
  </si>
  <si>
    <t>Standard_M128-32ms</t>
  </si>
  <si>
    <t>Standard_M128m</t>
  </si>
  <si>
    <t>Standard_M128-64ms</t>
  </si>
  <si>
    <t>Standard_M128ms</t>
  </si>
  <si>
    <t>MSv2 Series</t>
  </si>
  <si>
    <t>Standard_M208-52s_v2</t>
  </si>
  <si>
    <t>Standard_M208s_v2</t>
  </si>
  <si>
    <t>Standard_M208-104s_v2</t>
  </si>
  <si>
    <t>Standard_M416-208s_v2</t>
  </si>
  <si>
    <t>Standard_M416-104s_v2</t>
  </si>
  <si>
    <t>Standard_M416is_v2</t>
  </si>
  <si>
    <t>Standard_M416s_v2</t>
  </si>
  <si>
    <t>MSv2 Series 192ms</t>
  </si>
  <si>
    <t>Standard_M192ims_v2</t>
  </si>
  <si>
    <t>MSv2 Series 32</t>
  </si>
  <si>
    <t>Standard_M32ms_v2</t>
  </si>
  <si>
    <t>MSv2 Series 64</t>
  </si>
  <si>
    <t>Standard_M64s_v2</t>
  </si>
  <si>
    <t>MSv2 Series Dedicated Host</t>
  </si>
  <si>
    <t>Msv2_Type1</t>
  </si>
  <si>
    <t>MSv2 Series Disk 192s</t>
  </si>
  <si>
    <t>Standard_M192is_v2</t>
  </si>
  <si>
    <t>MSv2 Series Fractional</t>
  </si>
  <si>
    <t>Standard_M24s_v2</t>
  </si>
  <si>
    <t>Standard_M48s_v2</t>
  </si>
  <si>
    <t>Standard_M96s_v2</t>
  </si>
  <si>
    <t>Standard_M192s_v2</t>
  </si>
  <si>
    <t>MSv2 Series Fractional High Memory</t>
  </si>
  <si>
    <t>Standard_M24ms_v2</t>
  </si>
  <si>
    <t>Standard_M48ms_v2</t>
  </si>
  <si>
    <t>Standard_M96ms_v2</t>
  </si>
  <si>
    <t>Standard_M192ms_v2</t>
  </si>
  <si>
    <t>MSv2 Series Fractional High Memory 128s</t>
  </si>
  <si>
    <t>Standard_M128s_v2</t>
  </si>
  <si>
    <t>MSv2 Series HM Dedicated Host</t>
  </si>
  <si>
    <t>Msmv2_Type1</t>
  </si>
  <si>
    <t>MSv2 Series High Memory</t>
  </si>
  <si>
    <t>Standard_M208-104ms_v2</t>
  </si>
  <si>
    <t>Standard_M208ms_v2</t>
  </si>
  <si>
    <t>Standard_M208-52ms_v2</t>
  </si>
  <si>
    <t>Standard_M416-208ms_v2</t>
  </si>
  <si>
    <t>Standard_M416ms_v2</t>
  </si>
  <si>
    <t>Standard_M416-104ms_v2</t>
  </si>
  <si>
    <t>MSv2 Series High Memory 128ms</t>
  </si>
  <si>
    <t>Standard_M128ms_v2</t>
  </si>
  <si>
    <t>MSv2 Series MedMem Dedicated Host</t>
  </si>
  <si>
    <t>Msv2MedMem Type1</t>
  </si>
  <si>
    <t>MSv2 Series MedMem HM Dedicated Host</t>
  </si>
  <si>
    <t>Msmv2MedMem Type1</t>
  </si>
  <si>
    <t>MSv2 Series Memory</t>
  </si>
  <si>
    <t>Standard_M64ms_v2</t>
  </si>
  <si>
    <t>MSv2 XS Series</t>
  </si>
  <si>
    <t>Standard_M420xs_v2</t>
  </si>
  <si>
    <t>Standard_M420ixs_v2</t>
  </si>
  <si>
    <t>MdSv2 Series 32 Disk</t>
  </si>
  <si>
    <t>Standard_M32dms_v2</t>
  </si>
  <si>
    <t>MdSv2 Series 64 Disk</t>
  </si>
  <si>
    <t>Standard_M64ds_v2</t>
  </si>
  <si>
    <t>MdSv2 Series Disk</t>
  </si>
  <si>
    <t>Standard_M192idms_v2</t>
  </si>
  <si>
    <t>MdSv2 Series Disk 192s</t>
  </si>
  <si>
    <t>Standard_M192ids_v2</t>
  </si>
  <si>
    <t>MdSv2 Series Fractional High Memory Disk</t>
  </si>
  <si>
    <t>Standard_M128ds_v2</t>
  </si>
  <si>
    <t>MdSv2 Series High Memory Disk</t>
  </si>
  <si>
    <t>Standard_M128dms_v2</t>
  </si>
  <si>
    <t>MdSv2 Series Memory Disk</t>
  </si>
  <si>
    <t>Standard_M64dms_v2</t>
  </si>
  <si>
    <t>NC Series</t>
  </si>
  <si>
    <t>Standard_NC6</t>
  </si>
  <si>
    <t>Standard_NC12</t>
  </si>
  <si>
    <t>Standard_NC24</t>
  </si>
  <si>
    <t>NC Series Low Latency</t>
  </si>
  <si>
    <t>Standard_NC24r</t>
  </si>
  <si>
    <t>NCSv2 Series</t>
  </si>
  <si>
    <t>Standard_NC6s_v2</t>
  </si>
  <si>
    <t>Standard_NC12s_v2</t>
  </si>
  <si>
    <t>Standard_NC24s_v2</t>
  </si>
  <si>
    <t>NCSv2 Series Low Latency</t>
  </si>
  <si>
    <t>Standard_NC24rs_v2</t>
  </si>
  <si>
    <t>NCSv3 Series</t>
  </si>
  <si>
    <t>Standard_NC6s_v3</t>
  </si>
  <si>
    <t>Standard_NC12s_v3</t>
  </si>
  <si>
    <t>Standard_NC24s_v3</t>
  </si>
  <si>
    <t>NCSv3 Series Low Latency</t>
  </si>
  <si>
    <t>Standard_NC24rs_v3</t>
  </si>
  <si>
    <t>NCas T4 v3 Series</t>
  </si>
  <si>
    <t>Standard_NC4as_T4_v3</t>
  </si>
  <si>
    <t>Standard_NC8as_T4_v3</t>
  </si>
  <si>
    <t>Standard_NC16as_T4_v3</t>
  </si>
  <si>
    <t>Standard_NC64as_T4_v3</t>
  </si>
  <si>
    <t>NDS Series</t>
  </si>
  <si>
    <t>Standard_ND6s</t>
  </si>
  <si>
    <t>Standard_ND12s</t>
  </si>
  <si>
    <t>Standard_ND24s</t>
  </si>
  <si>
    <t>NDS Series Low Latency</t>
  </si>
  <si>
    <t>Standard_ND24rs</t>
  </si>
  <si>
    <t>NDasr A100 v4 Series</t>
  </si>
  <si>
    <t>Standard_ND96asr_v4</t>
  </si>
  <si>
    <t>NDrSv2 Series Low Latency</t>
  </si>
  <si>
    <t>Standard_ND40rs_v2</t>
  </si>
  <si>
    <t>NP Series</t>
  </si>
  <si>
    <t>Standard_NP10s</t>
  </si>
  <si>
    <t>Standard_NP20s</t>
  </si>
  <si>
    <t>Standard_NP40s</t>
  </si>
  <si>
    <t>NV Series</t>
  </si>
  <si>
    <t>Standard_NV6</t>
  </si>
  <si>
    <t>Standard_NV12</t>
  </si>
  <si>
    <t>Standard_NV24</t>
  </si>
  <si>
    <t>NVSv3 Series</t>
  </si>
  <si>
    <t>Standard_NV12s_v3</t>
  </si>
  <si>
    <t>Standard_NV24s_v3</t>
  </si>
  <si>
    <t>Standard_NV48s_v3</t>
  </si>
  <si>
    <t>NVSv3 Series Dedicated Host</t>
  </si>
  <si>
    <t>NVsv3_Type1</t>
  </si>
  <si>
    <t>NVSv3 Series High Memory</t>
  </si>
  <si>
    <t>Standard_NV24ms_v3</t>
  </si>
  <si>
    <t>Standard_NV32ms_v3</t>
  </si>
  <si>
    <t>1.333333333</t>
  </si>
  <si>
    <t>NVasv4 Series</t>
  </si>
  <si>
    <t>Standard_NV4as_v4</t>
  </si>
  <si>
    <t>Standard_NV8as_v4</t>
  </si>
  <si>
    <t>Standard_NV16as_v4</t>
  </si>
  <si>
    <t>Standard_NV32as_v4</t>
  </si>
  <si>
    <t>NVasv4 Series Dedicated Host</t>
  </si>
  <si>
    <t>NVasv4_Type1</t>
  </si>
  <si>
    <t>Red Hat Enterprise Linux</t>
  </si>
  <si>
    <t>RHEL_1-4_vCPU</t>
  </si>
  <si>
    <t>RHEL_5plus_vCPU</t>
  </si>
  <si>
    <t>2.166667</t>
  </si>
  <si>
    <t>Red Hat Enterprise Linux for SAP with HA</t>
  </si>
  <si>
    <t>RHEL_SAP_HA_1-4_vCPU</t>
  </si>
  <si>
    <t>RHEL_SAP_HA_5plus_vCPU</t>
  </si>
  <si>
    <t>2.333333</t>
  </si>
  <si>
    <t>Red Hat Enterprise Linux with HA</t>
  </si>
  <si>
    <t>RHEL_HA_1-4_vCPU</t>
  </si>
  <si>
    <t>RHEL_HA_5plus_vCPU</t>
  </si>
  <si>
    <t>SQL AHUB</t>
  </si>
  <si>
    <t>52 vCPU VM</t>
  </si>
  <si>
    <t>104 vCPU VM</t>
  </si>
  <si>
    <t>SQL on IaaS</t>
  </si>
  <si>
    <t>Standard_SQLG7_AMD_IaaS</t>
  </si>
  <si>
    <t>SQLG7</t>
  </si>
  <si>
    <t>SQLG7_NP104s</t>
  </si>
  <si>
    <t>SQLG7_IaaS</t>
  </si>
  <si>
    <t>1.25</t>
  </si>
  <si>
    <t>Standard_SQLG7_NVME</t>
  </si>
  <si>
    <t>1.625</t>
  </si>
  <si>
    <t>Standard_SQLG7_AMD_NVME</t>
  </si>
  <si>
    <t>SUSE Linux Enterprise Server Priority</t>
  </si>
  <si>
    <t>SLES_Priority_1_vCPU_VM</t>
  </si>
  <si>
    <t>SLES_Priority_2-4_vCPU_VM</t>
  </si>
  <si>
    <t>SLES_Priority_6_vCPU_VM</t>
  </si>
  <si>
    <t>SLES_Priority_8plus_vCPU_VM</t>
  </si>
  <si>
    <t>3.2</t>
  </si>
  <si>
    <t>SUSE Linux Enterprise Server Standard</t>
  </si>
  <si>
    <t>SLES_Standard_1-2_vCPU_VM</t>
  </si>
  <si>
    <t>SLES_Standard_3-4_vCPU_VM</t>
  </si>
  <si>
    <t>1.92308</t>
  </si>
  <si>
    <t>SLES_Standard_5plus_vCPU_VM</t>
  </si>
  <si>
    <t>2.30769</t>
  </si>
  <si>
    <t>SUSE Linux Enterprise Server for HPC Priority</t>
  </si>
  <si>
    <t>SLES_HPC_Priority_1-2_vCPU_VM</t>
  </si>
  <si>
    <t>SLES_HPC_Priority_3-4_vCPU_VM</t>
  </si>
  <si>
    <t>SLES_HPC_Priority_5plus_vCPU_VM</t>
  </si>
  <si>
    <t>2.6</t>
  </si>
  <si>
    <t>SUSE Linux Enterprise Server for HPC Standard</t>
  </si>
  <si>
    <t>SLES_HPC_Standard_1-2_vCPU_VM</t>
  </si>
  <si>
    <t>SLES_HPC_Standard_3-4_vCPU_VM</t>
  </si>
  <si>
    <t>SLES_HPC_Standard_5plus_vCPU_VM</t>
  </si>
  <si>
    <t>2.92308</t>
  </si>
  <si>
    <t>SUSE Linux Enterprise Server for SAP Standard</t>
  </si>
  <si>
    <t>SLES_SAP_Priority_1-2_vCPU_VM</t>
  </si>
  <si>
    <t>SLES_SAP_Priority_3-4_vCPU_VM</t>
  </si>
  <si>
    <t>SLES_SAP_Priority_5plus_vCPU_VM</t>
  </si>
  <si>
    <t>2.41176</t>
  </si>
  <si>
    <t>Updated Server List</t>
  </si>
  <si>
    <t>Current SIZE</t>
  </si>
  <si>
    <t>Current SIZE2</t>
  </si>
  <si>
    <t>Future SIZE</t>
  </si>
  <si>
    <t>Future SIZE3</t>
  </si>
  <si>
    <t xml:space="preserve">Application </t>
  </si>
  <si>
    <t>Application Owner</t>
  </si>
  <si>
    <t>Confirm reservation</t>
  </si>
  <si>
    <t>Date Consolidated</t>
  </si>
  <si>
    <t>Date Rightsized</t>
  </si>
  <si>
    <t>Confirm RI from SO</t>
  </si>
  <si>
    <t>Reservation Name</t>
  </si>
  <si>
    <t>00f24ad3d319444ea0ad408285ae47d4</t>
  </si>
  <si>
    <t xml:space="preserve">4cpu 14 gb ram </t>
  </si>
  <si>
    <t>4cpu 16gb ram</t>
  </si>
  <si>
    <t>citrix</t>
  </si>
  <si>
    <t>Nicolae Birlea</t>
  </si>
  <si>
    <t>no</t>
  </si>
  <si>
    <t>YES</t>
  </si>
  <si>
    <t>active directory</t>
  </si>
  <si>
    <t>Feitze Mast</t>
  </si>
  <si>
    <t>03285c7546e84713970f8cb5eb9ec344</t>
  </si>
  <si>
    <t>03312bfba4804d0f9a5ce9ddfd0390c3</t>
  </si>
  <si>
    <t>0387114176594494bf091b9af0edb09b</t>
  </si>
  <si>
    <t>09cac2e7c8ac424c86d65995c726a3ea</t>
  </si>
  <si>
    <t xml:space="preserve">4cpu 14gb </t>
  </si>
  <si>
    <t>nicolae Birlea</t>
  </si>
  <si>
    <t>1127a8d255714cdbad98317ad0dd8490</t>
  </si>
  <si>
    <t>8vcpu 28gb ram</t>
  </si>
  <si>
    <t>8cpu 32gb ram</t>
  </si>
  <si>
    <t>Palo_Alto</t>
  </si>
  <si>
    <t>Israel Martin</t>
  </si>
  <si>
    <t>14213a46770e49fb81a3c42925314b75</t>
  </si>
  <si>
    <t>16cpu 128gb ram</t>
  </si>
  <si>
    <t>Mike crane</t>
  </si>
  <si>
    <t>NO</t>
  </si>
  <si>
    <t>187a895184c24e599a87276fc7337803</t>
  </si>
  <si>
    <t>32cpu 256gb ram</t>
  </si>
  <si>
    <t>8cpu 64gb ram</t>
  </si>
  <si>
    <t>2259c9d47562425ba9566898edade758</t>
  </si>
  <si>
    <t>16cpu 32gb ram</t>
  </si>
  <si>
    <t>22f0f6ed793b4df7b106e49a1516bb04</t>
  </si>
  <si>
    <t>2cpu 4gb ram</t>
  </si>
  <si>
    <t>2cpu 8gb ram</t>
  </si>
  <si>
    <t>Opendaylight</t>
  </si>
  <si>
    <t>israel martin</t>
  </si>
  <si>
    <t>Clavister</t>
  </si>
  <si>
    <t>VM_APAC_Bms_1_R4_2022-09-07</t>
  </si>
  <si>
    <t>CHINA Internet Security Audit</t>
  </si>
  <si>
    <t>VM_APAC_Ddsv4_1_R2_2021-09-07</t>
  </si>
  <si>
    <t>3598f8d0431e4863bed0f883d247fc42</t>
  </si>
  <si>
    <t>Solarwinds</t>
  </si>
  <si>
    <t>3fdcad4e41044f3baceba7d9a9e7e073</t>
  </si>
  <si>
    <t>407e1e2cea4c42bcb6e222d1e11cae43</t>
  </si>
  <si>
    <t>4cpu 14gb ram</t>
  </si>
  <si>
    <t>450575c90df141278fe42a56e07eef12</t>
  </si>
  <si>
    <t>opendaylight</t>
  </si>
  <si>
    <t>506a831475434c78975030396fcffd83</t>
  </si>
  <si>
    <t>VM_US_Bms_1_R4_2022-09-07</t>
  </si>
  <si>
    <t>54ec25d87422425e89ecc6d3c0c142ff</t>
  </si>
  <si>
    <t>solarwinds</t>
  </si>
  <si>
    <t>VM_US_Ddsv4_1_R2_2021-09-07</t>
  </si>
  <si>
    <t>5c2ec1e8788844cda2a21c27423be4e3</t>
  </si>
  <si>
    <t>5d13b2b3198e40afabf6c0e4b983dfea</t>
  </si>
  <si>
    <t>785af0d56b2748cbaef02e1591eb039c</t>
  </si>
  <si>
    <t>787aa9760b9d497ca41817e4693df451</t>
  </si>
  <si>
    <t>2cpu 16gb ram</t>
  </si>
  <si>
    <t>Fin_Apps</t>
  </si>
  <si>
    <t>Alex Amat</t>
  </si>
  <si>
    <t>VM_WE_Ddsv4_2_R1_2022-08-31</t>
  </si>
  <si>
    <t>7e869394b45d4ca8ba223d7e59b1b374</t>
  </si>
  <si>
    <t>Helpdesk</t>
  </si>
  <si>
    <t>Rodney Jan Mandap</t>
  </si>
  <si>
    <t>8413b9b6f6f44b48ac7104045710d181</t>
  </si>
  <si>
    <t>appwe01piv-test</t>
  </si>
  <si>
    <t>2cpu 7 gb ram</t>
  </si>
  <si>
    <t>Pivotal CRM</t>
  </si>
  <si>
    <t>Philip Coulthard</t>
  </si>
  <si>
    <t>Server Decommed</t>
  </si>
  <si>
    <t>89bfe101f57f462b97debb6341e8365c</t>
  </si>
  <si>
    <t>appwe02piv-test</t>
  </si>
  <si>
    <t>Sales_app</t>
  </si>
  <si>
    <t>Juan Perna</t>
  </si>
  <si>
    <t>8d8dc1edbbeb476bb5e8e6a0dd1bbf53</t>
  </si>
  <si>
    <t>2cpu 14gb ram</t>
  </si>
  <si>
    <t>Sitecore_ECommerce</t>
  </si>
  <si>
    <t>Alan Cura</t>
  </si>
  <si>
    <t>Titan</t>
  </si>
  <si>
    <t>8cpu 32gbram</t>
  </si>
  <si>
    <t>My SQL</t>
  </si>
  <si>
    <t>Stephen Donaldson</t>
  </si>
  <si>
    <t>VM_WE_Ddsv4_1_R4_2022-08-31</t>
  </si>
  <si>
    <t>9ec9ae3d46b74cb1a155d4a5584df39a</t>
  </si>
  <si>
    <t>16 cpu 128gb ram</t>
  </si>
  <si>
    <t>9f18b6888e93416fb56eaad01db0e1c5</t>
  </si>
  <si>
    <t>VM_WE_Edsv4_1_R4_2022-08-31</t>
  </si>
  <si>
    <t>a02a61e812454a42894a3f238a6308c6</t>
  </si>
  <si>
    <t>8cpu 32gm ram</t>
  </si>
  <si>
    <t>MySQL</t>
  </si>
  <si>
    <t>a1e5fd4c93d743459fd416272551c299</t>
  </si>
  <si>
    <t>call stream</t>
  </si>
  <si>
    <t>ian Sherman</t>
  </si>
  <si>
    <t>a5e76cefa7314359babf9661583ad597</t>
  </si>
  <si>
    <t>Call stream</t>
  </si>
  <si>
    <t>a82fbe8a455d4f1888c14fd278d37e68</t>
  </si>
  <si>
    <t>1cpu 3.5gb ram</t>
  </si>
  <si>
    <t>magazines</t>
  </si>
  <si>
    <t>VM_WE_Ddsv4_1_R1_2022-09-07</t>
  </si>
  <si>
    <t>a8471ae6028e4637bc32c04c3a923b5c</t>
  </si>
  <si>
    <t>Mike Crane</t>
  </si>
  <si>
    <t>ac33500ac8e64264b972c62aa81d6baf</t>
  </si>
  <si>
    <t>titan</t>
  </si>
  <si>
    <t>mike Crane</t>
  </si>
  <si>
    <t>Turkey</t>
  </si>
  <si>
    <t>Simon Dowdell</t>
  </si>
  <si>
    <t>Reservation picked up server dbswe03cst-uat</t>
  </si>
  <si>
    <t>af9248adc86c49699d842ddff344ca5c</t>
  </si>
  <si>
    <t>2cpu 7gb ram</t>
  </si>
  <si>
    <t>!!!!!</t>
  </si>
  <si>
    <t>Ian Sherman</t>
  </si>
  <si>
    <t>Reservation picked up server appwe01snow-uat</t>
  </si>
  <si>
    <t>MIM</t>
  </si>
  <si>
    <t>Sales_App</t>
  </si>
  <si>
    <t>1cpu 14gb ram</t>
  </si>
  <si>
    <t>VM_WE_Ddsv4_1_R2_2022-09-07</t>
  </si>
  <si>
    <t>20cpu 160gb ram</t>
  </si>
  <si>
    <t>stephen Donaldson</t>
  </si>
  <si>
    <t>Forecast_Pricing</t>
  </si>
  <si>
    <t>Tilo Neumann</t>
  </si>
  <si>
    <t>Size changed to Standard_D32ds_v4</t>
  </si>
  <si>
    <t>VM_WE_Fsv2_1_R1_2022-09-07</t>
  </si>
  <si>
    <t>DevOps</t>
  </si>
  <si>
    <t>Iain Berry</t>
  </si>
  <si>
    <t>Ran Haer</t>
  </si>
  <si>
    <t>Reservation picked up server v3Standrd</t>
  </si>
  <si>
    <t>32CPU 128GB ram</t>
  </si>
  <si>
    <t>32cpu 128gb ram</t>
  </si>
  <si>
    <t>Sales App</t>
  </si>
  <si>
    <t>Exchange</t>
  </si>
  <si>
    <t>Feitzi Mast</t>
  </si>
  <si>
    <t>RDS</t>
  </si>
  <si>
    <t>Neopost</t>
  </si>
  <si>
    <t>Juan Molina</t>
  </si>
  <si>
    <t>32cpu 64gb ram</t>
  </si>
  <si>
    <t>Call Stream</t>
  </si>
  <si>
    <t>Confirm with iOCO please</t>
  </si>
  <si>
    <t>CCH</t>
  </si>
  <si>
    <t>Jane Maguire</t>
  </si>
  <si>
    <t>Magazines</t>
  </si>
  <si>
    <t>Rate Stream</t>
  </si>
  <si>
    <t>Dyanamics</t>
  </si>
  <si>
    <t>16cpu 65gb ram</t>
  </si>
  <si>
    <t>16cpu 64gb ram</t>
  </si>
  <si>
    <t>E8-4ds_v4</t>
  </si>
  <si>
    <t>Public Websites</t>
  </si>
  <si>
    <t>Canon API</t>
  </si>
  <si>
    <t>Jose Martin</t>
  </si>
  <si>
    <t>Merripond</t>
  </si>
  <si>
    <t>Citrix</t>
  </si>
  <si>
    <t>Encrypted Wifi</t>
  </si>
  <si>
    <t>Alexandru Nedelcu</t>
  </si>
  <si>
    <t>FTP</t>
  </si>
  <si>
    <t>Firewall</t>
  </si>
  <si>
    <t>Samsung_RM</t>
  </si>
  <si>
    <t>Jose Martin Fatas</t>
  </si>
  <si>
    <t>ShareGate</t>
  </si>
  <si>
    <t>Sitecore ECommerce</t>
  </si>
  <si>
    <t>AWX</t>
  </si>
  <si>
    <t>Polaris</t>
  </si>
  <si>
    <t>Active Directory</t>
  </si>
  <si>
    <t>Canon Cloud Printing</t>
  </si>
  <si>
    <t>Lazaro Campoalegre</t>
  </si>
  <si>
    <t>Standard_DS12-2_v2</t>
  </si>
  <si>
    <t>2cpu 28gb ram</t>
  </si>
  <si>
    <t>8cpu 28gb ram</t>
  </si>
  <si>
    <t>fwwepaprod04</t>
  </si>
  <si>
    <t>Franco van Zyl</t>
  </si>
  <si>
    <t>fwwepaprod03</t>
  </si>
  <si>
    <t>Server Denommed</t>
  </si>
  <si>
    <t>Mim</t>
  </si>
  <si>
    <t>SCCM</t>
  </si>
  <si>
    <t>32cpu 432gb ram</t>
  </si>
  <si>
    <t>Standard_E64-32s_v4</t>
  </si>
  <si>
    <t>32cpu 504gb ram</t>
  </si>
  <si>
    <t>FedEx</t>
  </si>
  <si>
    <t>8cpu 64gm ram</t>
  </si>
  <si>
    <t>helpdesk Process Automation / UiPath</t>
  </si>
  <si>
    <t>ANC RADIUS Dynamic</t>
  </si>
  <si>
    <t>VM_WE_Bms_1_R4_2022-03-19</t>
  </si>
  <si>
    <t>VM_WE_Bms_2_R4_2022-09-07</t>
  </si>
  <si>
    <t>SNMPTrapReceiver for Dynamic VLAN (Optimised CoA)</t>
  </si>
  <si>
    <t>Reservation picked up server AZREUUIP01STD</t>
  </si>
  <si>
    <t>Helpdesk Process Automation / UiPath</t>
  </si>
  <si>
    <t>VM_WE_Bms_1_R8_2022-09-07</t>
  </si>
  <si>
    <t>8cpu 56gb ram</t>
  </si>
  <si>
    <t>Unable to find this Sku Family to reserve</t>
  </si>
  <si>
    <t>AZREUGRT01</t>
  </si>
  <si>
    <t>Bugzille</t>
  </si>
  <si>
    <t>clavister</t>
  </si>
  <si>
    <t>AZREUUIP06STD</t>
  </si>
  <si>
    <t>AZREUUIP07ORC</t>
  </si>
  <si>
    <t>AZREUUIP08BOT</t>
  </si>
  <si>
    <t>AZREUUIP09BOT</t>
  </si>
  <si>
    <t>VM_WE_Ddsv4_1_R2_2024-09-03</t>
  </si>
  <si>
    <t>One-Time Registration API</t>
  </si>
  <si>
    <t>VM_WE_Fsv2_1_R1_2022-03-19</t>
  </si>
  <si>
    <t>AZREUDEVNSO01</t>
  </si>
  <si>
    <t>1cpu 2gb ram</t>
  </si>
  <si>
    <t>Cisco NSO</t>
  </si>
  <si>
    <t>4cpu 8gb ram</t>
  </si>
  <si>
    <t>VM_WE_Fsv2_1_R2_2022-03-19</t>
  </si>
  <si>
    <t>tritone</t>
  </si>
  <si>
    <t>VM_WE_Fsv2_2_R2_2022-09-07</t>
  </si>
  <si>
    <t>8cpu 16gb ram</t>
  </si>
  <si>
    <t>VM_WE_Fsv2_2_R4_2022-03-19</t>
  </si>
  <si>
    <t>VM_WE_Fsv2_1_R4_2024-09-03</t>
  </si>
  <si>
    <t>Tritone</t>
  </si>
  <si>
    <t>b5d099684a3245c7ba1da835747f6ce2</t>
  </si>
  <si>
    <t>c0303926ff63449ca87ba65e90d7f01c</t>
  </si>
  <si>
    <t>d1fed35a5beb45b9b02a522032f937c3</t>
  </si>
  <si>
    <t>de3d6edd31e24cf4bb9ec67b44e59e1a</t>
  </si>
  <si>
    <t>e3f1fa8ec153419ba3741bafe5f0da95</t>
  </si>
  <si>
    <t>f1b07f398b9d459d87e81dcf303bdb88</t>
  </si>
  <si>
    <t>[7942032.08,8041413.63,8036210.31,8176601.55,8133882.82,486947.82,575517.15,8165117.55,8110686.39,8514936.33,8588669.34,8476050.23,7992990.9,8845280.05,7859022.97,8618973.64,7303845.18,9825842.34,14058481.98,9242979.68,8983853.01,8394084.37,9679203.8,9368241.39,8896091.45,8920800.37,9549975.76,9390357.03,8781399.96,9334481.8]</t>
  </si>
  <si>
    <t>[5019437.18,6279055.53,5739290.13,6713332.14,6093967.43,19477535.2,20476659.23,13886633.3,10973879.96,6830952.93,6974888.64,6008097.44,4801685.31,6609198.95,4961745.87,6512344.29,4699551.17,6786427.64,7475413.35,6127620.72,6321712.52,5255723.36,5929488.6,6410134.95,6001015.21,6360372.18,7153888.67,6399236.85,5383830.57,5984907.13]</t>
  </si>
  <si>
    <t>[5815540.8,5829776.59,5866387.64,5801392.89,5766109.09,12647120.06,5021936.74,13195873.72,7525809.37,6960016,1918098.4,13208920.83,6626121.53,6630091.19,6206256.45,6105790.47,1783823.88,6655316.39,12014236.61,6369218.64,6000147.34,5967420.43,6309081.53,6354510.86,6119497.59,6246384.46,5879487.16,5944515.22,5919273.09,6130276.8]</t>
  </si>
  <si>
    <t>[5870021.86,6318832,6116864.09,6266669.14,6280743.28,6087074.28,6071109.52,6055577.34,6388458.6,6390198.86,6271376.26,6334359.43,6279915.9,6238357.28,6175042.78,2737806.77,6932786.26,6475827.69,6440131.67,6609828.18,6121345.93,6178853.02,6361894.99,6138194.8,6510270.5,6092048.64,6335416.43,6043376.35,6126642.65,6225206.98]</t>
  </si>
  <si>
    <t>[3478122.61,7646415.45,6873740.14,6683460.92,6917878.8,5519252.29,2023751.98,3325878.4,7151536.52,8116262.48,8513612.17,6963378.21,5822592.21,2820973.57,3852273.71,6099365.44,6689876.3,6898444.69,6919994.36,5556729.99,2086755.5,3057244.28,7212432.73,7041862.27,6739989.37,6831835.66,5783535.18,2564597.86,3496140.33,8057873.3]</t>
  </si>
  <si>
    <t>[861731.03,998508.73,1182945.74,1439003.38,1879554.87,2023318.93,1067176.42,2611862.95,2432183.41,2417454.06,3457001.36,3008733.62,3158982.71,1127343.95,5990163.35,3808231.21,3963965.11,4186952.62,4304479.76,4425709.12,1228793.86,8531657.06,5073697.86,5218467.15,5350338.2,5531669.18,5714302.69,1263341.33,2090124.56,10904566.06]</t>
  </si>
  <si>
    <t>[2017898.5,4012244.43,3134552.94,3007583.72,3035900.7,2748150.75,1416046.1,1768634.14,3403225.26,5018735.23,3813286.03,3324298.88,2812227.33,1692667.25,1505370.25,2620089.79,3104468.93,4376672.14,4094582.54,2569126.25,1284232.29,1449702.7,3291400.88,3091435.46,3246247.18,3036969.85,2590475.87,1527836.77,1648966.38,3627950.31]</t>
  </si>
  <si>
    <t>[2017212.56,4017806.85,3152708.1,3011481.12,3042744.48,2758853.37,1343483.4,1900511.75,3287399.41,4367886.05,3801372.91,3293688.38,2817151.09,1672867.74,1490237.66,2618999.93,3016106.08,2976481.3,3196271.55,2570004.55,1232648.41,1424679.79,3289179.54,3096399.96,3013494.32,3050984.19,2598799.94,1504288.1,1586804.63,3644658.91]</t>
  </si>
  <si>
    <t>[66248.01,62189.4,321491.81,68050.66,71864.06,66243.82,200023.48,72728.71,90522.76,77879.19,198396.78,71089.09,73340.43,70550.83,272400.55,2465212.41,3118533.76,4511480.3,4238096.28,3462427.95,4466995.75,3131272.08,69678.58,88529.23,77720.92,71544.83,78831.41,206687.36,80452.6,70870.08]</t>
  </si>
  <si>
    <t>[941272.86,1106184.77,1170622.38,813889.4,502058.46,483374.46,891023.88,495812.24,490796.35,390441.26,477154.6,557907.87,557630.16,703232.63,737289.94,672893.78,663180.58,727526.06,695092.7,672050.4,697677.27,943278.21,813182.16,776604.25,760407.89,772855.66,848450.95,713039.79,507979.6,1096095.33]</t>
  </si>
  <si>
    <t>[57992.55,54914.17,57206.05,53530.49,55190.42,54027.46,56595.76,53412.48,54585.66,54007.38,56573.14,53952.34,57276.24,58525.02,60744.59,60715,63273.96,128725.01,5325810.11,8816061.69,116117.25,163880.51,182445.38,78105.98,82272.95,188698.99,230970.04,115405.77,110970.03,1225058.73]</t>
  </si>
  <si>
    <t>[485424.4,528363.08,552451.78,492113.9,493009.18,479303.29,688260.45,440817.01,479148.09,381389.75,463675.5,546453.19,542795.9,697248.83,757377.62,663287.29,650668.41,715445.69,681116.84,658598.34,711703.98,920612.11,799343.47,766502.84,747408.94,760552.6,836968.19,965011.26,497873.71,1082572.91]</t>
  </si>
  <si>
    <t>[444284.68,449634.34,447442.88,449045.29,447751.06,448645.73,448222.84,452627.65,453201.21,460771.13,450862.03,450194.84,452101.16,450923.96,452045.54,458140.11,453874.4,459564.67,455206.46,456361.05,455874.41,460280.33,460831.74,456713.53,458131.6,459184.84,451566.45,466222.76,458899.33,460741.49]</t>
  </si>
  <si>
    <t>[249888.36,253710.49,253324.26,252669.17,254050.05,252710.56,325553.01,250315.63,251663.52,251351.05,254568.05,253397.04,252816.6,249781.61,250541.13,324674.51,589632.99,534494.89,505613.67,536424.47,568823.37,562991.88,555673.02,540874.29,536905.49,543815.98,542924.97,530535.77,493383.59,516742.73]</t>
  </si>
  <si>
    <t>[18193.8,362689.44,360011.54,361762.73,361246.67,361839.94,360573.68,353403.51,367035.93,368276.9,365138.35,365089.61,366610.83,366172.94,366627.16,371907.56,368399.28,372722.69,369600.14,370007.33,370286.14,370346.16,378211.36,372007.72,372794.32,373466.09,377394.5,374656.22,374042.99,375689.78]</t>
  </si>
  <si>
    <t>[306589.8,307030.07,294403.35,312112.32,340304.84,315222.58,399942.77,337375.83,316071.86,328589.02,317843.68,311418.68,283803.61,324057.34,322117.64,306165.5,307185.74,295986.66,300097.02,296650.51,308020.47,319122.78,301416.68,319104.54,303883.37,303358.85,288037.26,314570.92,320629.16,294296.39]</t>
  </si>
  <si>
    <t>[0,0,0,0,1287176.51,162414.02,0,632157.39,165625.33,0,0,0,0,0,0,0,0,0,0,0,0,0,0,0,0,0,0,114708.97,139066.55,0]</t>
  </si>
  <si>
    <t>[227526.27,221403.67,239654.21,265473.95,258363.3,607496.21,417605.62,687307,255733.27,298145.88,196841.58,462710.85,257614.99,240159.01,226890.71,270188.46,159416.89,268281.18,360157.38,252529.91,265284.27,256974.23,292497.87,273205.07,280280.38,273098.18,251605.12,242959.59,252701.34,255014.26]</t>
  </si>
  <si>
    <t>[182179.02,197751.79,198278.95,206595.35,202631.72,205900.22,196868.92,205348.16,228060.99,228824.21,229616.09,227892.77,227607.76,223674.25,223585.38,223563.47,230773.61,287136.05,488748.45,489519.04,483391.6,481773.54,578034.67,437835.54,303751.96,0,0,0,0,252010.31]</t>
  </si>
  <si>
    <t>[244135.29,256353.6,259816.49,248929.86,254838.59,246343.55,248828.37,4264939.89,107765.05,112600.1,110935.89,107821.33,110752.05,108573.18,108425.86,113132.61,111855.53,114458.07,110049.26,110991.88,108037.88,108691.18,110635.65,155295.85,101257.77,105936.09,101195.51,99761.66,92037.31,110517.83]</t>
  </si>
  <si>
    <t>[243267.62,255477,250524.66,263296.65,272737.43,257913.16,248944.49,272154.54,259260.05,263750.47,269674.03,267836.2,287050.46,250508.04,249324.44,342173.85,319738.96,264506.93,272395.2,279257.42,250111.64,252668.68,268386.22,275235.16,265447.65,268657.31,261574.78,254906.54,252917.14,263631.16]</t>
  </si>
  <si>
    <t>[255694.42,257754.94,256885.11,256639.94,256416.65,258340.84,254941.85,258124.45,256537.48,257253.69,258979.4,256357.59,258021.32,259354.28,255314.41,396026.63,338733.66,261098.86,264942.29,259394.53,255609.63,254858.03,254067.15,256026.37,256060.66,261741.01,261234.22,257536.84,258851.55,263910.82]</t>
  </si>
  <si>
    <t>[144012.87,221784.61,220308.88,216675.46,210840.61,182803.09,135405.17,150961.23,236878.42,920499.11,1292902.05,312172.09,223631.49,134181.78,163027.78,221996.16,240346.44,238964.49,243937.42,216797.55,128167.57,155046.61,264802.36,248593.07,231456.41,239591.98,207302.94,129251.88,144878.77,259828.36]</t>
  </si>
  <si>
    <t>[251457.75,253494.91,252604.76,253878.97,253113.63,255466.3,252565.47,253158.36,253529.26,250905.57,253250.67,255941.44,253864.75,251507.26,253494.97,390092.72,331477.35,256290,262393.16,263214.19,255430.59,254025.28,251467.37,254473.78,260077.73,253955.51,253355.34,251646.71,253277.91,255954.06]</t>
  </si>
  <si>
    <t>[237550.58,314721.45,315783.74,285579.39,286705.98,212966.43,159794,213608.13,238856.67,244621.13,221654.7,217173.04,199998.96,151047.95,165701.08,216225.4,362544.8,304253.94,286488.55,311122.71,232390.31,241687.42,314539.35,343990.57,331185.16,306305.27,291487,245501.83,258267.85,334520.96]</t>
  </si>
  <si>
    <t>[153374.58,161460.61,159499.72,161639,167837.79,170145.87,221197.76,176312.17,216211.89,277623.25,274071.28,275737.94,270292.78,298058.39,300425.58,281528.84,277088.27,275907,275341.9,274194.85,307441.36,318158.46,306216.52,316053.35,313208.53,314896.48,319701.9,327063.43,323891.66,299953.8]</t>
  </si>
  <si>
    <t>[245289.45,252245.49,248904.29,251929.72,250592.02,254465.35,247263.68,250213.89,251443.26,250404.29,251046.95,251969.38,251754.5,248988.31,252506.86,386824.42,324322.07,252080.29,260329.3,256139.83,251202.11,249200.51,251531.6,249875.45,248093.56,248642.18,248211.22,250924.86,251867.33,250190.25]</t>
  </si>
  <si>
    <t>[247563.29,251397.98,251078.86,252093.79,252862.78,252745.18,251530.44,249750.07,251789.05,256572.13,253878.87,252133.4,251682.08,252601.58,248623.21,374488.7,330217.99,251188.87,254201.09,252322.46,248514.93,246924.43,247927.12,251714.65,250393.87,252405.77,248839.84,249228.27,249269.87,252327.86]</t>
  </si>
  <si>
    <t>[243108.38,247749.99,248090.43,248780.06,251216.13,252603.48,252410.3,249996.6,248746.1,252398.32,253989.06,249176.86,254983.12,251546.78,251254.27,370644.78,334211.37,255105.8,257142.32,254742.99,250055.87,248883.28,266323.43,249139.95,247975.79,248535.89,250910.25,246990.69,245939.23,250911.26]</t>
  </si>
  <si>
    <t>[241554.56,247029.33,246986.13,247889.16,250759,249147.91,248788.21,250884.33,250785.88,253104.16,253402.95,253121.44,252895.54,251248.45,252267.48,320412.58,319830.14,247005.96,247902.04,248893.03,247720.01,247998.26,248984.3,250861.29,252647.51,248444.94,248155.02,247477.8,246623.84,247662.23]</t>
  </si>
  <si>
    <t>[238916.84,244412.01,241792.3,242740.7,247072.36,243382.17,240966.61,239719.05,241991.69,243121.67,251254.11,247384.45,246914.93,245811.59,245227.81,344661.46,319032.43,238822.87,241693.27,243220.31,242085.29,240476.87,243691.9,248935.61,245350.07,246184.06,246568.46,247862.96,247466.26,248881.48]</t>
  </si>
  <si>
    <t>[149701.6,152040.84,139775.48,143362.89,149086.76,133317.62,806981.78,136057.6,190956.51,199781.89,182299.22,166856.37,170931.08,835310.53,137690,163156.08,178470.74,190896.79,211964.83,166588.82,824645.31,140593.26,185891.13,165600.85,161600.35,165829.7,147961.05,813503.02,121251.16,163005]</t>
  </si>
  <si>
    <t>[241932.23,240769.75,244854.53,243038.26,242622.89,249482.58,243184.21,245037.52,237175.7,247134.27,245451.74,246258.23,249722.23,244109.48,239732.07,317431.22,340871.97,237883.84,237437.32,236425.97,245716.24,234684.6,242038.01,243030.1,241296.25,238505.12,237393.78,246467.18,232800.12,242698.04]</t>
  </si>
  <si>
    <t>[242800.7,243655.55,242123.29,242228.06,245521.6,240875.43,240878.3,241650.87,242861.54,243823.07,253623.53,249704.99,249878.67,248954.18,249114.26,304402.21,315743.31,239025.62,242591.06,239576.24,235614.07,233989.49,235909.85,235676.71,237736.14,242091.95,243754.92,245332.51,242120.66,244266.36]</t>
  </si>
  <si>
    <t>[139930.62,201845.16,192829.15,214128.28,402428.3,383688.81,252744.24,107363.05,212260.64,220030.26,222852.26,214855.18,230808.94,263663.76,351316.12,227739.04,219913.74,204679.72,206100.74,202005.02,269784.5,369058.47,225247.41,218615.97,215255.66,218104.52,217418.2,464035.15,203068.19,237492.54]</t>
  </si>
  <si>
    <t>[225159.89,226396.69,227851.49,239535.54,233011.69,231920.36,231454.25,234811.88,233601,233633.28,235890.29,233214.17,234892.87,233238.62,234208.12,296377.43,321435.3,239677.79,231906.88,233398.68,232400.01,232755.08,233490.36,232450.81,236367.23,234070.84,230577.47,230691.84,232238.32,231376.46]</t>
  </si>
  <si>
    <t>[226684.99,234984.03,226248.37,228977.19,228307.59,235668.33,237569.39,226945.17,231106.73,231190.39,230390.49,227839.77,248852.99,277451.22,257764.81,252733.35,233795.84,249750.27,250372.89,226516.52,196959.66,204058.23,215294.49,281479.04,224131.81,236854.59,241377.57,243900.89,254912.35,260226.3]</t>
  </si>
  <si>
    <t>[187736.71,295366.63,307339.24,211416.01,196532.04,185987.74,121262.55,119469.69,165905.43,59444.41,94855.36,206485.91,200903.24,159671.53,198267.8,303346.52,311007.02,281026.73,238924.52,221733.4,202956.33,219727.18,324916.55,337069.89,390996.78,346914.17,317916.26,255661.89,272081.48,384383.98]</t>
  </si>
  <si>
    <t>[217215.83,236679.04,218508.08,216453.9,224239.48,223806.54,223599.67,217312.81,233254.34,241724.26,242542.09,241176.98,247061.06,248679,247480.68,242019.51,247096.75,243994.67,238135.18,213861.09,201331.53,197867.01,209472.72,277173.32,210315.16,243732.72,232574.34,234748.85,245270.84,246306.1]</t>
  </si>
  <si>
    <t>[244303.66,249086.3,247163.92,247938.93,233595.49,219810.37,219875.51,204378.09,221614.33,223767.26,221045.03,229085.78,220465.34,228802.09,246807.79,222568.46,218975.28,223117.13,237072.18,223804.57,195426.06,196951.38,204079.01,247865.71,212298.21,246764.94,250262.33,254222.41,260667.4,263301.09]</t>
  </si>
  <si>
    <t>[228083.32,230014.63,225488.65,226003.62,227371.22,226031.48,221117.22,205758.34,219333.94,220803.89,224146.38,221457.55,234956.9,252144.2,249539.67,235847.59,226192.87,240473.8,244338.45,225319.92,207144.11,200998.03,209629.62,277636.32,211923.02,228381.55,232671.22,237628.25,249713,246305.8]</t>
  </si>
  <si>
    <t>[215725.18,231850.34,214430.42,215818.05,222339.06,224357.81,224365.02,204400.5,222517.9,225648.98,219456.03,218532.45,234700.13,244671.21,232991.8,220455.15,222383.86,229022.06,244234.43,217832.66,196379.35,197029.79,207174.34,205838.19,275449.83,257892.68,246881.06,248753.7,249458.77,242708.42]</t>
  </si>
  <si>
    <t>[218776.57,218840.25,218468.93,218546.75,218572.78,219123.89,281811.73,217446.06,219641.07,220844.16,219677.98,220638.77,221220.99,221726.22,221115.93,283307.02,301654.43,218985.17,219175.01,219150.96,219422.81,217196.51,218329.37,218848.53,218811.51,218482.49,217114.57,220144.25,220429.98,220554.96]</t>
  </si>
  <si>
    <t>[208574.56,209339.54,209959.38,207571.89,212938.05,218119.39,216905.85,209297.04,217824.33,221784.95,218701.45,217204.71,228908.89,225644.05,215819.32,219423.77,224431.09,229791.9,232298.52,213449.38,192631.66,192376.22,202036.77,205382.38,274249.21,236450.05,240407.16,244927.37,246196.85,238100.45]</t>
  </si>
  <si>
    <t>[203798.96,218821.24,204564.77,199509.73,218025.84,224637.42,221691.77,217196.45,224897.07,223347.98,222968.45,222057.88,215185.19,246550.94,247093.16,242024.71,235762.11,228622.32,228235.23,220358.6,200741.94,198787.24,207638.18,227461.18,227257.49,263814.88,206393.26,209935.08,211969,207296.86]</t>
  </si>
  <si>
    <t>[213972.24,211154.59,211022.91,212141.66,211655.33,219981.67,220789.2,200643.66,216016.99,217402.85,217154.93,214884.03,224216.02,223417.51,214988.98,213384.5,213325.71,223162.14,225806.28,232126.77,219304.14,195811.84,198226.68,198309.9,263210.73,235902.26,235522.64,236797.47,247181.76,233062.93]</t>
  </si>
  <si>
    <t>[204525.46,206621.33,208501.02,201314.63,205531.61,213946.5,210435.59,158580.24,256554.95,212548.12,209350.1,211822.64,226057.63,236182.86,224935.78,218670.55,221784.21,229701.07,230374.4,215472.4,189895.63,192981.35,198901.16,271828.72,205005.27,237255.88,241922.58,242844.32,241403.36,234855.19]</t>
  </si>
  <si>
    <t>[204163.35,206452.36,206647.02,206824.38,208268.41,213511.58,215721.39,204809.9,211000.9,215811.76,211162.69,221510.63,236230.63,230705.27,225396.03,214634.74,216686.97,224455.7,227658.38,211802.36,192433.51,191574.21,199627.09,198384.3,267610.53,236604.57,236072.48,235015.72,243750.27,237631.51]</t>
  </si>
  <si>
    <t>[116811.09,160908.18,166136.18,155762.73,160125.78,151518.65,115279.53,140918.07,165426.09,839790,1337730.16,226602.54,184156.97,109492.19,126838.22,165610.94,173445.74,174770.11,191786.02,168418.13,108752.8,127836.31,189491.97,173824.25,177705.46,176900.88,153263.94,107979.29,112867.76,181762.42]</t>
  </si>
  <si>
    <t>[204703.04,207084.86,203739.72,208659.74,208140.71,210589.18,210925.36,205660.52,213586.68,212757.65,214155.71,217373.25,229956.75,232291.89,232572.54,230623.15,222695.82,226301.25,227812.6,214034.09,188932.47,191049.42,202334.55,276195.7,203720.18,221276.81,223669.8,226356.68,234953.79,234050.89]</t>
  </si>
  <si>
    <t>[216076.08,220361.79,216018,212357.94,215376.22,216859.02,216124.65,187199.09,217861.29,216645.15,213996.89,217738.28,210949.14,234396.79,243165.79,232698.14,226568.84,222619.29,226499.52,231631.97,210119.52,184396.51,192645.48,196550.62,237643.25,222087.47,222902.24,214270.82,226811.4,229136.55]</t>
  </si>
  <si>
    <t>[207662.33,205702.05,206613.59,204636.13,205828.1,215531.7,213042.01,209769.7,214603.69,212698.78,209181.6,211459.78,229715.91,235123.69,222184.15,211022.1,213771.46,222746.88,230986.68,233197.2,209357.67,192860.82,195483.72,198761.38,263376.11,225548.73,222192.83,223602.2,232351.03,226594.65]</t>
  </si>
  <si>
    <t>[930208.08,908659.82,889242.27,1014941.98,801561.25,73012.78,73316.48,73031.75,73838.58,73468.88,71860.01,80418,71392.59,70733.28,68441.01,70861.96,70464.49,71533.36,71427.22,69835.38,66891.81,68807.61,68737.56,70533.1,67925.42,69044.46,66825.12,68784.28,66297.17,69463.47]</t>
  </si>
  <si>
    <t>[124700.65,135546.79,126711.91,135963.74,127323.18,236240.8,160916.26,141557.81,165736.4,239900.09,194280.04,231518.06,284052.38,250189.41,283468.6,374524.2,195417.26,162379.03,207335.61,204879.68,208736.54,174882.68,188001.34,235114.22,231273.31,269522.13,239807.82,219924.13,214754.36,215902.17]</t>
  </si>
  <si>
    <t>[204106.84,203555.25,203419.93,203581.15,209124.8,208061.87,202870.43,193365.14,205407.36,201050.81,199480.12,202191.8,201005.9,221317.98,214710.67,216406.11,210725.43,212332.03,212644.65,215228.65,196362.41,176103.22,184595.3,185016.04,230331.13,202912.66,202971.21,200215.43,213372.65,213371.96]</t>
  </si>
  <si>
    <t>[198323.1,201494.99,204198.97,204506,200972.49,202988.76,196063.81,192470.04,204198.8,206429.92,195165.23,196900.93,191674.61,204437.54,217133.25,206735.14,208540.82,210630.71,207726,195696.65,174945.62,176411.18,183112.08,228115.13,181754.5,201121.83,202600.44,198287.47,202609.47,203484.68]</t>
  </si>
  <si>
    <t>[135722.02,179443.95,175099,174139.3,170841.77,158130.79,139755.26,151457.82,183594.26,201734.78,194793.65,197915.06,180763.56,162279.99,174935.28,196171.53,215208.85,207312.24,212421.18,199993.34,183476.82,213337.32,224686.64,261589.02,282781.55,257528.45,215695.89,194223.54,209110.73,236719.48]</t>
  </si>
  <si>
    <t>[115253.03,328629.46,587942.25,159188.62,131021.08,159723.1,214096.26,137217.24,103637.25,340010.34,155784.86,248360.3,239501.68,203185.77,152859.94,128617.08,148956.72,136089.84,151698.49,121812.78,99076.2,122506.9,310187.76,150325.93,166405.83,173213,166362.33,108787.55,124555.53,158838.43]</t>
  </si>
  <si>
    <t>[98452.99,80807.11,71464.08,98661.28,234323.62,104204.2,200810.41,273445.37,400540.87,279534.52,150176.04,241992.57,101316.26,60500.29,118885.69,138324.65,102332.08,448353.23,312727.27,449266.26,106228.58,259915.78,92707.35,90663.9,200380.08,209276.51,80855.71,177163.66,80106.22,109786.23]</t>
  </si>
  <si>
    <t>[114943.06,72746.19,73093.54,70033.02,78138.52,72226.31,770091.17,68754.2,83594.97,88735.68,87468.56,72925.89,76081.08,758761.51,63503.84,71146.23,79499.97,86075.2,95877.32,73686.93,756980.88,63836.51,87151.54,77926.4,77885.1,81225.82,72281.53,761034.47,62409.65,74872.78]</t>
  </si>
  <si>
    <t>[113088.42,114664.75,113101.09,109401.01,119237.55,113430.53,119058.37,114794.07,114903.9,232588.31,153347.09,207043.28,116858.03,158632.39,146225.74,166060.07,192858.01,212698.93,200031.1,0,0,0,229952.86,202667.58,180556.06,231220.78,246769.65,0,0,242586.48]</t>
  </si>
  <si>
    <t>[65973.63,79233.46,76424.16,78281.03,80009.12,76950.2,732394.41,66594.7,80464.81,92003.28,90241.93,76003.63,76760.72,764487.05,66856.1,77155.13,85209.11,90647.81,100225.29,80115.01,723923.36,66884.53,82001.02,75924.04,73673.67,80253.21,68981.23,728511.75,56383.33,71248.62]</t>
  </si>
  <si>
    <t>[126027,158446.23,135738.91,324684.83,177455.6,136955.55,146340.92,354094.31,178651.15,316322.54,219409.63,200402.96,125425.38,118639.26,117789.98,132291.37,132365.27,144692.22,142577.91,120655.9,112448.54,114477.54,140857.34,140384.8,129990.95,146927.31,142233.25,114643.88,125030.98,131491.24]</t>
  </si>
  <si>
    <t>[164683.26,197165.26,177852.34,194686.67,294925.02,171604.67,159145.9,161461.46,220919.58,231680.99,230441.72,204705.62,182976.49,120933.03,107253.89,112497.29,122403.23,123596.21,120149.95,108835.06,105170.8,101758.69,131832.85,118586.89,123210.37,118555.88,125850.19,109321.79,116763.95,124115.2]</t>
  </si>
  <si>
    <t>[115115.49,148969.69,149310.14,152744.99,151774.51,142726.29,108762.96,112908.13,156408.99,161603.05,173920.87,178596.56,146244.64,116372.44,123321.01,142946.82,154363.24,173956.93,178088.42,147870.11,168043.98,130350.27,169341.05,171236.52,181043.98,197563.3,152872.63,120070.28,142370.5,170180.3]</t>
  </si>
  <si>
    <t>[151526.05,168262.47,151402.37,137725.64,151827.24,154537.33,138386.77,134996.45,141491.09,137495.61,149070.12,155900.21,146395.42,139582.78,145916.17,154654.53,144735.27,153972.47,152812.27,156143.97,154782.36,147966.85,150897.39,158671.63,163714.19,155097.93,159117.84,149257.04,149900.46,157277.94]</t>
  </si>
  <si>
    <t>[167202.1,159161.23,159464.71,157435.69,159147.42,152910.37,148416.13,202090.33,152543.42,153262.29,158271.24,157560.94,155275.55,152528.59,159838.66,155421.56,157424.97,155275.34,158522.34,153416.02,140833.6,134217.81,127841.89,129128.42,128368.69,134648.75,131794.58,137687.93,122064.33,116985.5]</t>
  </si>
  <si>
    <t>[146268.1,117937.97,122641.71,125874.56,122365.65,136196.98,125531.54,124692.72,142070.31,148685.53,156297.49,167923.34,161655.05,158109.47,162728.53,163588.4,155423.97,159704.42,151997.44,164294.52,154336.12,152861.77,156758.32,162620.08,168873.15,154597.16,157450.31,146812.61,152597.32,152979.21]</t>
  </si>
  <si>
    <t>[142995.39,147422.4,143085.02,143579.25,143726.94,143260.34,141963.85,144556.26,147014.59,148516.33,147204.89,147461.16,147708.4,147216.74,151314.51,24163.67,148326.7,151353.64,147972.11,148332.55,152468.01,150984.85,151068.25,147414.35,146769.73,147157.34,146323.24,147077.66,147137.49,147951.41]</t>
  </si>
  <si>
    <t>[106522.3,141269.42,141434.17,139792.19,140007.49,131452.48,99559.39,103577.09,142768.41,151098.06,160230.29,164864.71,132209.5,106210.19,113583.94,131606.16,140398.15,160183.08,143168.14,137189.43,167438.57,125309.92,162240.47,159899.73,165184.58,162761.88,152369.23,121313.46,168869.75,159716.76]</t>
  </si>
  <si>
    <t>[127810.21,142597.81,146677.25,161813.93,164504.35,193772.97,179721.86,173454.46,152165.48,185396.45,136874.03,161844.98,159593.63,157264.61,157167.11,202777.64,120034.27,130535.75,138590.49,141928.7,96347,116483.84,192950.59,206136.81,146196.51,66531.14,41889.84,41284.6,43579.77,97346.85]</t>
  </si>
  <si>
    <t>[149493.84,136976.83,127612.25,148407.55,148718.97,142746.84,135701.34,134787.63,132254.14,135906.64,139115.32,136699.2,140577.93,139027.93,141403.01,139736.89,140937.9,141628.76,144227.31,138304.96,138299.06,137333.96,133882.9,136589.43,134603.15,134516.71,133899.99,135257.24,140310.29,151464.13]</t>
  </si>
  <si>
    <t>[59768,96348.46,93422.06,104591.35,112595.75,107371.21,93436.81,126914.58,142360.08,145169.47,160697.92,182982.16,148248.73,129033.07,133176.58,161135.04,175394.61,175006.42,190147.72,192953.74,58123.6,59568.73,85624.84,125809.29,159856.87,177622.41,212020.24,150288.98,174236.13,166043.08]</t>
  </si>
  <si>
    <t>[104622.12,124026.37,107917.66,116839.09,105826.16,184521.21,125449.76,0,111396.91,161135.67,129057.01,153144.32,110507.33,125749.07,123018.9,161573.08,118646.17,120382.25,117827.85,0,0,0,139894.67,136474.5,125015.41,118670.1,124814.26,0,0,185733.85]</t>
  </si>
  <si>
    <t>[131008.69,130417.56,130233.54,140000.39,133603.84,132785.73,126064.56,123425.98,124481.12,129600.57,130860.86,127441.5,130298.65,130849.32,130652.17,129174.1,138235.64,133081.77,131570.89,125858.89,126169.31,125756.27,129800.35,127732.05,127062.81,129226.28,126646.48,133374.71,0,142129.58]</t>
  </si>
  <si>
    <t>[130669.56,131883.32,133343.46,137952.84,134351.83,135900.78,128818.05,119078.28,135321.46,135532.51,130110.24,126944.33,130805.65,130049.65,128313.99,129403.03,136599.14,133229.18,132804.93,125938.26,125255.21,124898.03,125801.07,127858.54,126232.35,127530.07,127528.67,139806.64,0,59034.29]</t>
  </si>
  <si>
    <t>[68415.82,93243.1,646474.98,65740.25,66815.3,73680.75,70421.89,67683.75,67375.94,67915.57,68798.17,68829.08,70068.63,68851.4,69308.56,248918.36,147746.44,112709.93,139769.83,100414.6,69770.1,69008.16,262919.91,225947.39,147016.08,181872.14,278590.36,69370.63,74354.17,74567.55]</t>
  </si>
  <si>
    <t>[183960.45,121881.34,119032.87,120607.61,145455.25,131882.42,131827.86,126088.86,125312.16,128820.31,129593.33,142333.86,123799.58,130810.7,132223.35,132307.85,127716.98,136389.75,137321.31,133373.58,130456.78,99683.34,98695.94,101513.8,101317.59,110876.45,109294.03,104776.53,111127.01,103927.7]</t>
  </si>
  <si>
    <t>[99717.33,102333.91,97946.91,105225.42,123493.99,123073.3,121247.88,116129.78,120693.29,122454.63,118806.71,0,0,0,0,0,0,0,0,131296.93,124868.01,118877.24,122518.09,130890.66,123478.6,137635.23,149186.74,144109.98,149698.03,122122.45]</t>
  </si>
  <si>
    <t>[94185.48,93788.7,94685.62,94580.4,94286.98,93788.56,92139.37,95300.02,94646.21,97051.8,94467.52,95444.34,97875.35,111677.58,114390.49,129391.28,120674.43,125809.93,124790.28,120856.86,120801.69,145594.22,168209.12,162107.98,165850.34,165411.9,165018.2,165406.18,166508.97,170431.45]</t>
  </si>
  <si>
    <t>[154929.36,124271.09,123728.38,128126.06,136520.32,125905.56,128578.1,122196.11,129156.07,130333.44,131109.41,139259.36,126619.98,132209.1,107964.91,105093.37,103364.47,111086.42,110177.29,107904.48,107341.43,105746.87,107779.03,108060.72,163882.55,109895.7,111373.89,108109.5,108101.81,109577.41]</t>
  </si>
  <si>
    <t>[81140.59,118920.96,115523.1,113206.62,121465.12,109730.91,76139.61,81960.16,86181.44,93421.68,167906.33,130783.46,120275.43,76136.49,84444.24,130207.52,132503.83,134552.14,133871.14,116752.3,76997.2,83746.65,132817.51,134754.65,212834.95,153922.28,145831.6,102539.68,113484.11,164079.92]</t>
  </si>
  <si>
    <t>[102319.64,104496.98,106432.83,106793.61,107516.08,101937.65,104315.83,102749.98,106590.31,105957.04,103273.35,0,0,0,0,0,0,149165.35,117858.05,123505.14,116399.92,115761.15,117549.81,160668.86,147550.43,121970.58,118769.98,119221.36,120523.65,125190.21]</t>
  </si>
  <si>
    <t>[61753.74,60562.43,59072.56,60569.93,62929.47,63771.67,58446.62,61118.55,58329.78,56356.83,57483.23,61897.79,60652.45,57628.63,63620.71,65989.17,63248.33,59846.45,55064.06,59068.8,57023.68,59372.63,60525.01,63420.12,59160.04,61754.57,60427.15,1678923.81,57325.36,58244.22]</t>
  </si>
  <si>
    <t>[109944.52,112887.72,95234.43,101391.38,107011.61,107275.91,105102.15,103335.25,108941.97,110382.11,113702.17,98545.52,100379.26,104168.72,107785.88,114840.82,105260.78,118932.26,116826.47,120877.18,112837.28,115182.3,113838.05,118117.17,117050.34,120621.31,128498.63,133580.54,128381.32,141331.94]</t>
  </si>
  <si>
    <t>[79495.18,77570.91,76003.45,156531.94,127595.66,101779.23,86868.42,84351.25,110395.08,138794.53,95900.18,102613.8,123177.38,125826.03,119907.1,128629.16,131152.02,124303.43,124922.59,123880.71,122915.08,145716.98,89262.65,108108.09,120638.25,114084.19,95666.7,93734.79,91463.7,103443.17]</t>
  </si>
  <si>
    <t>[57459.05,67446.84,63842.24,68132.95,71893.16,119526.13,68481.15,70817.46,72836.66,78651.97,82649.22,80782.85,86384.51,318453.88,354251.97,310335.06,103466.31,81333.24,80638.98,85967.72,80993.84,83609.77,88897.64,88760.57,95492.66,92217.12,97204.2,95026.68,96395.81,105878.61]</t>
  </si>
  <si>
    <t>[97655.16,99563.12,98457.48,103722.14,106297.1,104458.55,103826.17,104176.26,105726.69,107235.96,107527.55,106966.39,109850.33,107338.82,107083.08,110510.92,107999.7,102499.76,112648.19,113010.66,104098.23,104254.57,108578.75,104884.33,109243.66,109346.71,109871.31,111457.44,108258.35,114842.14]</t>
  </si>
  <si>
    <t>[91426.2,93166.92,92979.81,94212.7,94230.59,94698.88,91462.57,93220.61,94257.79,93923.4,103242.44,102510.21,103927.81,103621.88,104494.98,105721.94,112218.36,104646.18,107056.33,118033.37,119139.46,118653.8,117008.8,121526.53,121092.63,121586.87,118567.7,118379.35,117224.91,121446.08]</t>
  </si>
  <si>
    <t>[106054.64,188534.07,103024.47,98055.13,99439.78,93650.65,87124.91,84380.35,88200.7,89005.48,91204.3,88501.45,123151.38,153191.5,90495.5,90228.68,101218.53,99896.1,139234.79,99396.03,98368.3,98443.87,99718.37,96927.18,102540.71,108599.64,104599.64,101129.13,158980.14,88656.88]</t>
  </si>
  <si>
    <t>[109911.42,109016.93,110553.82,112290.13,108835.8,111820.84,106468.81,98271.2,101266.48,102698.77,103337.61,112951.33,104129.92,102867.96,101888.05,101814.3,101528.64,103730.39,103902.06,102063,103684.35,103021.96,100668.74,103473.37,102167.57,103374.7,101921.89,105678.12,111420.86,101633.24]</t>
  </si>
  <si>
    <t>[196033.27,177446.97,162210.36,150816.54,141472.17,136078.42,128708.6,122113.05,118331.81,111345.5,105448.61,102185.63,100071.25,85302.61,77048.76,77279.87,78121.17,76996.32,78843.27,77957.96,78526.21,78967.31,80080.25,81013.88,112023.31,82199.37,80740.08,81271.73,81198.1,83302.77]</t>
  </si>
  <si>
    <t>[91007.09,92953.11,92542.39,95746.91,93100.71,94527.19,92633.13,91491.42,94430.25,100679.33,100871.56,100395.4,101860.27,100781.12,102764.46,101023.92,106494.86,103211.38,102181.45,98747.55,101076.22,102444.61,100677.09,104026.74,103259.1,103642.7,100615.86,102795.8,102626.56,103594.1]</t>
  </si>
  <si>
    <t>[92004.13,91993.01,91961.86,92283.35,92382.74,93656.6,92263.98,91237.21,96548.58,92732.37,94653.49,92223.73,94930.13,92720.68,92603.61,92131.99,97358.38,95935,95268.88,92260.19,92120.3,89862.38,91174.02,96819.88,90350.25,91921.61,91210.35,91515.45,173852.84,93912.6]</t>
  </si>
  <si>
    <t>[94977.78,95957.04,112303.75,90907.72,94316.86,93930.17,84874.67,85415.15,86749.11,84236.97,88723.22,92490.9,85834.99,81416.3,87709.17,88720.1,93877.08,97558.94,101648.14,102279.12,101281.95,96024.64,99905.64,110137.18,98674.82,105291.41,102489.04,99717.89,90969.74,93507.14]</t>
  </si>
  <si>
    <t>[83717.63,89679.14,89308.59,91535.43,94711.05,94394.47,90937.56,88739.54,86813.8,95372.09,94802.51,95392.24,91043.12,92014.25,90654.53,91132.21,92926.81,91709.87,92187.98,93654.57,94352.51,92734.11,92919.76,98230.71,100880.13,99479.31,94959.63,91821.94,92121.71,92514.62]</t>
  </si>
  <si>
    <t>[69551.41,61307.87,61200.87,68804.16,87685.43,93238.83,87677.25,88349.22,89459.23,89942.5,92291.61,89342.4,92234.55,85191.44,84613.96,86644.25,85962.8,87171.01,90323.2,140349.74,97255.67,96507.02,96898.45,100533.6,98483.03,106792.93,104539.55,91000.77,101376.39,96267.6]</t>
  </si>
  <si>
    <t>[42664.58,73868.22,62046.07,67106.02,77847.93,63617.16,55475.21,55221.3,98296.15,120397.66,110422.13,104977.26,83716.62,55446.81,60895.39,76465.21,81190.37,257786.57,99411.24,96873.86,63937.55,60857.35,150962.79,189692.32,0,0,0,0,0,101595.73]</t>
  </si>
  <si>
    <t>[84445.11,85436.35,83769.08,84370.71,84718.42,84441.37,84614.54,85079.06,85044.71,84796.41,85020.44,85056.61,84291.46,85154.57,85521.42,84627.59,91033.91,88891.83,88151.91,106603.53,86199.96,83952.82,83793.32,85014.88,84264.68,83907.85,84305.81,83921.29,160630.92,85323.55]</t>
  </si>
  <si>
    <t>[55093.43,58055.1,52779.15,55603.92,51413.16,52539.77,50047.55,540960.71,61462.32,62092.67,68955.28,71606.37,61066.17,59086.4,61670.22,65289.7,73876.76,129968.14,107636.74,99353.3,71057.24,70613.58,80192.47,76082.58,127826.45,75327.73,67875.72,72313.54,80654.5,72692.8]</t>
  </si>
  <si>
    <t>[77363.93,84280.9,83812.4,84483.37,86998.49,87134.9,84044.78,86519.54,85985.08,86733.37,85921.41,86286.97,85232.04,87042.52,85560.36,91474.49,86804.02,88696.14,87724.71,88489.01,85506.23,88714.32,88893.31,92402.87,88214.43,89802.49,88132.89,88607.9,101890.97,87340.27]</t>
  </si>
  <si>
    <t>[80718.32,82244.35,83949.59,82998.6,84110.65,86510.52,86736.19,86024.48,87523.8,86177.64,87833.59,84955.03,86485.21,82941.01,84273.58,84684.03,85761.51,85216.41,86760.74,85686.5,88021.87,85558.71,88467.08,89146.03,88476.09,87075.73,88555.09,118731.99,89584.81,88466.91]</t>
  </si>
  <si>
    <t>[78662.22,81662.36,79175.36,80276.53,79429.95,82335.68,79085.93,79802.91,80072.64,79269.94,81754.42,79056.02,82740.44,79271.94,81198.2,80182.15,81056.52,80470.8,82016.53,80059.46,80621.24,79487.06,81199.01,80043.87,82029.98,81427.6,81583.65,79533.99,137009.88,80774.76]</t>
  </si>
  <si>
    <t>[75207.28,76170.97,77958.91,104475.96,121716.28,125630.02,125367.07,119719.81,98966.64,80571.05,79046.08,79119.3,75282.05,74032.94,71003.65,73193.11,71663.43,72630.67,73185.94,71625.61,66897.03,66323.37,69650.71,70949.95,69045.28,68755.21,67547.93,69404.16,67087.35,69167.29]</t>
  </si>
  <si>
    <t>[79013.45,79115.33,79448.15,79988.93,78585.99,78833.81,78034.7,75665.1,78666.59,79473.02,79301.24,79255.55,82668.29,81546.55,81246.45,81226.63,80319.02,79498.1,77851.07,79851.09,77170.83,76874.95,77256.42,78809.34,78053.15,77105.1,79208.23,77742.94,132578.31,76595.69]</t>
  </si>
  <si>
    <t>[72919,77349.43,74589.33,76747.78,79397.54,81085.78,79003,78330.17,77024.49,82180.34,76008.43,80348.42,80650.76,79753.72,79607.93,79978.52,84211.17,79817.64,80115.07,79365.04,77872.91,77996.11,83475.41,80452.77,80454.56,81745.68,82479.62,80298.44,79835.31,79580.71]</t>
  </si>
  <si>
    <t>[76745,83073.34,76081.48,78128.88,77067.32,79295.49,78585.65,77000.25,75991.17,77364.59,83561.39,84245.19,80221.08,78156.68,78391.62,77654.71,77593.79,78102.84,80661.61,80094.93,79007.35,78414.59,78652.02,83340.43,78892.36,81167.76,78261.94,78918.17,79273.76,79279.14]</t>
  </si>
  <si>
    <t>[76099.11,81686.64,79924.23,81653.73,81114.59,80065.57,80519.77,79419.07,84783.66,86379.13,91588.78,77702.62,75333.58,71629.57,72157.06,75050.56,75569.66,76553.31,78858.66,76096.32,76089.34,75586.84,79674.06,79303.61,79548.41,83766.22,77539.78,76099.24,76041.37,85098.66]</t>
  </si>
  <si>
    <t>[0,0,0,0,0,0,0,0,0,0,0,65529.76,58888.15,58336.93,57699.99,57841.48,58438.7,59402.65,97132.47,92596.96,89735.27,85387.87,89606.62,91033.43,90691.58,85901.51,89895.7,86102.76,87938.51,86290.34]</t>
  </si>
  <si>
    <t>[75429.9,75221.85,74696.68,76163.76,75848.22,79494.17,77202.8,74751.46,77345.48,76677.08,77216.5,81917.99,78567.93,77087.82,76852.34,82859.45,77991.19,78368.69,80540.88,80438.96,79903.3,79038.64,78109.51,79709.41,84924.65,78596.08,78441.33,78768.88,77563.56,78238.4]</t>
  </si>
  <si>
    <t>[76530.45,73637.07,75222.16,80233.61,75663.66,80732.59,79876.11,80194.63,82103.87,82372.3,85139.1,77872.63,80400.93,80193.12,83730.2,80279.28,81569.44,80681.26,82585.54,74046.25,77364.57,75306.07,76007.11,78676.62,70453.79,74333.07,76428.21,75355.41,75151.3,74742.74]</t>
  </si>
  <si>
    <t>[76419.26,75490.56,75220.67,76836.22,75967.28,76182.55,87484.8,75311.32,76541.74,76406.12,77779.23,78060.19,77279.57,77237.79,76525.39,76984.48,82479.59,79368.34,78286.28,81624.12,76685.86,76171.99,76451.04,78699.48,81959.7,78666.87,79986.41,79130.23,76265.09,77613.59]</t>
  </si>
  <si>
    <t>[74975.21,75782.33,74987.18,76036.57,76159.86,76164.18,76465.37,78496.45,74339.11,76978.88,75927.55,76768.09,78475.77,76706.37,77036.75,75770.87,76645.05,75892.48,80217.09,80189.36,81027.73,79752.17,77235.04,79718.61,78740.71,78596.47,77307.09,77124.15,77753.21,79150.56]</t>
  </si>
  <si>
    <t>[75340.71,75749.28,75535.27,76076.91,75785.89,77157.28,77507.98,76502.82,74466.22,76524.37,77278.74,76227.82,76798.57,76545.73,76090.78,76464.79,81457.51,76095.48,78914.37,79598.05,77110.99,76535.31,76738.16,78256.58,80618.62,77821.83,77361.4,81750.98,75785.29,77966.59]</t>
  </si>
  <si>
    <t>[70656.24,69836.92,71662.29,72004.53,72262.94,74730.89,70578.31,71502.96,71873.98,72838.72,75749.78,75855.71,74088.44,71142.25,72041.43,74316.13,74356.19,77060,78160.2,74991.22,71258.76,85320.39,77068.8,80837.78,78747.48,83900.03,84775.04,81820,86896.86,83271.59]</t>
  </si>
  <si>
    <t>[73988.2,72594.57,73444.64,76107.6,75305.63,76430.01,73085.49,74377.64,75314.23,75848.39,73340.12,73185.41,75964.94,74568.06,76124.75,73361.34,83736.11,78689.64,75421.29,76703.68,77692.77,77074.29,77959.59,77367.68,76769.61,76591.41,77234.14,76583.07,76501.02,77741.52]</t>
  </si>
  <si>
    <t>[69755.67,71148.9,73605.64,72544.02,72493.65,73782.46,71799.32,71974.21,68175.57,69875.55,71358.03,71324.87,73092.22,70726.71,71175.22,71908.65,74374.44,75221.54,73021.79,70349.62,69734.68,69619.56,71578.49,72879.54,72187.68,71612.21,71143.44,69901.62,69638.8,71088.35]</t>
  </si>
  <si>
    <t>[68988.2,69026.2,66746.01,65710.77,65524.74,65590.18,65533.69,69580.47,64514.56,64892.23,65852.55,65848.01,69921.23,64782.93,64783.96,65082.08,67674.74,68951.16,69400.73,64612.85,63271.14,53064.29,53814.86,54505.53,136250.8,182726.29,51942.8,50775.36,51580.33,54469.05]</t>
  </si>
  <si>
    <t>[67724.88,68050.45,70299.58,69126.05,68813.27,69041.53,67846.08,67506.45,66917.59,68055.72,68124.75,68352.62,69787.43,68876.84,68871.64,68272.2,69115.02,68896.55,72225.54,69714.59,69446.74,69133.37,69949.43,71165.97,69915.23,69231.92,70185.29,69013.21,69698.55,69416.6]</t>
  </si>
  <si>
    <t>[65292.02,67039.04,65571.14,70288,71287.56,67993.21,67873.88,65124.34,76168.65,73090.58,69278.47,71646.67,71201.24,65294.17,67295.44,66428.89,66867.43,67173.61,67513.39,66222.09,64900.69,64962.17,70002.65,66889.53,66318.22,68397.79,65746.05,65631.63,70330.5,68102.44]</t>
  </si>
  <si>
    <t>[67088.12,66491.03,67665.02,67361.21,67479.16,67366.86,66285.03,65657.18,66189.21,67504.02,66398.86,65609.93,67847.89,66789.52,66414.99,67343.87,67836.34,67679.64,63457.02,63427.57,65229.21,63270.36,62188.54,63386.26,64277.19,64981.97,63282.66,63902.55,945760.57,0]</t>
  </si>
  <si>
    <t>[62393.67,62540.89,63606.09,64557.44,64698.17,63637.8,63963.64,62590.05,64366.85,65397.54,65301.7,68749.59,65120.53,66390.13,63733.18,65155.83,63824.6,63341.39,68985.84,66186.47,64946.14,64386.78,67512.09,65641.69,67490.78,64172.28,66846.74,65842.35,115740.26,63433.02]</t>
  </si>
  <si>
    <t>[55232.44,54508.37,56501.58,61767.22,81112.13,56974.39,59715.13,57462.59,62277.03,69372.81,63236.44,65887.76,73952.87,74066.17,65062.08,66528.68,72244.87,70730.48,67145.83,69112.58,64583.27,68443.79,71670.13,66950.4,66008.05,67489.68,66191.35,68220.9,66728.24,68467.9]</t>
  </si>
  <si>
    <t>[0,66051.29,63239.94,62179.95,62248.71,60794.31,0,0,62841.8,69616.28,50906.93,74345.54,53317.23,0,0,62840.32,62831.21,61078.32,66717.26,62026.74,0,0,63621.41,66318.51,65045.04,63354.29,59344.04,84889.34,106244.97,64220.39]</t>
  </si>
  <si>
    <t>[63942.62,67223.09,64426.37,64340.49,66765.17,76088.79,67796.3,89972.28,80232.28,71648.07,72808.18,84698.69,72776.5,68814.17,74135.49,75657.87,58256.3,48784.33,58428.25,53704.73,44870.42,49177.95,55049.67,60809.9,66092.16,62950.32,54682.56,49027.57,51516.88,54835.05]</t>
  </si>
  <si>
    <t>[60614.38,57766.94,59603.73,60511.11,60528.16,63356.39,62222.03,62718.07,61391.54,61606.21,64448.5,62766.6,63024.26,61462.59,61042.6,63253.77,63838.28,65619.82,64271.99,63042.54,61051.92,68046.96,66838.12,67199.4,66068.57,69774.27,66979.09,69615.38,73536.56,69108.48]</t>
  </si>
  <si>
    <t>[61861.03,60479.81,62854.79,60383.52,62675.76,60372.43,61760.38,60519.4,62277.11,62260.79,61194.47,59750.5,64209.67,60079.51,61625.81,61511,62284.74,60856.83,62018.12,61094.42,61711.13,61107.71,63589.35,59444.91,63821.46,60381.13,62933.61,60584.29,63154.07,61731.18]</t>
  </si>
  <si>
    <t>[61142.02,59298.27,62221.05,59488.57,62884.5,60087.56,61625.79,60239.33,61518.05,59646.22,62782.47,60196.1,63684.71,59186.2,62405.34,59910.65,65689.89,60010.8,62395.21,60334.64,62919.86,59033.17,61101.77,60853.09,66333.66,60142.87,61656.83,60014.82,62003.36,59596.09]</t>
  </si>
  <si>
    <t>[61255.43,62001.18,63663.42,62250.1,63424.57,64166.33,64379.06,64897.27,64504.57,62163.1,59025.69,59138.53,59367.06,57116.48,59203.03,60802.41,58007.29,59891.11,60582.33,60103.5,60226.07,58979.97,61369.39,61810.32,59844.2,62418.14,62697.56,59878.08,61668.05,61052.19]</t>
  </si>
  <si>
    <t>[0,0,0,0,0,0,0,0,0,0,0,0,0,0,0,0,0,0,0,0,58839.67,0,0,0,0,0,0,0,0,0]</t>
  </si>
  <si>
    <t>[56976.44,56819.14,54100.47,59577.94,54508.24,59232.57,61059.07,57989.95,58654.08,51584.64,55241.11,57036.8,59779.51,55378.62,60478.94,60982.41,59263.35,58541.77,56693.19,58477.18,58013.2,58015.21,58114.48,54220.23,57739.44,57554.78,58202.05,60787.31,57399.11,57326.73]</t>
  </si>
  <si>
    <t>[54479.46,59219.74,60407.73,61428.89,60128.11,86487.85,49074.28,48870.9,51788.1,52411.68,54191.17,50025.66,53331.54,46906.1,50140.1,53392.85,50687.44,53989.01,52415.82,50708.77,49599.82,49690.91,55764.44,88100.46,56407.35,58927.37,59891.34,52152.54,53940.16,56805.13]</t>
  </si>
  <si>
    <t>[0,53276.82,0,48399.86,49820.32,0,0,0,0,60560.35,44725.5,157959.82,44772.33,0,0,53102.8,0,49535.11,0,51968.72,0,0,49932.61,53772.38,53725.55,47290.14,48879.58,71246.94,102635.97,53848.21]</t>
  </si>
  <si>
    <t>[49122.99,53883.05,55043.66,54230.16,53320.2,52577.56,53242.05,48797.54,56325.24,51572.84,55240.38,55334.81,53688.72,49353.7,49914.76,52364.13,52083.18,52429.46,55247.36,52168.49,51240.94,49826.52,52979.79,53754.6,92582.49,58725.64,61103.09,55565.08,55305.85,56884.99]</t>
  </si>
  <si>
    <t>[42133.86,43423.64,42142.13,43656.91,45927.43,42800.73,45608.34,43592.36,41850.27,44752.43,44438.27,45927.62,45234.04,45368,43821.02,44634.92,45480.42,46981.41,47001.75,46527.69,46431.24,46510.68,45564.52,46811.4,127992.75,82884.95,86049.71,81492.7,82072.84,103562.93]</t>
  </si>
  <si>
    <t>[52559.45,55298.77,48325.16,56107.02,50143.2,56999.57,70402.45,59367.46,55371.1,48807.74,52582.77,47124.87,47102.1,43775.9,52341.19,48170.43,54913.35,54229.62,60880.36,51896.07,47192.72,45229.15,56395.63,52553.02,91031.62,51960.77,54781.47,53221.45,53611.7,57820.83]</t>
  </si>
  <si>
    <t>[47293.47,52042.23,51861.25,52816.04,51588.56,52348.69,54785.01,48901.07,52323.11,52212.69,54768.97,52233.08,54008.5,51006.11,49759.28,55291.27,53982.78,52119.55,51730.75,54270.76,51101.27,51490.43,53918.94,53122.5,93425.41,53967.21,53289.16,50462.57,50542.48,53728.88]</t>
  </si>
  <si>
    <t>[24679.75,27949.81,24045.86,23000.42,24505.42,23222.97,24958.26,26692.1,27835.62,28860.11,24110.86,23504.85,25438.41,578985.16,304306.57,29757.48,24002.35,28144.52,23561.94,24574.95,25013.85,28673.78,28104.86,24181.76,24923,24131.65,24504.18,31953.33,24515.82,24078.81]</t>
  </si>
  <si>
    <t>[44418.35,48386.04,47097.33,48274.09,47908.65,63298.94,49978.74,47414.83,57471.61,60860.81,48987.8,51080.46,52746,51197.16,50438.1,49832.08,49885.13,44025.7,41816.51,48539.87,42069.61,46935.77,44485.59,59869.24,50470.71,94175.19,44960.55,85304.9,54414.74,48218.83]</t>
  </si>
  <si>
    <t>[42368.99,42122.16,42122.45,41985.1,45393.05,44200.91,42307.08,41232.7,42279.45,43364.39,43119.92,42057.72,40950.38,46787.55,42746.49,42718.83,43280.67,45033.96,43250.32,42249.75,41576.74,44521.95,42532.81,83715.2,68677.77,78967,80862.53,82471.53,81160.26,82192.53]</t>
  </si>
  <si>
    <t>[55531.76,54983.45,47249.48,57128.68,56655.66,45315.38,57346.89,45222.83,44855.05,56141.23,61234.86,44969.16,45386.02,47493.77,45532.07,57275.41,49659.04,44507.66,0,0,0,0,0,0,0,0,744993.25,45084.75,47715.58,45434.97]</t>
  </si>
  <si>
    <t>[43547.82,45072.69,43403.97,44810.75,50547.77,53165.46,50971.74,51570.68,50005.81,51790.86,49594.99,51701.22,49773.52,51192.03,48315.2,47513.9,51907.78,50446.28,48834.38,73810.3,49773.17,51936.2,51278.78,50488.66,45714.23,47478.08,45228.54,47287.66,49095.88,47480.12]</t>
  </si>
  <si>
    <t>[37490.69,39435.43,40070.12,40408.03,38291.55,39077.58,38183.42,40189.03,39272.8,40841.66,40053.78,39768.48,43261.95,38214.56,38013.37,41038.53,40550.63,44580.27,46754.42,40758.18,49402.86,48527.14,49447.84,49484.53,105143.83,69307.92,68631.98,66905.28,68293.72,69621.47]</t>
  </si>
  <si>
    <t>[0,0,0,0,0,0,0,0,0,0,0,0,0,0,0,0,0,0,0,0,0,0,0,0,0,0,61835.46,38006.33,37151.93,56327.02]</t>
  </si>
  <si>
    <t>[51054.4,45884.18,46242.55,45393.92,45712.36,48427.58,40387.43,46651.97,44922.37,47405.55,46763.81,47085.46,45701.5,43405.33,43050.24,46653.64,46420.1,46360.42,47608.04,54660.15,42633.71,43231.28,46710.34,47437.96,47771.69,49039.65,47031.47,42342.16,43561.3,46643.68]</t>
  </si>
  <si>
    <t>[55681.53,54863.85,53750.16,55495.19,54827.28,54884.55,55993.52,51954.7,55186.9,54318.12,56713.59,55538.32,55347.47,55067.68,55611.76,55304.3,51624.64,55083.47,57054.94,55726.48,55919,55239.84,47341.6,18151.14,18804.49,18540.5,18151.52,17168.44,16227.81,17830.15]</t>
  </si>
  <si>
    <t>[52031.83,51620.26,51517.21,52100.16,52168.7,53336.66,45682.8,39149.71,38068.43,38602.14,46408.18,41659.64,40912.63,40473.41,40986.9,39524.57,39579.66,39511.84,43915.27,41986.54,40870.23,40792.91,41538.73,40589.5,44062.93,42627.57,39737.41,40504.93,41217.02,40964.04]</t>
  </si>
  <si>
    <t>[44080.54,38918.1,37309.89,37720.73,38832.78,41679.17,39387.03,38301.78,37194.24,38696.5,39545.99,38990.65,40858.36,38628.18,39036.67,39953.67,40414.94,141787.83,50190.07,37855.52,37590.6,37667.57,38418.37,37956.8,40046.53,37420.39,37027.67,38220.33,38319.42,37730.93]</t>
  </si>
  <si>
    <t>[31978.07,34881.91,33143.65,34322.35,34991.51,39436.64,32574.64,33294.61,41582.58,48335.1,45198.51,40824.36,41650.05,31599.82,32788.45,36089.24,36405.18,136061.5,38003.8,52399.3,32828.71,39591.33,36220.07,42618.72,36293.16,35377.84,40323.96,34758.62,33168.23,45897.06]</t>
  </si>
  <si>
    <t>[58272.29,59344.37,55750.36,56947.41,56985.03,59542.8,58662.48,58899.59,57530.29,53186.01,52423.67,38118.57,19227.86,174233.57,20726.18,22394.4,21279.96,20084.02,25455.41,19564.4,21460.52,21940.71,19517.03,22391.39,19550.26,22509.25,21206.9,19347.63,23090.97,19887.12]</t>
  </si>
  <si>
    <t>[36144.29,36747.54,36112.5,38326.59,35887.4,37575.91,35274.96,34084.91,36451.61,36601.94,36286.1,37247.92,35763.55,35279.47,35351.47,37087.08,37486.45,36560.92,36533.92,35966.47,35923.79,34886.11,35762.37,37653.88,36395.87,48030.12,39334.62,36660.3,37389.98,39532.45]</t>
  </si>
  <si>
    <t>[45657.6,40206.81,39907.97,39868.44,39868.37,41688.53,40543.88,40690.97,35316.6,36819.07,37434.51,37718.51,40712.44,38459.9,34670.69,34312.99,34428.02,38972.07,36810.15,34341.55,34215.18,33186.89,33148.2,33564.25,33785.24,34065.71,33925.29,33684.58,33269.09,33742.98]</t>
  </si>
  <si>
    <t>[22173.27,37958.08,35468.09,34899.08,32364.29,27747.73,18560.33,26100.41,37197.68,45762.59,40757.75,36683.31,29205.5,18113.34,25618.87,31558.3,31011.16,37242.86,30966.79,29710.24,18854.33,26416.36,39398.75,34246.31,32699.2,32838.59,35151.39,18699.21,21320.41,37978]</t>
  </si>
  <si>
    <t>[28842.91,34855.87,31267.82,32453.03,27814.94,35564.15,28203.1,26216.46,33829.95,40742.96,32781.56,28261.64,34469.56,29647.4,28723.25,30948.86,26184.47,27687.08,29627.81,27586.1,25337.91,28269.16,28788.85,28008.93,26656.79,26301.66,22719.07,20565.37,34268.13,26864.14]</t>
  </si>
  <si>
    <t>[27014.12,28504.73,29065.48,29930.32,30060.46,28903.36,27569.78,26608.92,29580.92,30395.67,30012.04,30200.62,30800.25,27498.88,27206.88,29930.8,31626.39,31021.84,30445.47,29823.35,27729.63,27275.73,30628.91,30647.15,30981.39,29980.64,29819.24,31375.37,26346.46,31210.68]</t>
  </si>
  <si>
    <t>[27259.59,27242.79,27381.7,32216.83,26983.76,30198.15,25932.94,27512.26,30408.18,28181.13,27952.05,29450.94,29279.93,26724.67,26738.44,30510.16,30322.35,27457.46,29440.98,28052.31,28158.46,27427.83,26911.77,29752.54,30260.42,32395.67,30157.93,26698.4,26925.65,28908.3]</t>
  </si>
  <si>
    <t>[17470.25,20504.3,18240.79,42946.44,18238.59,18019.95,18091.31,45712.73,45781.32,46893.79,18035.38,17936.64,17986.61,18186.85,46561.96,17688.91,17719.37,47099.88,17987.29,18087.41,17812.41,46985.7,47772.3,18600.25,18154.09,18222.34,17420.66,24044.97,18502.84,18580.62]</t>
  </si>
  <si>
    <t>[18260.34,22689.23,18630.34,18133.62,18419.28,18604.64,18462.84,22816.12,22750.72,23472.86,24027.31,24859.82,25972.33,25360.88,24486.73,27673.81,25642.94,30126.21,25707.74,27056.94,27949.9,30503.53,30104.41,26509.44,26749.19,25737.09,26112.52,26544.12,26975.71,26693.42]</t>
  </si>
  <si>
    <t>[23288.25,27848.95,22728.12,23545.01,23945.32,23124.96,24213.17,28235.55,27808.97,28141.27,23673.25,23075.01,22966.23,23163.82,27964.09,23471.59,23257.08,28010.83,23346.28,23698.31,24778.95,26729.8,26529.44,22850.62,22273.29,22544.76,22374.05,22833.53,22713.23,26306.75]</t>
  </si>
  <si>
    <t>[19993.35,24309.93,20212.82,20557.23,20535.15,20393.94,20992.66,24128.62,23737.93,23878.45,23067.23,22779.59,23523.24,23485.96,23287.68,29259.74,23156.57,27895.76,23589.18,23621.38,23730.31,27155.11,37692.37,22987.29,22138.99,21911.62,22122.37,21625.94,22419.13,22236.17]</t>
  </si>
  <si>
    <t>[22573.68,25240.21,21936.44,22194.43,21096.73,22061.83,22564.43,25055.15,25559.17,26087.92,21986.75,21411.11,22272.78,22849.15,22583.25,27395.98,21317.14,25307.92,21893.07,21544.23,22387.28,26587.95,25523.68,21126.66,21128.19,21780.74,21677.95,30270.77,23848.66,22892.8]</t>
  </si>
  <si>
    <t>[21858.47,22635.52,22539.18,22515.24,22447.82,22259.2,22897.33,21987.57,22639.5,23474.46,22724.38,22604.43,23528.55,22689.1,22208.53,22498.02,22491.96,23067.66,22758,22273.2,21911.13,22873.77,22609.51,22817.75,23055.92,22481.62,22633.33,27745.26,22790.81,22873.64]</t>
  </si>
  <si>
    <t>[21907.24,25578.26,16871.71,26785.36,18094.7,25875.65,22515.14,22009.04,24293.35,27071.03,22601.08,18209.78,25771.15,22268.15,18751.78,28540.9,21496.77,24275.92,23061.83,22430.19,21962.05,24966.3,24402.03,22477.65,21893.71,21674.26,17557.68,17108.12,30637.12,21310.15]</t>
  </si>
  <si>
    <t>[20789.96,23688.21,23708.14,21134.74,22322.31,21506.75,22655.1,22701.9,21304.03,24136.34,21764.38,21630.25,21928.62,22734.74,20799.63,21291.49,21230.51,22261.66,25163.89,21344.31,22958.17,24054.79,21405.77,21854.51,22193.26,21353.44,21805.54,25530.78,20951.96,21605.38]</t>
  </si>
  <si>
    <t>[19486.91,23711.4,19804.22,19567.68,19617.27,20105.08,20277.35,23349.59,23546.69,24356.72,19627.59,19519.01,19482.41,19168.43,18831.62,23631.65,19209.67,23626.26,19363.27,19459.37,19451.37,23448.44,23247.18,20625.66,19553.23,19466.36,19337.05,21734.66,19368.99,20996.96]</t>
  </si>
  <si>
    <t>[18458.51,22405.71,18417.48,18304.14,18390.3,18083.98,18081.3,21979.98,21480.54,22109.92,17877.87,17809.95,17786.03,17800.72,17805.77,21865.47,17815.97,21981.25,17673.61,17948.9,18171.77,21888.37,21722.72,18108.69,18046.14,18173.17,23666.27,17416.31,17772.84,17957.28]</t>
  </si>
  <si>
    <t>[14991.95,18474.12,15317.95,15455.28,15362.66,15337.74,15090.8,18298.9,18221.57,18407.28,15470.26,15477.67,16103.75,15549.7,15573.02,18762.56,15496.3,18770.88,15724.9,15671.15,15445.84,18311.41,23922.08,15370.25,15543.34,14950.17,15090.06,16224.16,15395.52,15596.26]</t>
  </si>
  <si>
    <t>[13781.61,16864.25,13792.79,14101.86,14088.88,14207.07,13928.48,17296.31,17010.81,17377.75,17616.63,18691.99,18604.52,15400.99,14343.02,17818.68,13446.28,17728.11,14574.58,15840.3,18508.8,16825.47,17610.06,14325.49,14549.26,14587.37,14121.48,14672.12,14128.4,14176.77]</t>
  </si>
  <si>
    <t>[14406.41,14094.87,14347.18,14211.84,14061.99,14382.85,14449.23,14295.45,14089.25,13449.04,13179.19,13412.77,18108.27,16630.6,17104.12,17379.77,13996.17,18952.92,16031.44,14691.3,20172.59,18327.67,18753.31,15313.97,15129.46,15503.59,16353.68,15385.82,15023.11,14969.98]</t>
  </si>
  <si>
    <t>[14100.41,18382.92,14113.17,14148.88,14160.33,14413.68,14430.44,18113.32,18054.52,18489.84,14494.19,14174.01,14217.75,14025.97,13887.22,19203.21,14281.04,18688.18,14305.56,14779.19,13941.99,18631.45,18051.62,14055.17,14087.67,14161.8,13862.19,13834.83,13904.97,14234.92]</t>
  </si>
  <si>
    <t>[14551.78,14696.19,14376.95,14593.39,14543.05,14626.36,14864.89,14999.4,14894.59,14815.6,14186.67,14316.15,14222.12,14336.43,14567.91,14628.93,14365.37,14893.61,14686.25,14417.75,14052.32,14803.2,14278.78,14618.28,14883.99,15451.63,14653.29,14474.92,15033.68,15229.9]</t>
  </si>
  <si>
    <t>[12721.24,16932.08,12592.34,12840.29,13829.97,13834.29,14322.02,17032.73,17016.32,16994.68,14809.54,12752.05,13449.66,13092.28,12989.23,17032.99,13117.05,16650.66,13176.69,13293.82,17371.98,15432.77,16307.73,12839.33,13196.99,13108.17,13133.16,13244.72,12802.44,12869.04]</t>
  </si>
  <si>
    <t>[11805.53,15225.66,11960.92,11835.18,11891.66,11881.16,11858.69,14939.08,14610.94,14868.5,11821.46,11817.88,11798.87,11720.92,11637.41,14711.8,11769.76,14794.52,11665.99,11817.53,11918.48,14789.72,14395.53,11688.8,11677.84,11612.1,15661.61,11173.83,11566.34,11815.39]</t>
  </si>
  <si>
    <t>[10759.7,14026.26,10589.84,10789.07,10623.03,10789.27,10786.75,13740.84,13642.61,13798.73,10416.03,10580.29,10705.6,10566.28,10597.29,13640.22,10344.84,13641.52,10572.41,10671.48,11166.36,12761.33,13027.91,10047.61,9898.64,9928.98,10224.96,10472.16,10483.16,10144.57]</t>
  </si>
  <si>
    <t>[0,0,0,0,0,0,0,0,0,0,0,0,0,0,0,0,0,3484.05,0,0,31055.96,0,0,0,0,0,0,0,0,0]</t>
  </si>
  <si>
    <t>[55.18,46.76,35.77,35.49,60.05,73.41,89.94,124.43,59.46,42.15,20.9,20,41.15,19.88,21.87,175.48,3.51,48.86,44.56,13.85,0.33,0.24,0.33,10.05,21.03,26.21,5.97,3.06,22.72,24.97]</t>
  </si>
  <si>
    <t>[0.33,0.33,0.21,8.64,45.08,43.98,52.96,16.76,0.21,0.33,0.33,2.2,30.55,45.84,49.89,58.04,83.34,57.95,71.93,70.41,60.87,81.68,85.14,76.18,87.85,59.91,47.09,0.33,0.21,0.33]</t>
  </si>
  <si>
    <t>[0.32,0.55,0.41,0.45,0.41,0.4,0.3,0.33,0.42,0.45,0.21,0.44,0.8,0.21,0.45,0.41,0.21,0.44,0.29,0.25,0.32,0.29,0.23,0.32,0.3,0.23,176.51,0,0,0.51]</t>
  </si>
  <si>
    <t>[1.02,1.37,1.9,0.62,0.21,0.21,0.21,0.21,2.23,0.21,0.21,0.21,0.21,0.21,0.21,0.21,0.21,0.21,0.21,0.21,0.21,0.21,0.21,0.21,0.21,0.21,0.21,0.21,0.21,0.21]</t>
  </si>
  <si>
    <t>[0,0.43,0.62,1.73,0,0.21,0.21,0.21,1.02,0.21,0.21,0.21,0.21,0.21,0.21,0.21,0.21,0.21,0.21,0.21,0.21,0.21,0.21,0.21,0.21,0.21,0.21,0.21,0.21,0.21]</t>
  </si>
  <si>
    <t>[328.32,338.39,333.1,335.18,336.26,335.06,335.97,331.16,339.51,338.79,338.21,338.91,335.33,335.39,329.68,148.86,359.77,328.49,335.46,334.49,324.41,324.94,325.85,332.3,333.09,332.23,333.76,324.98,325.13,326.22]</t>
  </si>
  <si>
    <t>[100.85,97.41,99.64,112.55,153.2,156.06,137,169.45,151.84,132.37,161.42,171.62,175.21,147.23,224.57,196.19,200.17,201.47,201.15,203.24,159.25,274.12,219,225.18,227.67,229.5,229.26,163.43,203.66,319.08]</t>
  </si>
  <si>
    <t>[84.37,180.16,167.32,164.16,168.21,139.29,57.83,84.31,177.31,238.57,219.79,171.84,147.15,76.76,91.98,145.58,163.34,166.88,167.37,135.27,56.26,78.8,174.3,171.65,165.79,165.72,144.22,69.85,89.04,193.69]</t>
  </si>
  <si>
    <t>[67.04,134.18,116.36,113.44,115.66,101.99,47.73,59.57,126.6,201.84,161.55,120.3,103.45,57.79,53.51,95.25,111.52,118.8,119.6,91.86,41.58,52.39,120.04,117.08,115.08,112.44,99.05,53.68,59.92,127.08]</t>
  </si>
  <si>
    <t>[63.39,130.24,111.73,108.35,110.62,97.18,41.03,58.77,121.31,195.61,156.86,115.84,99.17,53.54,49.44,90.5,106.58,107.06,110.72,87.3,36.37,48.1,115.14,112.01,108.99,107.39,94.37,48.39,54.84,121.89]</t>
  </si>
  <si>
    <t>[29.23,61.32,53.93,72.48,58.98,136.26,214.53,251.86,180.03,118.57,132.96,69.7,76.65,90.74,49.31,71.24,69.74,74.04,92.12,78.72,80.6,54.89,77.76,83.51,78.34,80.15,87.42,81.09,57.43,77.41]</t>
  </si>
  <si>
    <t>[133.2,158.37,158.77,115.9,72.24,72.16,63.83,58.55,67.09,51.83,63.95,75.42,75.18,68.54,76.69,86.93,89.07,88.95,86.12,84.91,76.93,85.33,93.31,95.3,95.07,94.25,91.79,78.44,80.11,97.28]</t>
  </si>
  <si>
    <t>[44.89,44.21,42.07,45.11,42.21,80.74,166.25,350.44,130.78,101.99,110.46,111.47,75.64,69.49,66.27,62.69,105.3,82.59,108.74,83.17,57.04,58.06,68.74,66.33,63.64,59.84,56.87,48.3,50.49,57.21]</t>
  </si>
  <si>
    <t>[79.35,90.64,90.33,76.6,72.93,72.69,64.65,58.97,67.43,52.29,64.34,75.86,75.51,68.89,80.12,87.51,89.52,89.53,86.59,85.42,77.24,85.98,93.88,95.97,95.61,94.75,92.41,79.59,80.54,98]</t>
  </si>
  <si>
    <t>[65.06,65.15,61.76,66.18,66.04,64.57,73.29,70.71,65.55,66.22,66.24,64.68,57.24,67.09,67.17,62.89,62.82,64.18,64.99,64.35,67.37,69.92,65.26,68.72,65.3,64.35,61.4,68.21,69.48,61.72]</t>
  </si>
  <si>
    <t>[44.2,45.53,44.76,47.24,47.36,24.65,17.21,45.08,44.11,52.83,65.89,60.13,63.25,72.83,49.47,55.6,45.64,94.19,81.52,82.42,75.27,58.75,78.86,81.56,73.95,74.55,90.19,82.49,68.23,83.94]</t>
  </si>
  <si>
    <t>[28.2,28.59,28.62,29.1,30.35,30.83,34.91,33.6,41.83,53.72,53.41,53.87,52.53,59.34,59.78,54.83,55.75,56.53,56.72,56.4,64.37,66.79,63.62,66.47,65.16,65.58,65.83,69.05,68.35,62.17]</t>
  </si>
  <si>
    <t>[25.16,25.52,25.53,25.43,25.54,25.46,28.14,25.36,25.53,25.47,25.8,25.59,25.54,25.27,25.26,30.88,38.15,34.4,33.33,34.26,35.09,34.93,34.9,34.46,34.48,34.68,34.72,34.18,32.76,33.67]</t>
  </si>
  <si>
    <t>[24.84,26.43,25.64,28.27,29.6,26.87,25.7,29.85,27.36,27.23,29.12,28.45,32.19,25.86,25.93,28.84,32.09,29.85,31.36,31.95,27.92,28.38,30.58,30.93,30.02,30.21,28.77,28.12,28.02,29.68]</t>
  </si>
  <si>
    <t>[27.25,27.51,27.71,27.76,27.82,27.99,27.67,27.84,27.89,27.92,27.98,27.82,28.21,28.07,28,36.38,32.23,27.92,28.09,28.08,28.02,27.93,28.57,27.84,27.8,27.79,27.86,27.61,27.59,27.8]</t>
  </si>
  <si>
    <t>[25.6,25.77,25.82,26.24,26.22,26.41,26.52,26.56,26.7,26.6,26.79,27.21,27.01,26.9,27.02,36.54,32.83,28.52,29.28,29.04,28.85,28.74,28.47,28.59,28.74,28.3,28.36,28.42,28.48,28.67]</t>
  </si>
  <si>
    <t>[26.45,26.75,26.73,26.83,26.74,26.94,26.92,27.12,27.16,27.26,27.38,27.33,27.49,27.55,27.42,37.24,30.45,26.42,26.89,26.85,26.72,26.81,26.78,27.13,27.24,27.42,27.38,27.31,27.58,28.01]</t>
  </si>
  <si>
    <t>[24.57,24.99,24.89,25.32,25.35,25.65,25.34,25.53,25.74,25.83,25.93,26.09,26.13,25.95,26.1,35.41,31.64,27.68,28.28,28.07,27.68,27.82,27.84,27.83,27.66,27.57,27.56,27.86,27.88,27.83]</t>
  </si>
  <si>
    <t>[23.98,24.41,24.66,24.81,25.06,25.31,25.49,25.44,25.79,25.89,25.97,26.11,25.93,26.01,25.92,34.18,31.75,27.33,27.83,27.71,27.42,27.46,27.52,27.62,27.62,27.57,27.43,27.57,27.58,27.78]</t>
  </si>
  <si>
    <t>[24.24,24.43,24.51,24.5,24.77,24.42,24.35,24.45,24.7,24.73,24.96,24.76,24.72,24.57,24.6,30.08,29.44,24.95,24.66,24.96,24.64,24.53,24.92,24.95,24.82,24.71,24.71,24.62,24.52,24.78]</t>
  </si>
  <si>
    <t>[23.3,23.59,23.54,23.45,23.8,23.44,23.29,23.18,23.41,23.46,23.88,23.63,23.69,23.59,23.59,30.83,28.74,23.49,23.45,23.59,23.4,23.26,23.52,23.73,23.65,23.68,23.73,23.68,23.59,23.82]</t>
  </si>
  <si>
    <t>[23.42,23.49,23.46,23.4,23.59,23.34,23.2,23.29,23.57,23.54,23.99,23.72,23.76,23.59,23.6,28.03,27.65,23.08,23.23,23.04,22.77,22.69,22.94,23.02,23.05,23.13,23.11,23.14,23.13,23.3]</t>
  </si>
  <si>
    <t>[23.15,23.11,23.01,22.72,22.82,22.84,22.72,22.98,22.88,23.18,23.01,23.13,22.82,22.93,23.1,28.86,30.82,22.38,22.68,22.73,22.71,22.71,22.82,22.96,22.72,22.6,22.51,22.48,22.6,22.88]</t>
  </si>
  <si>
    <t>[21.46,21.44,21.64,22.51,21.84,21.64,21.66,21.91,21.91,21.98,22,21.8,21.76,21.58,21.84,27.51,28.8,22.55,21.95,22.05,21.98,21.97,21.94,21.82,21.97,22.04,21.84,21.75,21.87,21.91]</t>
  </si>
  <si>
    <t>[21.17,21.22,21.23,21.23,21.25,21.24,23.85,21.21,21.35,21.43,21.36,21.43,21.35,21.34,21.39,26.78,27.33,21.41,21.38,21.28,21.16,21.1,21.29,21.26,21.26,21.32,21.14,21.34,21.35,21.48]</t>
  </si>
  <si>
    <t>[14.66,18.77,18.6,19.03,23.55,22.79,24.16,9.6,20.04,20.03,20.51,18.67,21.21,24.31,20,20.91,21.32,21.08,21.5,20.99,25.29,21.41,21.22,21.02,21.02,21.06,22.15,30.56,19.34,22.6]</t>
  </si>
  <si>
    <t>[16.81,21.41,20.94,20.11,19.35,18.19,15.93,17.81,20.99,20.87,19.84,19.01,18.19,15.48,16.27,20.08,22.9,20.85,19.56,20.32,16.34,17.21,21.17,21.36,21.48,20.16,19.63,17.26,17.72,21.95]</t>
  </si>
  <si>
    <t>[8.41,15.06,15,14.77,13.95,11.73,6.53,7.87,15.47,68.08,101.81,24.06,16.87,7.89,10.42,15.24,17.03,17.07,17.21,14.87,6.75,9.79,19.29,18.01,16.63,16.79,14.53,6.85,9.3,18.71]</t>
  </si>
  <si>
    <t>[2.55,2.62,17.33,2.96,3.01,2.91,10.06,2.99,3.29,3.28,9.86,3.19,3.3,3.21,13.32,47.57,53.71,75.96,69.16,58.13,71.96,52.54,3.66,4.32,3.77,3.61,3.65,11,3.87,3.71]</t>
  </si>
  <si>
    <t>[97.02,93.15,88.72,98.83,75.23,3.23,3.36,3.24,3.31,3.34,3.33,4.04,3.33,3.29,3.22,3.37,3.32,3.4,3.37,3.29,3.21,3.22,3.18,3.26,3.21,3.21,3.15,3.18,3.1,3.2]</t>
  </si>
  <si>
    <t>[3.29,4.36,4.33,4.84,5.94,9.09,5.91,6.44,6.98,7.5,8,8.22,9.17,59.74,67.76,57.96,15.02,11.11,11.41,12.1,12.37,13.08,13.61,14.04,14.14,14.2,15.2,15.66,16.03,16.97]</t>
  </si>
  <si>
    <t>[6.47,10.19,10.78,9.73,9.96,8.52,5.2,7.11,10.08,61.76,105.73,16.19,12.96,5.94,7.65,10.72,11.56,11.8,12.74,11.02,5.44,7.84,13.03,11.78,11.72,11.7,9.89,5.51,6.65,12.2]</t>
  </si>
  <si>
    <t>[8.34,14.12,13.38,13.56,13.9,11.9,16.73,8.65,16.73,18.67,15.55,13.99,14.84,19.74,9.34,13.37,15.34,17.89,21.13,14.54,18.74,9.84,16.4,15.72,15.1,15.23,12.93,18.37,9.1,15.73]</t>
  </si>
  <si>
    <t>[7.45,28.36,22.4,9.79,7.48,9.03,21.34,6.99,6.78,25.66,9.38,16.56,11.62,24.65,7.99,8.14,9.18,8.92,8.53,7.56,7.08,7.53,29.54,8.77,9.4,9.64,9.67,7.45,7.58,9.34]</t>
  </si>
  <si>
    <t>[8.38,8.91,8.89,8.85,8.8,8.65,8.4,8.45,11.55,13.95,14.12,14.18,14.25,15.1,15.15,14.02,13.9,13.71,13.65,10.26,7.6,7.56,8.18,11.54,8.58,13.15,13.34,13.86,14.47,14.27]</t>
  </si>
  <si>
    <t>[8.53,9.22,8.98,9.13,8.95,9.17,8.99,8.74,9.2,9,8.94,8.95,13.05,17.04,16.51,15.39,13.7,14.87,15.06,11.47,7.65,7.89,8.53,11.57,9.07,13.7,13.99,14.07,15.14,15.35]</t>
  </si>
  <si>
    <t>[8.6,9.29,9.02,9.16,8.99,8.88,8.61,8.29,8.78,8.94,9.01,8.93,12.45,15.88,15.88,14.02,13.22,13.93,14.67,11.11,7.9,7.94,8.52,11.67,8.55,13.25,13.49,14.06,14.92,14.67]</t>
  </si>
  <si>
    <t>[9.08,9.53,9.37,9.18,9.01,9.35,9.08,8.14,9.26,9.34,9.36,9.38,9.14,11.9,15.49,14.06,13.79,13.28,14.04,13.93,11.69,7.92,8.48,8.62,10.04,12.12,12.6,12.72,13.42,13.85]</t>
  </si>
  <si>
    <t>[8.4,8.73,8.69,8.79,8.72,8.68,8.42,7.94,8.65,8.81,8.57,8.56,12.04,15.07,13.93,12.75,12.63,13.3,14.19,10.71,7.52,7.6,8.2,8.18,11.56,13.97,14.29,14.85,14.63,13.66]</t>
  </si>
  <si>
    <t>[8.15,8.63,8.68,8.62,8.54,8.66,8.36,8.34,8.83,8.87,8.85,8.72,11.87,13.84,13.31,12.8,13.07,13.27,13.91,10.53,7.43,7.5,8.12,8.33,11.82,13.76,14.11,14.99,14.91,13.69]</t>
  </si>
  <si>
    <t>[8.4,8.77,8.77,8.86,8.57,8.68,8.51,8.07,8.62,8.81,8.75,8.73,11.86,13.23,12.73,12.38,12.1,12.77,13.1,13.47,10.8,7.69,8.2,8.25,11.29,13.44,13.56,14.33,14.04,13.04]</t>
  </si>
  <si>
    <t>[8.31,8.56,8.54,8.51,8.33,8.67,8.32,8.28,8.53,8.59,8.32,8.51,12.32,14.33,13.49,12.4,12.46,12.74,13.4,13.72,10.13,7.51,8.03,7.99,11.3,12.86,12.98,13.18,13.48,12.76]</t>
  </si>
  <si>
    <t>[9.14,9.44,9.4,9.4,8.99,9.12,8.95,8.54,9.13,9.34,9.2,9.47,9.16,11.7,14.83,12.8,12.45,12.59,13.86,11.64,8.02,8.08,8.54,10.14,8.69,12.38,12.53,12.62,13.12,13.28]</t>
  </si>
  <si>
    <t>[8.16,8.59,8.6,8.57,8.43,8.55,8.33,8.11,8.43,8.66,8.51,8.74,12.54,13.84,13.51,12.37,12.49,12.65,13.07,10.24,7.37,7.38,8,7.95,11.35,13.5,13.48,14.25,14.16,13.45]</t>
  </si>
  <si>
    <t>[8.09,8.52,8.59,8.46,8.36,8.63,8.31,6.15,9.92,8.59,8.43,8.57,11.59,14.25,13.51,12.46,12.41,12.89,13.34,10.35,7.45,7.42,7.94,11.25,8.32,12.85,13.94,14.22,13.9,13.2]</t>
  </si>
  <si>
    <t>[8.11,8.53,8.41,8.52,8.26,8.31,8.13,8.05,8.53,8.5,8.56,8.43,11.4,14.14,13.76,13.18,13.01,12.91,13.06,10.23,7.42,7.36,8.01,11.57,8.15,12.51,12.66,13.14,13.7,13.34]</t>
  </si>
  <si>
    <t>[10.86,10.95,11.07,10.58,10.7,10.63,10.14,9.71,10.43,10.44,10.74,10.65,10.76,10.49,10.63,10.52,10.65,10.31,10.33,10.35,10.12,10.02,10.01,9.97,9.95,9.75,9.39,10.37,8.22,7.45]</t>
  </si>
  <si>
    <t>[8.67,8.92,8.89,8.78,8.76,8.89,8.58,8.36,8.73,8.81,8.67,8.78,8.71,11.68,13.6,12.96,12.52,12.37,12.28,12.9,10.52,7.66,8.05,8.08,9.65,10.55,11.38,11.98,11.78,11.93]</t>
  </si>
  <si>
    <t>[11.36,11.4,11.42,11.47,11.28,11.33,10.51,8.65,9.63,9.61,9.63,9.65,9.73,9.72,9.67,9.67,9.69,9.73,9.71,9.73,9.72,9.69,9.62,9.67,9.63,9.76,9.74,9.78,9.75,9.72]</t>
  </si>
  <si>
    <t>[16.65,16.96,16.82,17.39,19.24,16.64,16.37,16.28,17.04,17.08,17.05,16.86,16.41,7.42,4.03,4.14,4.32,4.4,4.36,4.17,3.98,3.87,4.02,4.16,5.01,4.35,4.66,4.26,4.33,4.39]</t>
  </si>
  <si>
    <t>[8.63,8.84,8.82,8.66,8.68,8.65,8.42,8.37,8.75,8.65,8.66,8.6,8.32,10.6,12.37,12.15,11.78,11.39,11.45,10.05,7.65,7.58,8.04,8.99,8.53,11.57,12.12,12.72,12.13,11.63]</t>
  </si>
  <si>
    <t>[8.58,8.73,8.83,8.85,8.48,8.74,8.48,8.38,8.82,8.89,8.53,8.66,8.47,10.48,12.55,12,11.75,11.7,11.87,10.27,7.51,7.71,8.07,9.69,8.04,11.06,11.78,11.77,11.42,11.42]</t>
  </si>
  <si>
    <t>[6.74,8.88,8.99,8.94,8.89,8.47,8,8.25,8.82,9.15,8.98,9.1,8.68,8.15,8.54,9.04,9.38,9.55,9.34,9.16,8.18,8.72,9.28,10.03,10.14,9.72,9.05,8.65,9.12,9.87]</t>
  </si>
  <si>
    <t>[0,0,0,0,14.03,10.09,0,48.78,6.75,0,0,0,0,0,0,0,0,0,0,0,0,0,0,0,0,0,0,5.15,5.74,0]</t>
  </si>
  <si>
    <t>[6.71,7.66,7.86,8.73,9.14,10.79,9.94,9.51,8.27,10.43,7.58,9.16,8.98,8.62,8.52,11.23,6.76,7.82,8.32,8.51,5.73,6.99,11.77,12.61,8.97,3.85,2.28,2.33,2.67,3.91]</t>
  </si>
  <si>
    <t>[6.02,12.31,6.04,7.38,7.67,6.66,6.36,6.27,6.53,6.58,6.85,6.19,9.97,12.57,6.78,6.6,7.64,8,11.67,8.02,7.86,7.87,7.86,7.81,8.33,9.02,8.77,8.61,7.18,5.1]</t>
  </si>
  <si>
    <t>[5.37,5.75,5.49,5.21,5.19,5.36,5.1,5.21,5.66,5.78,5.83,5.75,5.75,5.59,5.56,5.63,5.69,8.39,12.6,12.38,12.25,12.31,12.99,9.64,7.09,0,0,0,0,7.61]</t>
  </si>
  <si>
    <t>[18.23,15.84,13.9,12.49,11.24,10.3,9.47,8.69,8.15,7.7,7.42,7.07,6.78,4.79,3.96,3.99,3.96,3.95,3.97,3.92,3.94,3.97,3.99,4,5.17,4.01,3.99,4,4.01,4.11]</t>
  </si>
  <si>
    <t>[7.11,7.17,7.57,7.22,6.56,8.22,7.05,8.63,6.58,7.25,6.43,7.36,6.38,5.69,5.77,6.64,6.06,7.01,7.25,6.63,6.39,6.23,6.68,6.75,7.37,7.01,6.7,6.67,6.8,6.91]</t>
  </si>
  <si>
    <t>[6.39,7.18,6.47,6.58,6.23,7,6.09,11.29,8.32,7.14,7.24,8.28,7.5,6.5,7.78,8.09,6.33,5.68,7.99,6.45,4.36,5.48,6.78,7.06,8.16,6.95,5.92,4.53,5.15,5.95]</t>
  </si>
  <si>
    <t>[4.79,4.98,4.88,5.38,6.8,6.66,6.58,6.55,6.63,6.72,6.69,0,0,0,0,0,0,0,0,7.5,7.21,7.12,7.32,7.44,7.31,7.65,7.36,6.71,6.56,6.18]</t>
  </si>
  <si>
    <t>[4.74,4.86,4.77,4.73,4.86,4.9,4.9,4.79,4.93,7.13,6.2,6.72,5.2,5.82,6.07,6.27,6.91,8.27,7.81,0,0,0,8.45,8.04,7.81,9.03,10.59,0,0,9.56]</t>
  </si>
  <si>
    <t>[4.8,3.81,3.75,3.91,3.94,5.52,5.15,5.41,6.37,7.03,7.36,7.73,7.22,6.91,6.96,7.13,6,6.26,6.11,6.31,6.11,6.26,6.36,6.27,7.16,7.16,7.2,6.97,7.17,6.41]</t>
  </si>
  <si>
    <t>[4.11,6.07,5.87,5.73,6.34,5.56,3.71,4.2,3.57,3.59,11.31,7.01,6.31,3.98,4.52,7.72,7.43,7.39,7.16,6.24,3.86,4.44,7.39,7.44,10.44,6.65,5.96,3.61,4.73,7.64]</t>
  </si>
  <si>
    <t>[6.16,5.95,5.9,6.41,6.08,5.9,5.84,5.75,7.55,6,6.06,6,6.07,6,6.01,5.98,6.19,6.08,6.04,5.54,5.53,5.5,5.64,5.54,5.59,5.59,5.53,5.55,0,5.37]</t>
  </si>
  <si>
    <t>[5.78,5.81,5.69,5.83,5.89,5.82,5.8,5.8,5.73,5.81,5.85,5.87,5.86,5.87,5.87,5.88,6.11,6.18,5.83,5.91,5.96,5.97,5.98,5.94,6.12,6.01,5.97,6.02,5.98,6.05]</t>
  </si>
  <si>
    <t>[5.1,5.27,4.88,5.37,6.35,6.3,6.18,6.2,6.4,6.48,6.59,5.43,5.5,5.58,5.68,5.7,5.39,6.13,6.15,5.92,5.67,5.71,5.68,5.83,5.83,5.95,6.31,6.37,6.37,6.33]</t>
  </si>
  <si>
    <t>[4.57,4.75,4.73,5.09,5.72,5.57,5.54,5.57,5.6,5.65,5.82,5.75,6.01,5.96,5.92,6.2,6.11,6.07,6.23,5.83,5.79,5.87,5.99,5.96,6.18,6.27,6.38,6.71,5.73,5.88]</t>
  </si>
  <si>
    <t>[4.53,5.05,5.03,5.08,5.16,5.33,5.15,5.33,5.33,5.53,5.47,5.59,5.76,5.84,5.87,6.12,6,6.04,5.95,5.83,6.07,6.28,6.21,6.24,6.12,6.13,6.18,6.24,5.14,5.94]</t>
  </si>
  <si>
    <t>[5.36,5.86,5.95,5.3,5.46,5.43,4.79,5.01,4.7,3.52,4.19,5.49,5.56,5.4,5.58,6.03,6.02,5.95,5.79,5.7,5.57,5.49,5.9,5.98,7.61,5.85,5.83,5.56,5.61,7.53]</t>
  </si>
  <si>
    <t>[5.8,5.7,5.64,5.77,5.69,5.79,5.81,5.77,5.77,5.55,5.5,5.48,5.51,5.5,5.5,5.61,5.67,5.76,5.53,5.49,5.52,5.55,5.52,5.55,5.5,5.43,5.45,5.53,5.46,5.46]</t>
  </si>
  <si>
    <t>[4.89,4.91,5,5.03,5.01,5.31,5.43,5.39,5.44,5.58,5.72,5.62,5.58,5.28,5.38,5.44,5.54,5.59,5.57,5.63,5.71,5.64,5.61,5.66,5.68,5.64,5.66,7.04,5.9,5.76]</t>
  </si>
  <si>
    <t>[1.87,1.87,1.87,1.88,1.88,1.88,1.95,1.88,1.88,1.87,1.92,1.94,1.96,2.13,2.12,2.13,2.23,2.14,15.1,28.22,3.55,3.1,7.01,2.03,2.19,3.26,4.95,3.73,3.72,31.28]</t>
  </si>
  <si>
    <t>[4.75,5.01,4.82,4.57,4.23,6.01,4.62,4.17,4.7,5.56,5.14,5.65,6.31,5.83,6.27,7.99,5.24,4.82,5.47,5.28,5.22,4.78,5.03,5.83,5.75,6.38,5.82,5.48,5.35,5.49]</t>
  </si>
  <si>
    <t>[4.22,4.33,4.52,9.07,11.99,12.13,12.19,11.21,8.32,4.6,4.56,4.58,4.51,3.95,3.78,3.83,3.75,3.86,3.88,3.83,3.51,3.53,3.63,3.62,3.57,3.58,3.51,3.5,3.48,3.52]</t>
  </si>
  <si>
    <t>[3.05,4,3.9,3.93,3.89,3.67,13.08,3.18,4.27,4.76,4.38,3.82,4.14,14.11,3.16,3.73,4.08,4.81,5.77,4.02,13.15,3.13,3.96,3.94,3.91,4,3.63,13.13,2.94,3.88]</t>
  </si>
  <si>
    <t>[4.47,4.86,4.64,4.73,4.5,5.55,4.88,0,4.65,6.4,4.81,5.49,4.69,5.02,5.15,5.76,4.93,4.94,5.03,0,0,0,5.32,5.25,5.09,5.05,4.95,0,0,5.86]</t>
  </si>
  <si>
    <t>[3.56,3.14,2.98,3.34,5.47,3.49,5.04,6.15,8.04,6.07,4.03,5.57,3.36,2.86,3.72,4,3.4,12.91,6.76,9.86,4.14,6.51,3.97,3.98,5.72,5.82,3.73,5.27,3.81,4.3]</t>
  </si>
  <si>
    <t>[4.19,4.19,4.23,4.22,4.25,4.18,4.21,4.24,4.21,4.23,4.22,4.26,4.47,4.95,4.99,5.37,5.07,5.16,5.16,5.19,5.15,5.64,5.99,5.83,5.89,5.9,5.87,5.9,5.92,5.98]</t>
  </si>
  <si>
    <t>[4.03,3.09,3.09,3.05,3.38,3.06,12.8,3.1,4.72,4.41,3.98,3.46,3.96,13.53,2.86,3.31,3.67,4.44,5.38,3.64,13.28,2.87,3.92,3.92,3.81,3.82,3.54,13.42,2.86,3.72]</t>
  </si>
  <si>
    <t>[5.32,5.23,5.26,5.63,5.32,5.27,5.18,5.26,5.32,5.33,4.96,4.91,4.9,4.87,4.78,4.86,5.02,4.97,4.91,4.46,4.46,4.4,4.43,4.46,4.42,4.51,4.51,4.95,0,3.37]</t>
  </si>
  <si>
    <t>[4.26,4.46,4.34,7.03,5.53,4.56,4.55,5.61,4.81,6.87,5.01,4.93,4.53,4.42,4.35,4.49,4.55,4.63,5.01,4.42,4.1,4.14,4.84,4.33,4.2,4.64,4.5,4.32,4.36,4.4]</t>
  </si>
  <si>
    <t>[1.86,3.16,2.96,3.18,3.61,3.19,2.97,3.81,4.08,4.65,5.23,5.36,4.52,4.17,4.24,4.7,5.83,6.03,6.97,6.29,1.79,1.84,3.28,5.4,6.66,7.34,6.8,6.39,6.82,6.41]</t>
  </si>
  <si>
    <t>[4.67,4.35,4.2,4.78,4.84,4.64,4.48,4.47,4.4,4.47,4.49,4.38,4.51,4.57,4.75,4.86,4.81,4.78,4.8,4.81,4.82,4.78,4.73,4.74,4.55,4.58,4.59,4.59,4.81,5.13]</t>
  </si>
  <si>
    <t>[4.18,4.2,4.27,4.64,4.72,4.65,4.42,4.56,4.64,4.66,4.53,4.61,4.69,4.64,4.66,4.72,4.75,4.72,4.74,4.66,4.77,4.74,4.49,4.66,4.69,4.68,4.63,4.67,4.64,4.7]</t>
  </si>
  <si>
    <t>[4.56,4.77,4.71,4.8,4.79,4.74,4.72,4.62,4.78,4.89,5.08,4.74,4.73,4.29,4.22,4.37,4.42,4.36,4.59,4.44,4.36,4.33,4.44,4.47,4.49,4.55,4.46,4.38,4.35,4.85]</t>
  </si>
  <si>
    <t>[3.76,4.38,4.38,4.54,4.47,4.25,3.66,3.8,4.56,4.8,5.15,5.11,4.37,3.97,3.9,4.28,4.56,5.02,5.04,4.75,4.85,3.87,4.54,5.09,5.09,5.91,4.3,3.73,4.07,4.91]</t>
  </si>
  <si>
    <t>[4.27,4.34,4.3,4.29,4.3,4.27,4.28,4.32,4.39,4.37,4.56,0,0,0,0,0,0,6.37,4.52,4.53,4.14,4.09,4.13,6.01,5.17,4.17,4.3,4.29,4.28,4.38]</t>
  </si>
  <si>
    <t>[4.15,3.69,3.71,3.74,4.15,4.68,4.6,4.69,4.59,4.63,4.54,4.7,4.68,4.84,4.82,4.93,4.92,4.79,4.69,4.69,4.28,3.74,3.62,3.72,3.77,4.02,4.04,4.1,4.33,4.14]</t>
  </si>
  <si>
    <t>[4.24,4.25,4.25,4.32,4.27,4.19,4.21,4.25,4.24,4.24,4.22,4.22,4.22,4.23,4.26,4.18,4.44,4.28,4.2,4.21,4.23,4.23,4.23,4.21,4.24,4.27,4.28,4.21,4.29,4.3]</t>
  </si>
  <si>
    <t>[3.57,4.14,4.08,4.07,4.08,3.94,3.39,3.5,4.14,4.45,4.76,4.73,3.95,3.63,3.63,3.96,4.15,4.47,4.29,4.06,5.37,3.78,4.42,4.56,4.54,4.52,4.35,3.8,4.91,4.47]</t>
  </si>
  <si>
    <t>[3.28,4.98,4.8,3.28,3.42,3.24,3.01,25.42,3.1,4.08,3.86,3.04,3.34,3.3,3.07,3.56,3.42,3.38,3.28,3.38,2.88,2.91,3.15,4.54,2.63,2.98,2.71,2.47,2.14,3.05]</t>
  </si>
  <si>
    <t>[3.44,3.22,3.3,3.61,4.06,4.18,4.06,4.16,4.12,4.14,4.17,4.04,4.02,3.89,3.9,4.02,4.06,4.06,4.17,4.28,4.03,4.05,4.12,4.15,4.16,4.44,4.41,3.87,4.34,4.4]</t>
  </si>
  <si>
    <t>[4.47,4.16,4.18,4.25,4.3,4.21,3.93,3.94,4.26,4.3,4.33,4.44,3.9,4.2,3.88,3.76,3.76,3.89,3.83,3.81,3.76,3.74,3.83,3.81,4.13,3.87,3.92,3.8,3.93,4]</t>
  </si>
  <si>
    <t>[3.84,3.89,3.91,3.86,3.94,4,3.95,3.86,3.95,3.97,3.99,3.85,3.94,3.95,3.98,3.95,3.9,3.96,3.92,3.95,3.95,3.84,3.96,3.89,3.91,4.03,4.12,3.97,3.97,3.97]</t>
  </si>
  <si>
    <t>[3.71,3.74,3.73,3.74,3.72,3.76,3.68,3.74,3.75,3.73,3.74,3.64,3.77,3.69,3.74,3.69,3.75,3.79,3.72,3.73,3.73,3.54,3.54,3.61,3.61,3.78,3.72,3.7,6.38,3.74]</t>
  </si>
  <si>
    <t>[3.65,3.94,3.69,3.68,3.66,3.68,3.68,3.68,3.67,3.68,3.95,3.43,3.74,3.74,3.74,3.72,3.96,3.97,3.77,3.68,3.73,3.71,3.74,3.76,4.01,3.74,3.73,3.7,5.21,3.81]</t>
  </si>
  <si>
    <t>[3.97,3.69,3.75,3.57,3.78,3.79,3.72,3.71,3.72,3.75,3.93,3.89,3.51,3.38,3.65,3.77,3.74,3.78,3.87,3.77,3.77,3.71,3.79,4.15,3.81,3.91,3.86,3.92,3.77,3.7]</t>
  </si>
  <si>
    <t>[3.54,3.54,3.56,3.59,3.56,3.52,3.54,3.54,3.57,3.87,3.67,3.7,3.65,3.69,3.64,3.91,3.65,3.66,3.74,3.65,3.62,3.57,3.61,3.57,3.85,3.61,3.99,3.68,6.14,3.63]</t>
  </si>
  <si>
    <t>[3.49,3.47,3.4,3.52,3.48,3.44,3.43,3.46,3.62,3.62,3.6,3.53,3.5,3.55,3.6,3.63,3.6,3.59,3.52,3.39,3.36,3.25,3.28,3.41,3.44,3.64,4.26,4.2,3.83,3.87]</t>
  </si>
  <si>
    <t>[3.49,3.5,3.51,3.47,3.49,3.5,3.5,3.47,3.48,3.76,3.46,3.37,3.5,3.52,3.54,3.52,3.54,3.79,3.56,3.52,3.52,3.54,3.54,3.53,3.8,3.54,3.8,3.52,3.54,3.54]</t>
  </si>
  <si>
    <t>[3.35,3.84,3.75,3.38,3.31,3.35,3.28,3.21,3.31,3.31,3.32,3.41,3.34,3.23,3.27,3.29,3.27,3.39,3.52,3.58,3.46,3.42,3.51,3.51,4.17,3.65,3.51,3.47,3.41,3.47]</t>
  </si>
  <si>
    <t>[2.92,3.08,3.2,3.19,3.14,3.07,3.24,2.9,3.25,3.16,3.44,3.63,3.24,3.03,3.09,3.13,3.13,3.16,3.24,3.11,3.01,2.97,3.09,3.13,4.99,3.53,3.5,3.14,3.15,3.28]</t>
  </si>
  <si>
    <t>[2.19,2.51,2.44,1.95,1.88,1.83,1.81,3.96,2.25,2.74,4.15,4.41,2.41,2.37,2.28,2.31,3.03,8.04,9.73,6.75,2.72,2.74,3.73,2.49,3.88,2.27,2.32,2.21,2.94,2.34]</t>
  </si>
  <si>
    <t>[3.04,3.19,3.29,3.31,3.3,4.31,2.93,2.83,3.02,3.14,3.23,3.07,3.07,2.85,2.99,3.22,3.16,3.18,3.21,3.12,2.94,2.94,3.18,4.7,3.22,3.37,3.31,3.08,3.1,3.29]</t>
  </si>
  <si>
    <t>[3.17,3.15,3.37,3.2,3.2,3.2,3.17,3.19,3,3.38,3.18,2.96,3.23,3.24,3.23,3.43,3.44,3.22,3.1,3.08,2.92,3.02,2.97,3.03,3.21,3.24,3.08,3.11,37.99,0]</t>
  </si>
  <si>
    <t>[1.72,2.43,2.21,2.33,2.32,2.53,2.19,2.25,3.01,3.12,3.54,3.45,3.23,2.39,2.49,2.84,3.01,10.73,3.44,3.15,2.42,2.44,3.92,4.74,0,0,0,0,0,2.98]</t>
  </si>
  <si>
    <t>[2.87,3.02,3.09,3.09,3.04,2.98,3.18,2.81,3,3.11,3.25,3.15,3.13,2.94,2.93,3.22,3.31,3.11,3.12,3.06,2.91,2.88,3.02,3.06,4.78,3.16,3.11,2.93,2.95,3.1]</t>
  </si>
  <si>
    <t>[2.95,3.13,3.12,3.11,3.11,3.11,3.16,2.94,3.12,3.14,3.13,3.13,3.35,2.94,2.96,3.06,3.41,3.17,3.14,3.09,2.93,2.94,3.15,3.17,3.17,3.14,3.14,3.14,2.94,3.25]</t>
  </si>
  <si>
    <t>[2.79,2.91,2.92,3,2.93,3.03,4.6,2.82,2.87,2.88,2.99,2.78,2.78,2.68,2.78,2.81,2.89,2.94,3.03,2.89,2.74,2.67,2.9,2.95,4.47,2.92,2.95,2.87,2.83,2.99]</t>
  </si>
  <si>
    <t>[2.84,2.87,2.88,2.89,2.89,2.88,2.91,2.9,2.94,2.93,2.9,2.9,2.92,2.91,2.87,3.08,2.97,2.94,2.91,2.92,2.9,2.91,2.91,2.89,2.89,2.91,2.88,2.99,2.92,2.92]</t>
  </si>
  <si>
    <t>[2.88,2.86,2.9,2.88,2.89,2.86,2.86,2.88,2.86,2.82,2.85,2.86,2.91,2.84,2.88,2.85,2.88,2.85,2.86,2.93,2.93,2.88,2.9,2.88,2.95,2.84,2.9,2.9,2.89,2.84]</t>
  </si>
  <si>
    <t>[2.84,2.87,3.09,2.87,2.87,2.83,2.85,2.87,2.82,2.85,2.96,2.29,2.84,2.89,2.83,2.91,2.89,2.9,0,0,0,0,0,0,0,0,12.9,2.97,2.91,2.9]</t>
  </si>
  <si>
    <t>[1.59,2.07,2.26,1.58,1.61,1.94,1.94,1.89,1.89,1.89,2.03,2.08,2.14,2.16,2.15,4.44,3.43,2.96,3.39,2.8,2.37,2.36,5.01,4.66,3.66,4.94,7.65,2.41,2.45,2.48]</t>
  </si>
  <si>
    <t>[2.69,2.86,2.86,2.85,2.87,2.8,2.41,2.64,2.8,2.87,2.9,2.9,2.78,2.53,2.66,2.93,2.88,2.86,2.92,2.98,2.49,2.57,2.89,2.92,2.91,2.99,2.88,2.52,2.61,2.97]</t>
  </si>
  <si>
    <t>[2.57,2.68,2.66,2.68,2.73,2.73,2.62,2.6,2.57,2.77,2.73,2.79,2.66,2.7,2.66,2.68,2.71,2.64,2.66,2.72,2.67,2.63,2.63,2.75,2.78,2.86,2.73,2.68,2.65,2.67]</t>
  </si>
  <si>
    <t>[2.65,2.67,2.67,2.67,2.66,2.65,2.85,2.63,2.66,2.67,2.67,2.65,2.87,2.63,2.6,2.62,2.64,2.64,2.65,2.63,2.6,2.63,2.66,2.66,2.66,2.66,2.66,2.88,2.66,2.71]</t>
  </si>
  <si>
    <t>[2.5,2.42,2.41,2.43,2.51,2.5,2.57,2.6,2.58,2.58,2.59,2.57,2.57,2.58,2.58,2.59,2.71,2.92,2.87,2.94,2.53,2.5,2.5,2.54,2.43,2.41,2.4,2.4,5.81,2.43]</t>
  </si>
  <si>
    <t>[2.48,2.62,2.41,2.3,2.29,2.27,2.21,2.38,2.27,2.24,2.28,2.34,2.36,2.27,2.29,2.32,2.49,2.5,2.39,2.34,2.14,2.08,2.24,2.29,5.89,9.29,2.2,2.1,2.19,2.37]</t>
  </si>
  <si>
    <t>[2.63,2.75,2.59,2.62,2.56,2.6,2.59,2.58,2.6,2.62,2.74,2.74,2.78,2.77,2.76,2.68,2.66,2.67,2.69,2.66,2.63,2.62,2.62,2.71,2.65,2.67,2.66,2.67,2.67,2.65]</t>
  </si>
  <si>
    <t>[2.62,2.54,2.53,2.55,2.52,2.53,2.71,2.59,2.67,2.68,2.69,2.7,2.7,2.7,2.67,2.67,2.71,2.72,2.7,2.71,2.65,2.63,2.62,2.7,2.68,2.65,2.67,2.67,2.64,2.64]</t>
  </si>
  <si>
    <t>[2.59,2.59,2.58,2.61,2.6,2.58,2.76,2.59,2.58,2.59,2.62,2.6,2.62,2.61,2.64,2.63,2.64,2.64,2.63,2.63,2.63,2.61,2.63,2.62,2.6,2.62,2.6,2.59,2.6,2.64]</t>
  </si>
  <si>
    <t>[2.6,2.51,2.47,2.51,2.57,2.58,2.58,2.6,2.6,2.59,2.58,2.64,2.61,2.61,2.6,2.68,2.59,2.65,2.67,2.68,2.68,2.66,2.64,2.7,2.7,2.63,2.64,2.64,2.64,2.64]</t>
  </si>
  <si>
    <t>[2.48,2.6,2.54,2.91,3.25,2.68,2.53,2.52,2.74,2.71,2.69,2.72,2.71,2.48,2.52,2.54,2.56,2.55,2.54,2.52,2.45,2.41,2.6,2.51,2.47,2.59,2.5,2.49,2.5,2.57]</t>
  </si>
  <si>
    <t>[2.6,2.55,2.52,2.51,2.53,2.53,2.54,2.59,2.57,2.6,2.58,2.61,2.65,2.61,2.63,2.59,2.58,2.6,2.63,2.64,2.64,2.61,2.61,2.66,2.61,2.59,2.58,2.59,2.58,2.62]</t>
  </si>
  <si>
    <t>[2.31,2.26,2.27,2.28,2.28,2.65,2.74,2.99,2.63,2.86,2.89,2.95,3.12,3.13,2.57,2.52,2.54,2.94,2.72,2.5,2.42,2.37,2.37,2.39,2.41,2.48,2.45,2.44,2.42,2.43]</t>
  </si>
  <si>
    <t>[2.52,2.54,2.5,2.51,2.47,2.49,2.55,2.6,2.58,2.6,2.6,2.59,2.59,2.59,2.58,2.55,2.59,2.53,2.57,2.57,2.53,2.53,2.54,2.59,2.55,2.53,2.5,2.55,2.48,2.52]</t>
  </si>
  <si>
    <t>[2.03,2.05,2.06,2.28,2.43,2.15,2.13,2.15,2.44,2.54,2.45,2.54,2.69,2.77,2.7,2.6,2.71,2.66,2.71,2.76,2.64,2.71,2.74,2.66,2.63,2.66,2.64,2.64,2.63,2.67]</t>
  </si>
  <si>
    <t>[0,0,0,0,0,0,0,0,0,0,0,0,0,0,0,0,0,0,0,0,2.51,0,0,0,0,0,0,0,0,0]</t>
  </si>
  <si>
    <t>[2.54,2.53,2.6,2.56,2.58,2.58,2.47,2.5,2.39,2.4,2.44,2.45,2.54,2.48,2.51,2.5,2.64,2.68,2.53,2.5,2.4,2.4,2.52,2.58,2.53,2.53,2.55,2.44,2.42,2.52]</t>
  </si>
  <si>
    <t>[2.04,1.94,2.37,2.44,2.45,2.53,2.43,2.47,2.42,2.44,2.6,2.56,2.5,2.45,2.47,2.49,2.5,2.5,2.71,2.59,2.4,2.52,2.37,2.51,2.4,2.69,2.65,2.58,2.77,2.71]</t>
  </si>
  <si>
    <t>[2.49,2.5,2.49,2.49,2.53,2.47,2.39,2.53,2.57,2.52,2.55,2.48,2.37,2.42,2.58,2.51,2.56,2.47,2.44,2.4,2.39,2.43,2.48,2.48,2.47,2.55,2.48,2.46,2.32,2.41]</t>
  </si>
  <si>
    <t>[2.49,2.46,2.52,2.48,2.41,2.42,2.39,2.35,2.34,2.33,2.36,2.39,2.47,2.51,2.49,2.48,2.48,2.49,2.56,2.48,2.5,2.49,2.51,2.56,2.5,2.49,2.5,2.48,2.5,2.49]</t>
  </si>
  <si>
    <t>[2.34,2.35,2.37,2.4,2.36,2.34,2.33,2.29,2.37,2.4,2.4,2.4,2.5,2.59,2.61,2.61,2.56,2.43,2.4,2.42,2.38,2.35,2.37,2.45,2.4,2.41,2.43,2.43,3.85,2.34]</t>
  </si>
  <si>
    <t>[2.28,2.31,2.32,2.32,2.52,2.55,2.49,2.43,2.48,2.51,2.47,2.49,2.48,2.49,2.45,2.38,2.48,2.7,2.66,2.83,2.47,2.5,2.5,2.44,2.39,2.39,2.36,2.39,2.41,2.37]</t>
  </si>
  <si>
    <t>[1.78,2.44,2.44,2.42,2.41,2.45,2.5,2.44,2.47,2.45,2.47,2.46,2.47,2.46,2.38,2.63,2.52,2.48,2.48,2.47,2.48,2.47,2.48,2.46,2.47,2.55,2.52,2.49,2.5,2.52]</t>
  </si>
  <si>
    <t>[2.12,2.32,2.23,2.2,2.36,2.54,2.23,2.3,2.43,2.55,2.3,2.27,2.23,2.33,2.26,2.21,2.35,2.31,2.12,2.39,2.2,2.23,2.29,2.94,2.32,4.32,2.28,3.28,2.55,2.39]</t>
  </si>
  <si>
    <t>[2.37,2.53,2.42,2.42,2.41,2.43,2.37,2.36,2.35,2.47,2.37,2.4,2.41,2.43,2.41,2.46,2.5,2.43,2.3,2.35,2.29,2.23,2.36,2.31,2.24,2.36,2.37,2.33,2.29,2.3]</t>
  </si>
  <si>
    <t>[1.98,2.62,2.68,2.64,2.52,2.27,1.81,1.95,2.53,2.96,2.93,2.71,2.3,1.77,1.91,2.51,2.44,2.52,2.41,2.36,1.78,1.99,2.68,2.56,2.5,2.52,2.44,1.8,1.97,2.83]</t>
  </si>
  <si>
    <t>[2.36,2.35,2.33,2.35,2.34,2.34,2.34,2.33,2.36,2.33,2.3,2.33,2.35,2.35,2.36,2.35,2.36,2.39,2.33,2.35,2.36,2.36,2.36,2.35,2.35,2.36,2.34,2.35,2.35,2.32]</t>
  </si>
  <si>
    <t>[2.29,2.19,2.15,2.14,2.2,2.23,2.19,2.19,2.19,2.21,2.24,2.18,2.21,2.17,2.2,2.3,2.34,7.06,2.46,2.06,2.05,2.04,2.11,2.07,2.03,2.07,2.1,2.1,2.1,2.1]</t>
  </si>
  <si>
    <t>[2.33,2.38,2.37,2.35,2.34,2.37,2.55,2.31,2.34,2.32,2.3,2.29,2.29,2.27,2.26,2.28,2.27,2.28,2.28,2.28,2.26,2.26,2.29,2.53,2.27,2.26,2.27,2.37,2.32,2.62]</t>
  </si>
  <si>
    <t>[0,2.23,2.13,2.13,2.11,2.12,0,0,2.13,2.2,2.06,2.21,2.1,0,0,2.18,2.17,2.15,2.26,2.2,0,0,2.2,2.33,2.3,2.22,2.19,2.43,3.61,2.18]</t>
  </si>
  <si>
    <t>[2.13,2.14,2.18,2.22,2.19,2.15,2.13,2.29,2.26,2.2,2.17,2.15,2.14,2.2,2.23,2.14,2.14,2.17,2.18,2.15,2.12,2.2,2.22,2.24,2.17,2.21,2.17,2.51,2.42,2.45]</t>
  </si>
  <si>
    <t>[2.17,2.19,2.17,2.18,2.2,2.19,2.22,2.23,2.2,2.22,2.22,2.2,2.2,2.22,2.16,2.03,2.27,2.22,2.22,2.24,2.25,2.19,2.21,2.19,2.19,2.2,2.22,2.2,2.19,2.21]</t>
  </si>
  <si>
    <t>[0,2.23,0,2.01,2,0,0,0,0,2.14,2.25,3.38,2.46,0,0,2,0,1.95,0,1.99,0,0,2.02,2.07,2.06,1.94,2.01,2.11,3.61,2.11]</t>
  </si>
  <si>
    <t>[2.31,2.3,2.34,2.34,2.33,2.3,2.34,2.34,2.34,2.33,2.32,2.17,2.03,2.07,2.01,2,2.07,2.11,2.09,2.08,2.07,2.07,2.07,2.06,2.08,2.07,2.1,2.06,2.09,2.06]</t>
  </si>
  <si>
    <t>[2.11,2.18,2.16,2.16,2.13,2.13,2.07,2.09,2.13,2.17,2.14,2.11,2.05,1.99,1.99,2.1,2.05,2.08,2.07,2.02,1.97,1.97,2.08,2.08,2.05,2.05,2.02,1.9,1.96,2.15]</t>
  </si>
  <si>
    <t>[1.9,1.89,1.9,1.9,1.93,1.89,1.89,1.88,1.89,1.91,1.91,1.89,1.9,1.94,1.99,1.98,1.99,2,1.97,1.93,1.91,1.94,1.94,3.6,2.74,2.18,2.34,2.39,2.31,2.3]</t>
  </si>
  <si>
    <t>[0,0,0,0,0,0,0,0,0,0,0,0,0,0,0,0,0,0,0,0,0,0,0,0,0,0,2.41,1.78,1.76,2.35]</t>
  </si>
  <si>
    <t>[1.78,1.8,1.78,1.8,1.84,1.79,1.79,1.8,1.78,1.81,1.8,1.82,1.88,1.9,1.87,1.88,1.88,1.91,1.92,1.92,1.9,1.91,1.85,1.94,3.58,2.18,2.22,2.11,2.11,3.14]</t>
  </si>
  <si>
    <t>[1.96,1.99,2,2,2.01,1.99,1.98,2.02,2,2,2.01,1.98,1.98,1.98,1.89,2.12,2.01,2.01,2,1.98,1.99,1.97,1.96,1.94,1.92,1.91,1.93,1.93,1.95,1.96]</t>
  </si>
  <si>
    <t>[1.7,1.55,1.79,1.94,1.9,1.98,1.95,2.02,1.98,1.9,2.07,2.07,1.99,1.94,1.95,2,2.03,2.03,2.09,2.05,1.94,1.99,1.94,1.99,1.97,2.08,2.08,2.05,2.25,2.11]</t>
  </si>
  <si>
    <t>[1.98,2,1.97,1.98,1.96,1.98,1.97,1.94,1.94,1.95,1.97,1.94,1.92,1.89,1.87,1.92,1.91,1.94,1.92,1.91,1.9,1.92,1.95,1.93,1.93,1.94,1.92,1.96,2.03,2.01]</t>
  </si>
  <si>
    <t>[1.86,2.04,2.05,1.77,1.81,1.92,2.01,1.99,1.9,2.06,1.95,1.92,1.95,2,1.86,1.88,1.89,1.96,1.98,1.89,2.02,1.89,1.89,1.91,1.92,1.88,1.91,2.06,1.84,1.88]</t>
  </si>
  <si>
    <t>[0,0,0,0,0,0,0,0,0,0,0,1.9,1.72,1.72,1.71,1.7,1.75,1.77,1.97,1.96,1.95,1.87,1.95,2.14,2.17,2.01,2.07,2.03,2.02,2]</t>
  </si>
  <si>
    <t>[1.89,1.94,1.9,1.9,1.89,1.9,1.92,1.88,1.91,1.91,1.89,1.88,1.9,1.89,1.84,2.02,1.94,1.92,1.96,1.89,1.88,1.89,1.94,1.91,1.91,1.9,1.9,1.97,1.96,1.86]</t>
  </si>
  <si>
    <t>[2.06,2.12,2.06,2.09,2.08,2.09,2.22,1.94,2.13,2.08,2.13,2.07,2.02,1.96,2.01,2.05,2.05,2.07,2.05,2.02,1.97,1.94,1.88,1.46,1.5,1.51,1.53,1.48,1.44,1.53]</t>
  </si>
  <si>
    <t>[1.86,1.9,1.9,1.88,1.88,1.88,1.89,1.88,1.88,1.87,1.9,1.88,1.89,1.88,1.88,1.9,1.9,1.91,1.91,1.9,1.88,1.88,1.93,1.89,1.88,1.85,1.84,1.86,1.89,1.9]</t>
  </si>
  <si>
    <t>[1.67,1.71,1.74,1.74,1.75,1.78,1.76,1.86,1.77,1.76,1.79,1.73,1.84,1.76,1.78,1.87,1.84,1.97,1.87,1.82,1.87,1.72,1.73,1.71,3.45,1.67,1.83,1.74,1.74,1.76]</t>
  </si>
  <si>
    <t>[1.63,1.65,1.62,1.64,1.65,1.68,1.62,1.62,1.73,1.83,1.8,1.67,1.67,1.56,1.58,1.63,1.63,6.43,1.64,1.93,1.57,1.74,1.63,1.84,1.64,1.64,1.67,1.62,1.61,1.76]</t>
  </si>
  <si>
    <t>[1.86,1.89,1.86,1.86,1.87,1.85,1.83,1.82,1.81,1.84,1.82,1.8,1.8,1.8,1.79,1.8,1.8,1.81,1.78,1.8,1.8,1.79,1.81,1.81,1.82,1.83,1.88,1.73,1.8,1.82]</t>
  </si>
  <si>
    <t>[1.75,1.76,1.77,1.74,1.74,1.74,1.76,1.77,1.8,1.8,1.81,1.81,1.81,1.8,1.72,1.92,1.78,1.8,1.8,1.81,1.87,1.84,1.83,1.81,1.81,1.8,1.82,1.83,1.81,1.82]</t>
  </si>
  <si>
    <t>[1.9,1.89,1.87,1.88,1.87,1.88,1.76,1.71,1.62,1.62,1.72,1.69,1.66,1.67,1.69,1.66,1.66,1.64,1.71,1.69,1.67,1.67,1.69,1.7,1.7,1.73,1.68,1.68,1.7,1.7]</t>
  </si>
  <si>
    <t>[1.68,1.68,1.69,1.73,1.64,1.69,1.61,1.52,1.66,1.67,1.67,1.67,1.66,1.63,1.62,1.69,1.69,1.68,1.67,1.67,1.67,1.65,1.67,1.72,1.72,2.21,1.93,1.84,1.87,1.88]</t>
  </si>
  <si>
    <t>[1.63,1.65,1.65,1.65,1.65,1.63,1.63,1.64,1.64,1.65,1.65,1.63,1.64,2.67,2.15,1.65,1.64,1.64,1.62,1.62,1.61,1.62,1.64,1.64,1.63,1.62,1.62,1.72,1.59,1.61]</t>
  </si>
  <si>
    <t>[1.42,1.44,1.41,1.42,1.42,1.44,1.47,1.43,1.44,1.44,1.45,1.41,1.45,1.41,1.38,1.48,1.42,1.42,1.43,1.44,1.38,1.42,1.45,1.42,1.44,1.44,1.42,1.41,1.4,1.41]</t>
  </si>
  <si>
    <t>[1.37,1.37,1.38,1.38,1.37,1.38,1.37,1.38,1.37,1.36,1.35,1.35,1.36,1.33,1.37,1.37,1.37,1.36,1.37,1.36,1.35,1.37,1.36,1.37,1.37,1.6,1.37,1.38,1.38,1.49]</t>
  </si>
  <si>
    <t>[1.28,1.29,1.3,1.3,1.31,1.31,1.3,1.3,1.27,1.28,1.31,1.24,1.24,1.25,1.27,1.25,1.22,1.3,1.32,1.28,1.31,1.31,1.32,1.27,1.31,1.34,1.34,1.3,1.28,1.28]</t>
  </si>
  <si>
    <t>[1.29,1.29,1.28,1.28,1.3,1.31,1.31,1.32,1.32,1.33,1.35,1.3,1.28,1.24,1.22,1.31,1.28,1.24,1.21,1.22,1.25,1.2,1.23,1.21,1.23,1.23,1.22,1.2,1.2,1.22]</t>
  </si>
  <si>
    <t>[1.2,1.31,1.23,1.23,1.28,1.34,1.37,1.34,1.29,1.29,1.31,1.19,1.21,1.2,1.2,1.24,1.23,1.25,1.23,1.23,1.24,1.19,1.25,1.22,1.22,1.22,1.22,1.22,1.21,1.23]</t>
  </si>
  <si>
    <t>[1.21,1.21,1.21,1.28,1.2,1.24,1.18,1.22,1.27,1.24,1.24,1.23,1.23,1.19,1.19,1.25,1.25,1.2,1.23,1.19,1.2,1.2,1.19,1.26,1.24,1.3,1.25,1.21,1.2,1.26]</t>
  </si>
  <si>
    <t>[1.24,1.24,1.22,1.21,1.22,1.21,1.21,1.21,1.21,1.2,1.2,1.21,1.2,1.2,1.18,1.19,1.2,1.19,1.18,1.19,1.18,1.2,1.19,1.19,1.19,1.19,1.23,1.14,1.18,1.23]</t>
  </si>
  <si>
    <t>[1.07,1.05,1.05,1.05,1.04,1.06,1.06,1.06,1.07,1.06,1.04,1.03,1.03,1.03,1.01,1.03,1.01,1.01,1.02,1.04,1.01,0.99,1.03,1.01,0.99,1,1.01,1.02,1.01,1.01]</t>
  </si>
  <si>
    <t>[0,0,0,0,0,0,0,0,0,0,0,0,0,0,0,0,0,0.01,0,0,0.1,0,0,0,0,0,0,0,0,0]</t>
  </si>
  <si>
    <t>[0,0,0,0,0,0,0,0,0,0,0,0,0,0,0,0,0,0,0,0,0,0,0,0,0,0,0,0,0,0]</t>
  </si>
  <si>
    <t>[25258160.64,16461944.45,7001180.94,30634671.68,31283796.72,21739363.27,22948077.04,16401354.75,17692249.32,19848234.71,19142915.64,23131523.86,22010404.79,29037863.48,21769583.71,22450325.07,23149229.3,23336313.6,27104599.77,17837105.51,26437901.07,18133029.16,16778325.39,16396383.45,16074769.09,15249935.45,15875858.76,21855443.06,24668603.64,33068157.99]</t>
  </si>
  <si>
    <t>[6165277.81,6234855.17,6789017.75,6481227.12,6380978.99,883905.26,116022.64,6278209.14,6323327.61,6311223.94,44284925.72,69070872.57,61419119.65,73071230.33,74237157.4,51536537.94,70450441.66,57704050.82,11561494.44,6593885.4,6498123.79,6260182.71,7370089.78,7043063.45,6419600.82,6599880.39,6429646.69,6498081.77,6309410.16,6492390.44]</t>
  </si>
  <si>
    <t>[16410546.8,18436514.03,18105382.5,19769839.95,18490927.52,25025756.48,30329778.99,18768891.05,20296572.72,17604882.02,17348169.7,17327654.21,16147282.55,26417451.78,14391690.53,16700581.78,15100390.46,16287385.96,24224967.21,16009798.71,25369779.65,14328395.37,15988903.73,17266173.64,16116494.68,17866363.21,20599246.01,25750090.51,14819971.69,16327332.43]</t>
  </si>
  <si>
    <t>[11050443.91,13925367.46,12657167.79,13890926.72,13058420.97,12656382.87,9894147.73,11215013.81,13022509.24,14861971.91,15190798.21,13726463.86,13169551.64,11277424.43,11271769.09,12070083.21,12791640.39,12505688.39,13255916.59,12234044.19,10340178.81,10737612.32,13242739.54,13144618.11,12608427.37,12864893.25,12154271.1,10574757.08,11246141.7,14561782.9]</t>
  </si>
  <si>
    <t>[7919999.72,7664678.58,7662616.4,7712953.24,7674407.61,7670692.34,16483231.65,7772446,7696475.26,7711555.19,7714777.6,7727571.85,7717445.05,16837844.73,7800220.27,7720049.79,7730697.46,7743637.72,7784318.45,7743147.68,16782309.91,7878158.1,7798490.44,7764176.93,7768533.09,7788197.29,7809069.84,16761709.88,7826320.51,7791150.52]</t>
  </si>
  <si>
    <t>[2286987.22,1912279,2094037.14,7620909.25,7647363.71,7970449.22,6860725.35,9151303.83,8629227.6,8414786.13,7798031.46,7646209.69,7651830.39,5869787.74,10872196.87,8454872.86,8055041.04,8197508.87,8390083.1,8295513.3,5223581.03,12972206.76,9021862.86,8351209.63,8766128.29,9135845.02,8930384.95,4555715.29,5702396.66,14967707.91]</t>
  </si>
  <si>
    <t>[2421646.48,4625238.8,4625879.95,8952053.88,8796193.87,6163914.18,5545744.44,5497898.62,13349464.48,7010577.9,11518794.21,8767452.92,4706156.12,7636349.57,3261099.67,5649716.56,3544368.25,3635431.13,5431243.86,7165221.67,6185365.5,2222489.14,13576847.47,18067433.48,11209095.11,12477987.83,6612071.9,7820966.18,3185668.88,8340619.17]</t>
  </si>
  <si>
    <t>[2285461.68,2826378.46,2510500.48,4214169.4,2870724.84,5090730.84,6632083.09,13975190.42,5216637.45,4588286.81,5016575.13,1944197.67,5167801.23,2190783.22,3145312.26,4109893.56,12406415.19,3597931.82,5754339.75,5257897.4,1246776.49,1373285.06,5215840.87,4570170.84,5237009.88,3903216.19,3535087.94,1599330.65,1322825.29,3480170.38]</t>
  </si>
  <si>
    <t>[29853.85,30352.53,30658.85,30646.76,30205.63,30692.75,30773.72,30037.2,30124.35,30383.86,30537.52,29975.65,30767.13,32396.46,33148.89,34083.71,33541.44,23935.87,768984.44,4325496.57,91169.56,150007.05,3114799.79,47306.92,62515.6,163044.01,18531178.96,31680854.58,31839722.42,9914942.71]</t>
  </si>
  <si>
    <t>[6403730.42,8649124.01,4924001.27,1057617.91,28412.94,25453.75,5503298.31,359802.21,40447.74,26934.83,27299.2,26864.69,27112.1,5540557.87,378782.36,30178.25,26349.14,25999.72,26503.27,26195.63,5625076.57,388454.1,30893.7,27647.19,26550.94,28232.94,27679.72,5688257.66,398164.49,30867.55]</t>
  </si>
  <si>
    <t>[163436.17,318892.05,112342.8,95463.24,100354.39,149869.59,7925773.08,419040.5,206929.07,302982.01,187596.53,158979.9,98785.18,8007474.89,173778.58,139233.27,93648.16,111021.5,139166.32,91506.88,8000581.08,149774.45,177384.42,98826.82,78730.79,72037.02,70348.99,8098325.84,160016.38,230557.03]</t>
  </si>
  <si>
    <t>[189795.93,34279.14,32212.82,31067.94,31998.71,29805.67,8325590.15,31460.3,33749.08,36219.65,35257.97,30993.5,30686.99,8354636.08,30567.56,31070.38,33551.32,33408.97,34656.02,30734.36,8374974.12,31628.61,36318.51,32480.56,32050.8,31363.64,30217.64,8422203.3,30675.7,33042.98]</t>
  </si>
  <si>
    <t>[15132.49,16914.03,14990.88,14118.48,16073.35,13585.58,8195937.21,15655.94,16713.41,22424.15,21165.04,17187.56,16538.91,8020067.98,18054.83,18310.23,16363.44,16906.18,17041.46,13899.6,8237029.63,16532.25,19148.31,16149.65,16593.73,14571.26,12520.47,8117626.39,14966.15,16506.95]</t>
  </si>
  <si>
    <t>[32867.77,38697.07,37121.64,33649.99,33309.78,33296.18,33681.64,33391.65,34186.13,33241.33,33609.45,32309.42,33521.26,32612.71,33868.77,2865415.25,3875635.26,5691676.4,5180039.23,4465472.86,5794203.75,3660243.75,39274.42,38555.96,34352.45,38995.84,34521.29,33611.1,34273.78,33742.2]</t>
  </si>
  <si>
    <t>[571499.03,41463.72,17450.29,13711.3,14492.46,14623.48,5312114.97,380323.87,34140.19,13047.32,13016.92,13178.92,12748.7,5340501.38,561474.77,17797.54,12447.61,14201.15,13330.53,14834.85,5433587.5,534346.09,17844.59,16255.31,16340.15,16027.1,16397.94,5496349.45,543647.48,17322.08]</t>
  </si>
  <si>
    <t>[517638.9,526601.69,536023.71,549922.5,491860.81,498286.23,506462.35,530470.06,551519.54,559698.01,581645.31,613632.2,636099.55,642561.92,509803.51,501105.18,514079.09,535901.32,562239.36,561255.46,591755.7,614820.23,601232.15,620407.11,504006.58,520606.09,528128.11,538284.67,456024.68,513679.06]</t>
  </si>
  <si>
    <t>[515524.59,530376.58,531249.3,553273.11,494277.53,498936.63,510565.08,536846.71,548288.1,548607.61,575200.21,597359.1,619009.29,624499.88,628365.43,481070.52,498480.25,528423.68,555207.37,563442.41,599279.02,617903.95,597958.27,631946.74,499937,507064.37,511054.74,532052.16,446470.68,506571.12]</t>
  </si>
  <si>
    <t>[511603.49,519464.5,523111.43,547683.95,481868.1,498091.26,499819.29,529683.57,548177.06,542528.8,566622.2,588023.58,622218.76,613918.52,630886.95,601848.21,473723.33,503893.35,539968.84,542442.38,575750.66,603417.36,590380.58,606823.3,639901.06,507962.85,503239.87,538630.95,405046.83,504157.65]</t>
  </si>
  <si>
    <t>[507382.96,526798.87,539148.1,558200.95,491931.77,503233.36,519057.78,537354.28,569424.09,569571.87,586846.93,607095.33,632947.47,639999.08,551134.51,487551.99,493987.2,528863.21,546398.31,552112.42,578164.8,608733.85,597275.49,622245.58,546228.05,511561.85,502300.57,518184.07,402490.91,510190.63]</t>
  </si>
  <si>
    <t>[526071.1,510512.38,526425.05,551210.01,483616.14,496072.4,509233.99,520673.01,548832.43,548038.77,570951.43,596087.49,609067.16,625526.43,629606.97,568011.99,473139.1,500784.89,531025.94,547854.79,579858.35,607032.26,594389.92,610496.75,637280.07,489258.35,491507.94,531861.07,407229.91,502593.19]</t>
  </si>
  <si>
    <t>[507944.41,523374.18,542091.67,559229.34,488948.05,497760.39,501156.74,539920.36,555484.79,545278.61,567559.97,591011.52,614789.68,616882.75,630311.75,600243.75,473639.07,506042.21,529126.74,543891.01,574269.51,608430.96,590547.81,619240.2,503401.41,502188.71,518183.13,521750.41,442098.2,514289.35]</t>
  </si>
  <si>
    <t>[533545.86,540443.88,566701.22,560678.2,418478.34,497019.74,513634.26,519183.31,545217.28,548643.12,570011.79,598663.96,625269.6,625902.78,591403.55,482348.97,499418.47,527413.57,548455.57,546683.69,586434.89,606120.7,586231.07,615505.11,502137.73,520651.49,528324.96,541974.53,460219.4,517588.5]</t>
  </si>
  <si>
    <t>[511443.32,518834.17,520660.8,542632.85,484361.4,494068.82,510121.15,528602.95,543902.63,547219.11,567313.94,595149.81,634442.38,635613.72,502898.23,499638.37,502182.12,530224.47,555867.65,552586.43,585482.02,605877.77,588336.2,603633.28,634415.58,502877.78,492283.76,520148.42,406636.82,509970.67]</t>
  </si>
  <si>
    <t>[506620.25,520736.83,520325.32,543194.43,489328,493689.71,504862.63,524133.91,544685.41,543679,558134.77,586112.07,609457.94,615561.97,624016.1,597016.01,475428.03,511768.39,539098.24,549387.64,577149.08,608260.23,582614.92,606735.16,496771.75,499055.55,527878.26,520321.71,438660.48,505652.12]</t>
  </si>
  <si>
    <t>[515705.27,510562.08,533209.55,557396.02,501022.69,501393.85,498716.19,516308.9,541966.92,544566.51,562881.7,590356.62,606159.9,611493.43,617854.53,581975.56,467108.26,498723.01,540512.85,542920.14,573634.44,602940.21,594497.76,596760.41,637321.92,478821.46,486094.68,505086.34,410666.49,491980.53]</t>
  </si>
  <si>
    <t>[505945.53,518799.33,528165.44,545759.74,481188.82,500995.17,515097.11,538929.42,556624.69,551322.66,574308.43,593266.45,634249.31,624616.34,606913.63,475339.76,489401.62,517256.96,536390.19,539240.61,583007.73,601734.02,588540.06,606351.4,549299.94,507525.73,503923.71,529571.58,403365.52,505671.47]</t>
  </si>
  <si>
    <t>[508232.07,403677.15,500594.37,504055,427268.9,497285.1,516240.31,539868,550215.3,548376.2,569528.95,589963.33,603813.09,643637.86,631561.71,488676.64,498272.45,524866.51,547349.93,553798.99,583741.34,607444.93,584005.2,601018.41,634892.46,521084.58,496029.84,503403.6,438644.82,492849.37]</t>
  </si>
  <si>
    <t>[520369.25,439755.92,506066.94,527219.89,408010.07,500556.17,511398.51,531809.83,562577.86,569370.29,582537.28,610892.57,625289.77,617080.29,626791.34,620535.47,479100.63,504752.59,535479.63,543723.58,578988.55,604499.93,602510.86,627030.7,503197.01,358563.63,520871.36,522991.33,450848.34,509445.36]</t>
  </si>
  <si>
    <t>[510744.28,429902.38,494974.37,516963.88,406133.74,494031.84,506109.51,523887.3,545256.34,543979.09,565936.74,588588.58,612741.85,620256.03,628098.69,594009.26,481776.51,509464.36,539259.9,544355.87,581252.11,607133.93,590582.82,613880.57,643935.81,349503.03,510555.67,523149.11,451151.87,505165.6]</t>
  </si>
  <si>
    <t>[507109.18,513450.38,530674.4,550952.49,467701.87,487737.84,488440.2,523405.51,535598.29,537004.82,556705.28,581184.53,596457.69,627149.98,518286.91,479859.84,485527.42,515733.27,535620.51,530307.94,574806.71,582636.64,561001.03,596668.33,475202.19,489876.3,519200.63,519603.55,451335.2,493131.02]</t>
  </si>
  <si>
    <t>[1222918.5,1224922.78,1225691.49,1232170.18,1228072.38,1226726.78,1228480.94,169568.01,214533.38,214317.38,214948.08,215225.91,215556.32,215562.84,215689.34,216290.34,216612.72,218175.56,217256.79,218057.18,218355.4,219609.37,218454.71,286163.87,219793,222174.31,217274.8,218646.88,273092.21,224237.71]</t>
  </si>
  <si>
    <t>[423549,425185,426171.72,427674.86,427705.53,428306.65,427953.59,428515.41,429103.86,429300.79,430823.9,430005.49,432230.92,431197.54,432119.42,433665.63,433156.95,434355.43,434826.7,435298.86,435711.2,434716.22,436502.07,436663,437698.48,438440.87,431084.76,439306.43,436959.44,439050.94]</t>
  </si>
  <si>
    <t>[300400.55,318342.16,315143.25,327588.93,488519.8,483985.17,612436.69,283726.5,324525.8,326985.3,325976.92,316729.16,322659.96,630993.48,481061.34,340768.13,340340.65,344839.66,324755.27,326245.07,633783.59,490262.64,332902.02,336860.46,335897.08,339767.5,334218.61,818618.1,320435.8,340942.67]</t>
  </si>
  <si>
    <t>[98705.72,253561.11,379371.14,317307.96,324327.4,340290.82,300998.48,268737.24,395534.39,446879.34,445044.99,430682.16,384984.26,318316.87,378226.6,377607.54,399655.05,355061.45,480659.43,486727.79,322040.72,451070.02,517254.19,606064.02,342538.22,542085.87,561321.12,465319.41,414639.95,410496.27]</t>
  </si>
  <si>
    <t>[0,0,0,0,1509466.35,605835.64,0,3860510.96,112913,0,0,0,0,0,0,0,0,0,0,0,0,0,0,0,0,0,0,64658.21,77479.69,0]</t>
  </si>
  <si>
    <t>[50.45,339468.66,340593.45,342277.11,341957.53,342733.14,341324.75,330575.4,344238.65,344787.94,345641.37,346078.42,347057.32,346993.31,347847.7,347139.81,348893.87,349424.19,350232.21,350757.49,350625.68,350790.55,351988.52,352863.28,353234.9,354191.04,354618.99,354547.42,354095.35,354535.28]</t>
  </si>
  <si>
    <t>[58697.64,21400.35,20841.76,20367.41,19557.02,19504.85,19804.68,108435.03,20186.41,19684.33,19500.25,19766.46,20134.85,20052.33,20176.53,20393.97,596025.37,341730.68,474714.07,818917.69,1093084.22,1221384.3,534046.53,589500.35,1481750.38,382565.62,398295.4,259103.17,426487.55,493682.67]</t>
  </si>
  <si>
    <t>[168377.78,194490.41,205481,182222.23,190286.11,154301.08,151992.84,132417.87,120310.74,125959.07,113793.82,114912.83,119222.57,139159.42,91914.6,106302.16,249275.34,195487.82,194274.33,221430.19,225601.22,174110.69,205794.17,221973.55,208621.26,197959.4,199415.16,219957.76,177141.13,212173.82]</t>
  </si>
  <si>
    <t>[8275.38,1836.07,5414.32,1852.43,981985.04,2718.23,2407.15,1712.79,1678.22,2340.78,2120.67,987134.76,1913.78,1893.73,2647.62,1837.78,1677.73,1970.08,1001489.68,3698.5,3674.36,2716.23,2286.87,2531.31,6809.3,1007941.71,3617.83,2091.4,2685.17,2517.82]</t>
  </si>
  <si>
    <t>[12169.97,6184.36,4267.9,4046.3,806354.66,49308.42,4867.74,3416.03,3118.91,3780.06,3654.21,800924.31,60567.53,3853.17,3716.04,5274.92,2716.54,5669.81,797817.2,74133.79,12643.31,5070.96,3498.38,5882.65,9480.53,808263.81,73803.35,5403.05,4386.35,4396.47]</t>
  </si>
  <si>
    <t>[121188.64,121197.19,121390.88,122000.41,121601.11,121414.03,120091.83,118473.34,121446.13,124250,121848.83,121808.48,121938.63,121878.16,121971.16,238.11,121865.32,121597.52,121972.95,124994.52,122912.81,121678.53,121816.89,122001.48,125043.79,121961.08,121060.61,121981.57,122001.57,122459.11]</t>
  </si>
  <si>
    <t>[79248.3,8142.2,9487.39,23407.68,164055.36,32781.78,149876.29,220639.77,285390.86,117771.22,15598.61,152374.39,11306,9770.32,65722.78,54915.33,12841.07,299838.16,247998.6,728081.06,60066.3,213330.4,35981.82,22705.48,170901.27,144956.87,15322.87,124627.62,29786.59,15549.56]</t>
  </si>
  <si>
    <t>[85168.8,82451.03,82448.86,80682.38,67163.71,82977.07,90040.22,75698.28,87115.79,270472.54,123888.33,154872.51,87734.26,92330.34,108710.57,124558.56,152662.95,124219.13,129534.72,0,0,0,132069.36,156837.71,118375.74,140655.23,125434.35,0,0,155424.53]</t>
  </si>
  <si>
    <t>[79699.33,84605.31,80146.57,84591.47,78710.23,180446.04,164448.91,0,84508.16,145514.27,87464.51,118939.71,84884.44,76611.1,89003.25,103267.53,97886.53,74067.07,72065.26,0,0,0,78925.31,78742.04,75076.61,79392.31,80731.59,0,0,210689.38]</t>
  </si>
  <si>
    <t>[82648.55,84778.04,85249.15,83572.62,86192.65,86818.09,163171.92,90417.14,76930.01,83986.68,101185.29,94734.03,85085.41,154357.2,80236.1,79872.87,79345.05,80117.33,80818.64,78706.55,149691.16,76436.48,80784.91,77286.22,81573,81088.48,78077.35,148122.94,75556.2,78353.24]</t>
  </si>
  <si>
    <t>[86799.12,90792.54,74805.48,77209.18,76990.79,76111.85,73490.5,73144.48,73147.34,86812.62,75337.54,74918.3,75780.64,76116.2,76162.74,74031.3,75707.46,74838.53,75507.84,75784.25,75001.41,75485.04,73461.43,75437.77,74106.56,74984.5,74591.82,75937,74525.16,75892.27]</t>
  </si>
  <si>
    <t>[153063.42,65298.12,60165.24,60721.28,149182.87,71623.66,63560.31,81527.78,64594.8,63170.38,63005.79,128129.51,63166.39,63421.38,67485.38,66082.87,63086.52,66803.31,130844.01,73362.55,78171.14,51062.43,46769.19,44880.82,47086.32,111411.82,62568.44,57378.45,80402.77,48681.39]</t>
  </si>
  <si>
    <t>[64140.24,67669.82,63865,66091.03,65616.13,67867.49,123536.38,69675.27,58982.12,65069.63,84439.82,73769.84,64711.64,118508.18,63147.14,62622.98,61890.81,62417.64,64574.37,64778.81,118424.89,64492.19,63496.39,63449.84,67858.16,64164.33,62642.92,116003.71,61395.9,64091.22]</t>
  </si>
  <si>
    <t>[70567.96,71552.17,69873.95,69921.43,71730.15,70085,72205.17,69677.55,69102.97,70740.88,70338.75,70261.08,69369.34,69601.65,69828.14,69476.3,69885.32,70190.66,69479.66,69525.3,72593.1,72207.3,70362.39,71627.42,74564.92,71945.17,72106.34,71473.56,71542.27,71246.61]</t>
  </si>
  <si>
    <t>[124482.15,54612.78,51305.65,52704.88,177191.14,55382.89,52198.01,52450.61,54028.79,52730.64,53162.47,182380.07,58693.05,63507.56,40733.03,36856.34,37463.87,40551.41,164741.11,41744.94,39022.52,38948.12,39538.29,37806.62,103175.51,171425.37,53720.15,48243.49,46023.95,40659.01]</t>
  </si>
  <si>
    <t>[11197.86,2712.81,3890.49,2068.54,440103.51,4527.25,2945.88,2244.56,2201.94,2910.52,2721.09,442582.85,2325.45,2531.51,2186.35,2394.17,2295.81,2422.8,449988.93,3968.71,3423.46,2429.69,2215.89,4919.3,4259.2,454375.3,2563.21,8685.17,6098.87,9740.89]</t>
  </si>
  <si>
    <t>[96778.67,45461.31,44949.99,44567.87,97401.19,50574.82,97279.9,30716.26,29558.6,31487.22,86623.54,35406.63,32056.01,33922.14,33026.5,41782.14,32017.52,33495.55,32516.49,35136.02,32061.06,61140.76,103156.64,98635.3,101086.04,99654.77,98550.56,99270.63,98910.96,105336.91]</t>
  </si>
  <si>
    <t>[81621.53,124075.34,78799.57,97361.16,48419.29,42589.45,36194.8,37717.27,39687.3,43979.7,42142.08,54851.01,48486.12,46985.98,40567.65,40099.11,44939.86,67831.81,60952.79,48137.16,47786.77,49494.03,51883.97,45870.65,55983.19,49869.95,46729.27,48897.77,134146.54,82090.31]</t>
  </si>
  <si>
    <t>[86947.1,75120.15,56407.33,59831.07,8463.68,85558.81,41638.6,74791.51,36162.26,30782.3,74118.28,37710.95,616.39,31737.15,6773.65,47142.22,26084.39,123935.79,136817.17,119983.81,8929.86,87672.57,8470.37,71643.27,31972.02,91798.84,114203.85,9023.42,25756.98,48418.22]</t>
  </si>
  <si>
    <t>[49401.66,112675.06,163077.43,106755.49,67602.74,91419.64,135732.35,203341.7,42427.78,55096.4,40294.65,25857.35,24915.26,23123.62,23804.95,23849.82,24880.15,24156,23931.37,23993.68,23239.44,22954.35,40252.49,38772.46,32626.52,25562.33,35260.66,23631.08,23540,28800.96]</t>
  </si>
  <si>
    <t>[50429.69,50399.68,50306.35,51131.08,50583.87,50379.77,50301.01,50445.83,50838.55,50749.02,50329.69,50500.21,50545.57,51362.71,50322.64,50204.68,49996.7,50676.69,50149.6,50488.29,50129.59,50078.05,50224.32,50905.17,50252.01,50014.01,50591.72,50216.86,66031.04,51521.85]</t>
  </si>
  <si>
    <t>[0,0,0,0,0,0,0,0,0,0,0,31671.88,30505.79,29976.71,31175.14,29759.1,30771.33,29530.39,63787.35,61288.52,67798.35,66576.1,60510.8,65415.04,61129.51,60308.7,62349.99,61192.9,61689.4,59857.01]</t>
  </si>
  <si>
    <t>[41354.51,53481.69,52676.69,34858.19,46528.14,47566.02,39834.14,36655.7,35996.27,35458.59,36168.04,35510.54,35155.09,34785.9,34638.77,73933.37,49189.82,40786.12,45390.9,144017.93,36233.81,35017.91,129849.93,63794.54,64671.64,56659.13,69685.04,36686.82,35894.95,36331.45]</t>
  </si>
  <si>
    <t>[48229.89,48209.79,48577.57,48099.07,49629.67,48821.57,48903.23,47871.86,48590.14,51538.91,48274.48,51838.86,47083.28,47642.96,46300.94,49319.97,46947.31,47376.62,48188.38,48278.61,47962.86,48315.1,49719.26,48607.68,49874.32,49709.76,50934.62,47072.76,82214.64,47059.86]</t>
  </si>
  <si>
    <t>[49179.3,49494.31,49037.27,49317.67,48823.21,49919.56,49464.95,48325.69,49117.65,48279.5,49050.53,48121.9,49122.48,47469.29,49175.68,48688.11,48471.78,48007.7,48811.63,48166.11,48880.65,47921.35,49133.8,47524.5,48873.64,49056.67,49308.71,48366.69,63218.62,49029.55]</t>
  </si>
  <si>
    <t>[47724.24,47607.74,47758.92,47497.05,47583.22,47564.29,47866.22,47252.64,47702.25,47533.17,47784.93,47349.94,47621.69,46929.51,46750.55,46673.63,46556.07,47483.62,47098.81,46854.21,46657.24,46486.14,46809.11,46597.86,46178.06,46753.22,46575.75,46655.89,90508.02,47120.4]</t>
  </si>
  <si>
    <t>[0,46256.04,78459.81,43284.73,42698.27,42018.37,0,0,77187.54,57023.13,33196.2,63659.78,29467.07,0,0,39897.06,39120.13,45711.65,39023.62,42095.2,0,0,41400.95,47920.53,41497.62,44912.39,37763.75,93558.01,80983.57,40819.07]</t>
  </si>
  <si>
    <t>[47050.87,47343.19,47275.59,47067.21,46673.6,46832.87,47259.06,46720.5,47354.42,47437.24,46904.46,47195.72,46849.64,47202.38,47409.98,47297.33,47104.33,47153.05,47362.68,55614.49,47094.35,46483.67,47169,46923.41,46611.32,46737.91,46685.25,46985.53,73438.36,47136.15]</t>
  </si>
  <si>
    <t>[9702.5,43931.64,12573.76,43620.69,134630.75,14993.98,13217.74,13732.09,34566.73,34091.1,42178.28,172945.35,25970.17,12434.54,11440.13,19069.19,17539.21,119558.67,178652.15,20140.43,13341.48,22275.84,52153.36,190472.99,0,0,0,0,0,29926.11]</t>
  </si>
  <si>
    <t>[46684.4,51093.01,46355.68,45941.08,48077.69,46065.02,45900.04,45458.87,45698.2,47401.02,48602.99,47845.42,46851.31,46686.69,45981.04,46180.88,47408.17,46243.75,46839.29,46626.54,46255.19,46096.9,50671.54,47798.14,48044.14,53240.89,51819.08,51545.55,50532.51,50691.42]</t>
  </si>
  <si>
    <t>[36495.35,38984.52,38025.94,194223.48,41223.4,38179.24,44617.99,47510.08,37877.74,126407.3,54551.69,38496.48,37311.04,36704.98,34470.32,36640.01,37682.6,35162.05,45870.2,37027.54,35524.25,39275.7,38333.1,37793.94,39557.17,40961.07,38189.32,34919.13,37683.99,34232.1]</t>
  </si>
  <si>
    <t>[38104.58,65809.81,45831.61,45750.64,45742.74,49291.73,39410.43,61949.71,39245.04,65507.49,41792.94,68595.8,46403.95,42616.31,40959.55,39247.32,44490.29,44714.39,42712.79,45911.97,40601.95,40559.12,43390.66,47314.29,49191.13,45374.33,51306.97,40305.61,42690.52,45942.45]</t>
  </si>
  <si>
    <t>[32184.67,35680.09,35849.85,36433.5,34561.15,35944.49,36061.85,35299.57,36588.74,37336.87,38850.09,40199.92,37222.99,38654.91,35792.93,36923.68,38092.92,39766.94,43651.22,39464.58,110948.76,48064.99,49751.29,55905.57,60428.65,94175.1,45791.95,45036.5,76391.53,50546.65]</t>
  </si>
  <si>
    <t>[11434.02,619.52,65709.92,40518.1,28251.85,30563.31,48790.79,6547.56,39068.19,16681.61,116901.51,20812.27,53991.52,46421.68,60645.41,89940.98,20741.75,13763.26,32908.12,4986.42,415.11,15238.94,115721.36,105353.08,57300.97,137030.46,339.59,67137.1,77819.82,50473.88]</t>
  </si>
  <si>
    <t>[43857.7,48171.83,44108.15,44327.46,44450.46,47618.55,44620.56,44261.14,44295.15,45631.99,49655.85,46062.8,44571.99,44568,44550.5,44703.88,44845.78,44932.44,45269.19,45203.59,44853.03,45081.77,45054.44,46278.88,46302.74,48998,46167.62,46223.22,46334.74,46535.78]</t>
  </si>
  <si>
    <t>[44058.2,43846.95,43807.01,44467.35,44236.95,44497.92,68369.23,45721.57,43598.97,44206.65,43922.21,44029.59,43941.99,43725.26,44316.68,43861.03,43810.34,44752.12,44317.12,44490.32,44206.9,44538.57,44691.83,46170.57,47610.36,45145.86,45829.99,45442.14,45279.96,45490.47]</t>
  </si>
  <si>
    <t>[44971.31,44794.03,45087.55,44846.15,44891.27,44920.85,47074.84,43772.86,43272.62,45333.38,45253.43,44978.97,45262.81,45192.2,45223.58,45438.15,44738.2,44891.26,44738.28,44932.04,44945.53,44669.75,44962.41,45030.26,46915.56,45529.15,45532.86,45131.16,44893.43,45365.75]</t>
  </si>
  <si>
    <t>[44133.45,44198.91,44191.15,43742.49,44356.2,44230.14,46449.15,44451.35,43391.11,44272.84,44189.61,44450.77,44149.06,43803.07,44118.89,44121.91,44068.39,44106.48,44108.44,44351.48,44054.42,44431.28,44490.23,45631.34,45864.1,48975.95,45793.05,46313.71,45753.85,45995.23]</t>
  </si>
  <si>
    <t>[39658.24,52924.1,40708.87,41308.47,42343.82,44986.01,42214.24,42436.17,41300.84,41786.8,42288.36,42193.84,44274.56,42142.52,40717.91,51673.29,95384.6,44001.75,42300.77,39135.84,43712.78,40386.01,41591.35,42757.24,42344.83,44462.04,42637.18,44432.57,39588.54,42752.95]</t>
  </si>
  <si>
    <t>[49038.66,49072.24,49115.36,48930.75,49224.56,50027.75,50409.57,50208.86,51597.94,54542.57,53362.98,0,0,0,0,0,0,0,0,45465.81,35808.77,36269.11,36268.89,36029.28,36346.97,35672.4,41357.68,42248.77,39830.83,36213.41]</t>
  </si>
  <si>
    <t>[43866.24,43853.97,44253.25,43932.26,43947.23,44088.52,45914.83,44186.94,43399.43,44362.17,44159.22,44050.39,44168.58,44000.29,43770.24,43881.82,44114.92,44006.62,43964.29,44194.2,44406.65,43772.77,43790.98,44475.36,46503.96,44050.81,43947.65,43891.5,44089.16,44204.01]</t>
  </si>
  <si>
    <t>[80593.86,44074.54,42869.45,43451.19,48956.51,39093.06,40845.1,92258.4,46600.04,41511.68,44720.12,43060.53,41270.93,39971.62,46812.37,47867.38,43635.74,42011.44,45661.98,41765.23,39411.89,40993.08,35857.35,33192.4,36576.72,33432.23,32950.42,28175.98,36436.74,46714.51]</t>
  </si>
  <si>
    <t>[33559.03,38852.39,33258.38,33776.94,34423.52,36461.83,32128.47,37003.72,36903.28,34063.68,33674.44,58931.35,36387.48,32684.05,33081.65,45981.07,41540.63,34702.58,64654.89,84100.71,33598.11,32601.72,35949.31,38448.25,54504.95,45249.42,131037.36,37186.05,35937.29,40542.17]</t>
  </si>
  <si>
    <t>[39525.42,40940.73,39359.04,41776.21,39383.5,39664.53,41819.41,44260.15,44115.21,44466.09,44070.5,41294.55,39184.84,40507.55,44072.91,59604.6,80580.06,54072.96,41148.84,40638.92,39218.64,39286.42,39246.72,39054.74,40517.31,39436.6,39006.58,39405.95,39211.09,38987.54]</t>
  </si>
  <si>
    <t>[42627.9,42567.86,44286.95,42616.76,44203.66,42906.82,42437.46,42022.71,40729.24,44401.31,42324.09,40477.97,42434.11,42546.71,41824.83,43832.61,44027.07,42514.27,42291.14,42013.61,42580.23,42508.97,41984.78,41553.77,41966.79,44010.76,41384.48,41688.44,449378.83,0]</t>
  </si>
  <si>
    <t>[39503.48,42181.86,39371.05,39501.36,39430.32,39274.63,39268.07,39225.79,39369.91,39545.03,51421.42,40733.28,39503.39,39702.13,39411.22,56567.8,89032.46,41946.96,43673.85,45604.88,39706.52,39951.04,40602.02,41459.67,40736.64,42221.64,40464.36,40069.08,40054.76,41541.04]</t>
  </si>
  <si>
    <t>[43739.22,43029.38,42574.85,42675.82,42762.17,42890.36,42772.08,42199.82,42894.04,42615.68,42854.58,42348.74,42947.75,43683.58,42335.68,42817.7,42751.47,42503.69,42732,42776.41,42574.79,42392.31,43119.66,42628.31,47027.1,43153.08,42562.8,42868.71,42620.4,43253.57]</t>
  </si>
  <si>
    <t>[39329.26,51821.13,39086.97,38774.29,39141.43,38970.72,67615.68,39555.07,39170.08,39289.65,38845.99,39391.68,39126.44,39332.82,38958.78,61191.43,78708.8,39165.53,39246.8,39035.99,39257.42,38963.33,39085.25,39809.66,38910.35,38992.49,38868.69,38293.37,38982.51,38832.18]</t>
  </si>
  <si>
    <t>[39438.7,52749.37,39186.15,39557.74,39011.73,39041.15,41930.32,43925.82,43898.42,43986.91,43770.16,40876.92,38999.66,38961.78,39413.21,52641.78,81153.05,39929.71,39510.02,39275.59,39298.6,39384.33,39233.94,39447.94,39297.29,39113.59,39532.47,38696.07,39317.15,39381.72]</t>
  </si>
  <si>
    <t>[32075.82,31967.74,31012.7,32318.53,32322.21,39852.24,32303.42,32487.93,40271.13,39733.91,38620.8,39396.17,38414.02,38676.7,38740.18,38718.11,39734.59,60546.68,43915.82,42250.5,39729.88,39948.5,82895.13,68329.25,70387.2,0,0,0,0,53336.24]</t>
  </si>
  <si>
    <t>[39400.38,47992.26,43603.71,43902.8,39509.73,39092.89,39219.99,39287.66,38965.58,39016.25,47419.87,39169.01,39044.9,39380.3,39432.11,54972.84,87381.11,39607.5,39232.07,39051.95,38930,39043.75,38963.62,39125.9,39307.25,39264.1,39197.42,38452.23,39294.67,39143.81]</t>
  </si>
  <si>
    <t>[37468.34,36415.88,39185.76,38148.72,38116.08,64525.6,37594.24,34015.54,62737.8,64669.86,65181.71,65248.75,39232.8,37555.99,36556.51,36354.58,38194.65,37177.95,36959.87,36389.65,37155.27,37641.22,38274.2,38014.37,39186.59,39083.94,38439.65,37415.49,37853.5,37461.87]</t>
  </si>
  <si>
    <t>[0,34274.61,0,30303.7,31005.57,0,0,0,0,60995.51,52017.18,345630.88,55411.75,0,0,36620.53,0,26712.46,0,38053.53,0,0,31242.14,35445.76,45318.08,35275.25,33491.13,47620.57,66332.6,25436.04]</t>
  </si>
  <si>
    <t>[38958.47,40493.3,39003.59,38683.52,38728.36,38851.43,57512.89,39160.54,39049.47,38852.8,39118.63,38904.96,38934.38,38618.84,38773.74,52720.45,72640.15,38911.23,39282.96,38876.89,39060.53,38940.35,38642.12,38790.03,38615.12,39066.05,39507.4,38939.46,38764.86,38774.82]</t>
  </si>
  <si>
    <t>[39148.38,36607.7,34685.41,69018.91,49830.87,40303.49,37468.57,36137.21,38684.08,42344.56,37420.93,37654.98,41362.91,42319.78,39182.46,41122.27,44462.57,40894.47,40272.3,36187.53,36133.64,39576.5,37259.38,38331.15,39832.85,39022.18,34546.84,41128.87,37924.95,39160.7]</t>
  </si>
  <si>
    <t>[38162.54,39059.7,39671.02,41531.21,136638.86,35754.46,34772.19,34527.61,36351.58,37700.71,35111.54,37589.92,36418.43,32969.05,32718.73,35829.16,34560.86,33592.99,35078,34490.69,33901.3,33914.69,34721.93,36781.77,39933.61,39013.59,37773.2,36913.93,41731.16,37603.41]</t>
  </si>
  <si>
    <t>[29649.76,29042.1,28474.19,29020.82,29059.63,30815.67,47469.25,28940.18,29087.95,28825.58,30595.42,30452,28802.93,30140.54,29747.41,29856.13,30853.18,31260.53,32464.96,31696.78,99736.56,42597.03,44696.24,43596.7,45470.19,47992.28,45808.05,47964.85,98196.12,46596.83]</t>
  </si>
  <si>
    <t>[34154.68,57142.12,38028.29,36587.63,82410.6,39487.15,35270.61,35797.19,36410.93,37486.55,36070.43,33459.48,32638.67,35437.73,36728.48,36439.44,35314.7,37344.81,35777.48,36968,33871.19,34970.38,35592.96,35962.44,35906.25,35666.69,35600.42,36126.62,37038.46,37451.91]</t>
  </si>
  <si>
    <t>[37619.29,37545.24,36617.18,36761.9,36292.22,37196.54,36859.69,36059.8,36833.87,36603.44,36994.15,36556.32,36268.82,36316.57,39631.8,42097.91,40800.34,38018.88,36661.09,36787.79,35949.07,36050.3,36922.49,40363.34,41026.26,41621.38,37991.42,36320.89,42915.11,37060.91]</t>
  </si>
  <si>
    <t>[37414.71,37890.73,37402.04,37371.29,37188.73,37472.17,37688.23,37611.56,38426,39393.31,37583.65,37637.04,37693.81,37816.55,37585.53,37469.89,37756.57,36698.83,36997,39793.48,37967.85,37802.51,37462.88,37462.21,41013.04,37319.56,37666.59,35212.09,34218.35,38466.3]</t>
  </si>
  <si>
    <t>[38158.5,37494.8,37474.35,37478.25,37568.35,37299.31,37599,36336.23,37940.29,37101.02,37788.98,37131.53,37129.05,37344.86,37210.68,37403.76,37802.2,37320.91,37741.01,37291.42,36789.08,36905.57,37649.92,37491.91,37184.13,37225.11,37420.42,41658.58,37531.76,37723.66]</t>
  </si>
  <si>
    <t>[30464.11,30866.13,32241.46,30558.65,30900.36,30383.2,29752.4,30638.16,30059.25,30775.16,32057.43,29876.48,30518.99,29872.9,31089.91,29886.07,30216.87,30611.48,29901.9,30267.06,29913.03,30960.48,29473.51,31556.73,69285.65,62127.24,60789.69,59913.87,59727.69,59624.82]</t>
  </si>
  <si>
    <t>[37162.83,38274.41,36871.54,37252.99,36783.61,37160.29,37003.18,36293.94,37070.83,36811.67,37162.41,36870.7,36534.94,36732.33,36159.82,37139.88,36827.01,37223.16,36708.82,36798.96,36526.47,36712.56,37206.42,36892.71,36623.06,37010.49,35729.3,36785.53,36287.38,37245.5]</t>
  </si>
  <si>
    <t>[37639.36,36127.36,36805.67,36673.71,36197.37,36707.55,36896.98,45518.34,36158.81,37076.09,36765.36,36105.16,35903.77,36132,36132.37,36374.07,36592.33,36432.16,36276.08,36782.38,35738.88,35827.35,36201.26,36621.7,36088.62,35781.16,35868.4,36214.54,36261.32,36494.04]</t>
  </si>
  <si>
    <t>[34374.93,37524.42,37067.93,35316.11,37644.1,37465.48,33307.8,33454.67,35818.84,36702.81,35555.66,35184.39,35507.47,32735.75,32383.47,35294.86,35861.61,35205.12,37228.58,37096.5,35219.84,34698.7,38518.01,38138.98,37332.51,36414.57,34756.79,33171.18,32152.71,37827.04]</t>
  </si>
  <si>
    <t>[33299.17,33411.3,33403.7,34373.65,34956.26,34724.15,35500.83,34981.48,35108.56,34512.87,35000.04,36301.13,36445.42,34789.48,35609.15,34835.98,34672.39,35004.28,35929.54,34846.27,35066.96,35417.94,35240.26,35759.51,35660.97,37632.63,35048.38,35670.94,39278.91,35365]</t>
  </si>
  <si>
    <t>[28527.69,29112.03,32912.29,36257.05,37853.25,35540.92,36166.52,36747.47,37197.48,36364.16,36917.14,37406.58,37223.45,39381.02,37852.95,32825.76,32960.76,32023.33,35537.86,39201.79,38035.52,37984.91,33229.52,31479.15,32854.22,31721.75,33285.39,33216.74,32669.69,32744.93]</t>
  </si>
  <si>
    <t>[38732.8,38812.39,28823.06,39380.26,39442.52,29384.93,47580.81,27999.81,29421.32,38889.61,44114.76,23040.08,35664.47,33330.32,27753.5,41100.17,28632.44,21118.4,0,0,0,0,0,0,0,0,781246.4,25756.92,31453.77,30018.34]</t>
  </si>
  <si>
    <t>[49100.75,28372.74,28743.31,28448.3,29295.11,29429.57,28452.46,28246.21,28217.29,28508.74,28612.83,28947.09,27853.74,28732.34,28949.15,29745.34,28187.36,30231.13,30361.38,30843.91,29545.32,39597.65,38630.79,40506.41,39772.2,41226.86,40856.42,40654.52,43199.19,40727.79]</t>
  </si>
  <si>
    <t>[33184.75,31725.29,33418.04,33346.44,31821.15,34191.37,32973.77,32816.2,32755,33545.07,32446.08,33860.28,33128.75,32775.37,31905.98,32417.17,32050.89,34018.49,32900.8,32225.38,33270.97,33935.28,31572.88,34246.66,32832.31,33427.82,31936,33342.75,33707.1,31436.16]</t>
  </si>
  <si>
    <t>[17853.04,19187.33,20569.89,20685.12,21189.77,20930.16,23934.86,22855.25,23600.39,16143.32,18475.5,0,0,0,0,0,0,66439.11,30907.94,31091.97,31726.39,31342.75,32571.52,38952.02,85286.94,39430.85,31473.45,33063,33498.45,46238.34]</t>
  </si>
  <si>
    <t>[38712.63,32224.98,24082.79,24026.46,24076.6,24673.91,24474.86,24122.6,24172.6,26196.44,27889.93,25812.09,29027.1,28905.09,28591.07,29217.47,32113.26,32471.24,33357.11,32284.82,32991.31,39622.58,38619.71,39489.4,39962.26,40985.87,39943.71,40589.65,43220.67,39641.56]</t>
  </si>
  <si>
    <t>[37911.88,32343.89,29600.53,35552.37,32540.09,31664.45,30832.29,30525.43,30518.38,31321.97,35050.37,32757.83,29319.15,29648.29,35601.31,33105.12,29949.09,30253.49,37802.98,32765.12,30077.9,29607.94,30095.96,37111.13,32535.81,30067.44,32026.77,29917.58,29800.61,31138.54]</t>
  </si>
  <si>
    <t>[21380.22,8596.93,9622.53,9850.49,155902.35,14035.05,9576.65,13708.75,11248.76,9980.1,10805.68,151996.6,17051.13,9792.73,9318.3,9438.96,9263.23,11199.08,146988.94,26319.32,9892.79,10075.98,12745.87,14273.88,14790.74,149918.13,37260.95,14696.61,15875,14347.49]</t>
  </si>
  <si>
    <t>[19199.91,15899.32,14329.33,14313.87,95552.75,22608.2,17056.41,15980.39,14773.65,15174.09,15791.01,95763.1,15602.46,15246.66,14412.66,15395.64,13999.31,16445.61,97189.48,23063.2,26954.06,25871.76,25628.82,27578.75,28977.2,106512.85,31677.82,43441.37,36805.53,28563.14]</t>
  </si>
  <si>
    <t>[53976.54,32760.95,32562.72,32543.35,32551.99,32347.69,32507.94,33262.23,32306.25,32408.4,32367.94,32567.66,33496.87,32431.63,32360.22,32467.54,33363.59,32506.93,33083.98,32492.08,31990.46,22090.31,21484.94,20828.22,21210.62,21514.56,21111.98,20981.25,21000.52,21525.56]</t>
  </si>
  <si>
    <t>[29696.91,28535.84,30327.92,28328.27,30466.33,28914.95,28487.98,28875.29,28914.17,28467.68,30438.76,28041.88,29463.65,29941.46,30700.53,28491.27,29941.04,28696.89,28779.87,28397.25,30240.95,27609.91,28307.33,29262.21,28329.13,28144.48,28775.93,28521.76,28620.73,28776.32]</t>
  </si>
  <si>
    <t>[29427.05,27928.82,30194.16,28739.04,29273.31,28528.13,28823.84,28477.18,28157.39,29267.01,28346.95,29110.02,29877.11,28584.49,28451.82,28771.92,28787.6,27587.54,28660.33,28853.97,28248.74,28904.59,29486.16,27641.55,29212.04,28202.81,28171.05,28766.41,28988.75,28666.49]</t>
  </si>
  <si>
    <t>[54477.43,26847.23,25433.29,24176.01,29777.51,28707.62,26688.88,30727.59,26122.87,27356.31,27175.36,30574.49,28807.54,27596.1,31369.61,27845.52,27721.79,31314.67,31629.71,27773.29,27784.25,29931.1,28440.01,24377.74,22304.52,22269.83,21033.86,19290.53,22447.13,22059.83]</t>
  </si>
  <si>
    <t>[28373.01,30252.37,27089.57,31593.45,21384.65,28355.6,17159.1,16146.9,30443.78,28619.31,25312.88,44361.45,33674.6,24948.44,25634.3,37998.27,23717.02,11751.41,27501.93,18769.84,14378.3,13752.13,16051.33,23133.86,19843.52,44329.59,24327.38,14563.51,13355.99,24670.84]</t>
  </si>
  <si>
    <t>[24510.88,23405.31,23448.81,23284.51,23179.11,24631.36,27710.79,27617.91,27835.69,27979.13,27687.97,28315.75,23162.04,22673.78,22905.57,23128.4,23066.91,22707.6,23026.51,22973.35,22365.37,22647.69,23121.44,23286.57,22562.71,22877.54,23291.85,22434.99,22931.84,23197.75]</t>
  </si>
  <si>
    <t>[30889.03,31449.5,31531.91,31496.87,31620.11,33235.39,25305.72,19737.63,17582.23,19721.4,23227.49,20149.71,19679.14,19682.94,19749.9,19885.92,19876.89,19358.75,20242.16,19995.55,19958.38,19910.6,19895.52,19892.86,22224.94,19957.9,20095.63,19829.96,19866.33,19737.12]</t>
  </si>
  <si>
    <t>[10619.78,24102.58,29300.74,14626.28,14272.58,11801.24,9627.02,9587.86,14149.45,13650.42,11278.75,29312.29,20112.57,10982.99,8598.43,12331.71,12806.36,21063.22,15200.39,16404.26,14436.48,18979.92,27752.25,20752.76,57209.02,41092.12,38857.24,36148.48,35668.4,53726.74]</t>
  </si>
  <si>
    <t>[19447.9,19859.13,19715.99,19634.77,20579.16,12576.44,13354.21,12680.45,12768.92,12509.64,12536.81,12508.1,12543.41,12386.97,12491.08,12562.09,13413.66,12638.35,12493.26,12216.64,12302.94,12366.37,12419.18,12357.1,53084.69,45955.24,49153.85,45728.19,45771.24,50138.46]</t>
  </si>
  <si>
    <t>[21546.97,21536.05,23086.5,21800.77,23970.15,21892.83,47870.26,26136.05,24087.82,24099.85,23694.16,22324.51,23970.27,22690.44,22545.51,23412.16,23817.36,13904.92,12676.39,12623.14,12536.35,13896.7,13963.44,16769.1,13548.1,15976.97,14407.15,15029.88,15327.82,21813.75]</t>
  </si>
  <si>
    <t>[15232.29,23254.03,23983.61,12648.9,35502.07,15216.35,12401.39,12324.27,36915.64,37995.76,12699.58,27574.49,13948.06,12524.78,12180.31,49747.3,69260.03,17893.98,12526.53,13216.68,12196.4,12088.52,12146.54,20256.1,13304.38,17492.21,16047.39,12287.03,12255.51,12110.95]</t>
  </si>
  <si>
    <t>[13489.69,13566.03,13645.54,13719.75,14894.82,13783.91,13578.26,13590.47,13496.59,14306.49,13806.52,13535.16,13524.09,16328.52,13657.27,13549.68,14440.4,13384.35,14434.17,13582.14,13350.03,13513.45,13344.3,16140.55,36041.09,48011.79,46057.05,46705.19,46409.37,46713.46]</t>
  </si>
  <si>
    <t>[19025.95,19422.58,18829.3,19415.55,19318.19,22482.15,24305.49,21311.92,23616.6,24142.2,25968.96,25728.63,19245.83,16663.57,15898.48,17924.95,19198.52,18768.91,19395.71,17825.94,17819,17380.21,18484.23,18713.39,28907.14,19309.03,18944.81,17804.24,17159.43,18683.4]</t>
  </si>
  <si>
    <t>[17189.02,19685.44,20168.52,20369.54,19986.62,50131.1,18694.68,16721.25,18651.68,18539.2,19941.33,21059.57,18545.18,16408.2,16015.26,17337.03,19369.37,17580.83,17732.94,17727.93,17129.17,15722.31,18981.62,24093.04,21788.16,18068.64,19648.96,17046.42,15962.67,18253.94]</t>
  </si>
  <si>
    <t>[23570.39,24762.57,26824.74,25513.83,24538.32,35907.88,23816.32,21862.9,23227.97,25900.25,24304.62,24117.78,26779.28,23147.22,22652.01,24840.69,17620.55,18938.78,13147.02,20104.34,8144.19,7942.7,13494.64,9182.87,11024.76,17512.19,15786.22,9137.59,8081.39,15859.51]</t>
  </si>
  <si>
    <t>[19080.23,20169.02,20297.55,20104.98,19944.72,18904.68,20667.31,16768.11,18953.64,20321.77,20794.54,18444.71,21173.56,17570.17,17385.24,18497.51,19670.57,18970.08,19279.35,19378.18,17581.44,17331.38,20347.83,19435.32,30164.38,19752.84,20789.88,17782.97,18539.23,18647.41]</t>
  </si>
  <si>
    <t>[15560.4,15967.71,17404.17,14816.34,14903.37,29262,20087.91,32451.08,24111.69,38004.18,19726.81,23947.89,16943.52,15398.15,16001.37,13840.86,10875.04,19986.65,20335.99,16972.57,14452.28,13157.9,23026.76,16560.24,17571.39,17662.52,15233.32,14646.55,15709.18,25572.65]</t>
  </si>
  <si>
    <t>[7877.5,9331.91,7342.92,11141.39,11016.18,20723.17,9007.97,7523.97,17047.15,64243.55,40686.75,40275.62,10623.92,7405.84,7497.44,7353.89,8238.68,22904.66,7812.28,9087.54,7719.45,7805.46,7722.75,20414.01,14669.71,48134.47,9101.79,42775.67,37231.37,25178.97]</t>
  </si>
  <si>
    <t>[17660.9,18636.3,19248.25,18326.98,18594.91,18187,18353.85,15440.93,19050.31,19205.44,19037.84,18069.17,17428.34,15016.58,14787.55,18143.56,19351.92,18535.57,18702.09,18076.33,15443.24,15153.74,18662.18,19569.07,25585.06,20847.63,17499.89,15885.66,15694.29,18901.24]</t>
  </si>
  <si>
    <t>[11508.63,18184.73,11591.05,11224.2,11404.07,13045.3,13409.89,16026.97,15711.28,16054.64,16418.55,16018.02,15887.78,14454.5,10575.76,49635.63,82564.67,13061.2,10893.89,11283.63,11410.54,9777.65,9776.1,11408.68,11751.94,17092.76,17325.81,17735.05,16634.26,17471.92]</t>
  </si>
  <si>
    <t>[11546.61,17661.13,11308.89,11279.05,12880.71,11153.94,13267.94,15399.87,15684.93,15619.33,15827.67,15198.48,15404.21,15520.8,11043.61,48847.28,75348.87,12421.3,12440.03,14372.34,11321.64,11325.74,11233.45,11019.92,12651.46,14727.63,16312.79,15400.51,15731.59,16217.01]</t>
  </si>
  <si>
    <t>[9574.18,8844.89,9399.28,9375.82,9159.36,9049.93,9184.09,9453.3,9271.63,9110.53,9137.64,9187.39,9628.2,9170.31,9059.82,9082.97,9148.32,9967.72,10061.35,9341.16,10282.66,20370.67,19511.5,19740.7,45415.49,41548.99,39557.62,39150.35,39915.15,39721.97]</t>
  </si>
  <si>
    <t>[9412.38,25573.92,11699.81,11821.27,11602.14,13591.23,13673.48,16051.19,15909.17,15874.08,15396.13,16017.92,15990.15,16013.82,11300.35,50834.22,69797.5,11118.88,10906.23,11902.47,9266.07,8992.57,9760.7,9773.7,11119.58,16801.05,15133.13,15942.17,15690.09,14771.94]</t>
  </si>
  <si>
    <t>[20136.44,20107.13,20025.96,20222.15,20224.17,20289.33,20295.53,20164.64,17196.21,13256.21,12869.79,13103.55,12777.14,12992.72,12672.08,13075.99,13093.19,13228.13,13061.5,13185.1,12692.27,12905.63,12880.7,15565.76,19062.88,19804.21,19479.68,20082.48,20223.5,19924.46]</t>
  </si>
  <si>
    <t>[9944.81,17655.3,11427.2,10376.63,12026.85,11492.59,11146.09,11359.36,11209.62,12652.93,11512.98,11142.42,10319.36,11127.58,15954.09,49731.23,80722.39,12845.54,12167.93,11243,9701.61,9518.99,9563.17,10626.63,11650.41,16064.08,15190.6,15681.2,16071.09,15921.44]</t>
  </si>
  <si>
    <t>[22403.14,21904.76,21634.35,21516.21,22507.12,24763.81,21667.81,22162.48,22094.06,21647.76,21698.42,21867.82,22224.63,21731.25,22068.72,21704.95,13202.02,6554.9,6663.46,6594.55,6463.01,6562.13,8747.86,8182.37,9494.12,9094.62,9433.55,7952.64,8369.28,9983.58]</t>
  </si>
  <si>
    <t>[21707.39,21570.76,21668.32,23970.16,22147.42,23353.13,21496.94,21372.64,21662.91,25673.05,22049.84,21847.49,22093.04,22071.41,21444.29,25561.8,14352.97,6836.54,6495.78,6515.66,6379.36,6326.87,6817.12,8211.86,8171.57,7124.4,8052.68,6360.82,8041.5,6994.04]</t>
  </si>
  <si>
    <t>[80071.97,20112.26,25814.47,87377.57,173331.2,24176.08,18965.68,517.35,716.46,458.92,15.25,1.35,4.48,99.72,3.41,0.88,490.72,1750.18,534.71,5.19,2.78,4.07,4.03,5.68,1.85,0.76,0.66,5267.03,0,11.81]</t>
  </si>
  <si>
    <t>[21279.78,21943.6,21661.34,21753.05,22987.92,21612.59,29116.56,23411.47,21905.65,22970.21,21722.92,21760.44,21745.78,21792.72,21664.34,21725.58,13176.83,9342.17,6465.1,6535.95,6344.68,6373.64,6404.61,6603.59,7956.56,6480.69,9709.74,6138.67,6292.62,6386.17]</t>
  </si>
  <si>
    <t>[9838.6,12667.72,9783.1,9803.95,24338.67,10693.84,11314.7,9991.24,9803.29,10925.9,11056.92,10429.37,10121.39,9960.4,9804.05,37495.38,78983.78,12696.92,11680.78,11338.45,9593.29,9360.38,33391.91,10699.93,11803.99,10227.59,10913.47,10101.27,10106.69,12666.49]</t>
  </si>
  <si>
    <t>[22539.67,81940.03,32734.32,57730.05,8538.95,92545.31,21664.74,56263.58,20598.8,1091.78,9245,133.16,6.72,6.52,231.08,2.85,671.54,1775.94,70.92,4.35,50.3,0.54,499.19,3.98,2638.2,2.06,0.21,8064.12,0,6.28]</t>
  </si>
  <si>
    <t>[0,0,0,0,0,0,0,0,0,0,0,0,0,0,0,0,0,0,0,0,0,0,0,0,0,0,30326.79,8069.67,7928.01,10982.72]</t>
  </si>
  <si>
    <t>[25216.81,8225.96,8066.59,8218.01,8347.63,10809.86,9045.17,11934.7,13703.15,14449.18,14639.11,14400.1,10226.85,9203.12,9665.92,9856.09,9859.57,45578.8,23664.01,7813.93,7711.93,7973.78,7750.6,7876.83,9893.9,7961.08,7897.95,8125,8068.04,7909.66]</t>
  </si>
  <si>
    <t>[2750.26,5624.93,2725,28325.03,3306.31,2859.98,2954.88,30168.99,30408.57,32241.43,2679.88,2857.6,2702.4,2882.45,34863.96,2908.55,2653.85,37808.09,3382.78,2993.01,3055.62,42285.41,42639.41,2809.85,2846.95,2651.26,2157.25,9626.11,2655.14,2491.41]</t>
  </si>
  <si>
    <t>[9378.39,8360.97,8756.19,8735.84,10373.25,10408.46,8748.58,9098.46,8764.21,8870.53,8849.77,10405.6,10162.01,8542.58,8769.75,8571.35,8540.1,50288.59,11530.89,10343.68,8803.33,11095.67,8919.7,9933.71,8930.15,9284.85,12085.67,8763.55,8706.27,8827.76]</t>
  </si>
  <si>
    <t>[7536.92,7895.25,7653.2,7818.57,7600.11,9122.53,7901.98,7415.46,7921.77,7901.53,7592.78,7480.63,7371.32,7651.58,7289.51,7648.43,7298.83,7324.02,7421.79,7516.68,7641.31,7283.98,7585.03,7469.49,9461.07,11544.64,9816.63,8027,7710.75,8371.61]</t>
  </si>
  <si>
    <t>[7159.8,7341.22,7355.73,7101.21,7452.67,8631.65,7285.01,7282.49,7128.51,7166.35,7333.28,7174.89,7068.44,7434.84,7103.04,7315.28,7543.44,7235.65,7223.67,7276.4,7364.92,7412.37,7280.99,7533.97,9125.97,8449.13,8517.77,7408.7,7501.42,7508.55]</t>
  </si>
  <si>
    <t>[5282.85,3967.38,4893.95,5787.05,8470.16,4763.99,5827.74,4368.43,5168.36,5731.12,5443.96,5622.23,5477.16,5382.18,4906.75,6753.82,5805.34,6091.92,5749.52,5740.61,5545.79,5116.12,6094.23,5834.72,6008.79,5538.76,5477.87,10921.72,4480.69,5678.42]</t>
  </si>
  <si>
    <t>[4566.67,4787.79,3896.63,4562.38,5303.6,4216.58,5552.89,4911.1,4676.71,5276.61,4926.45,4894.41,4663.21,6151.86,4896.57,4639.64,4669.94,7169.78,5763.34,6203.18,5794.14,6293.91,5050.08,5391.84,6322.47,8237.55,6050,6337.3,7233.8,6861.88]</t>
  </si>
  <si>
    <t>[2513.77,8759.88,3758.22,2657.57,2730.3,2474.19,2619.6,5415.15,5176.36,5174.01,5486.97,4487.89,7033.04,2700.06,3281.07,7857.34,2790.77,5791.78,2341.26,2383.95,2401.31,4895.73,15684.77,3473.1,3417.47,2142.07,4415.57,5000.78,3053.93,2803.73]</t>
  </si>
  <si>
    <t>[3664.12,4042.5,4001.34,3903.19,4189.81,3750.77,3718.06,3956.39,3774.64,4319.24,3656.9,3718.06,3610.07,3986.54,3591.52,3769.63,3610.66,4173.33,9134.67,3765.76,3790.69,3853.18,3513.25,3764.93,3916.66,3606.75,3740.78,7580.61,3932.62,3811.77]</t>
  </si>
  <si>
    <t>[1275.12,4303.98,1511.62,1656.39,1774.83,11328.24,1796.69,4605.21,4571.82,5030.07,2462.32,2433.77,2418.78,2079.08,4335.86,2143.22,1262.62,4679.13,1593.32,2445.26,1674.36,4440.95,4033.12,1494.83,1574.61,1478.48,2550.69,3621.62,1473.29,1742.75]</t>
  </si>
  <si>
    <t>[1304.4,5940.46,1158.49,1371.32,2105.56,1327.02,1479.2,6155.07,5889.75,6365.47,2100.1,1449.36,1188.6,1439.16,5885.97,1406.63,1208.05,6082.28,1479.39,1496.13,5267.97,5447.83,5045.88,1401.23,1488.31,1218.53,1372.79,1404.54,1191.04,4386.34]</t>
  </si>
  <si>
    <t>[1115.75,5140.9,1156.55,1148.6,1204.86,1180.59,2039.97,5344.1,4898.07,6147.94,1259.88,1225.67,1171.46,1185.73,1101.2,5491.97,1165.22,5559.8,1244.4,1263.21,1468.49,5493.58,5069.64,1268.59,1195.84,1259.45,1163.25,4772.32,1099.09,2180.63]</t>
  </si>
  <si>
    <t>[1843.64,2146.63,1931.38,2087.18,2144.9,1994.15,2753.56,1842.14,2165.63,2954.69,1849.38,2060.85,1893.23,2264.34,2044.09,2018.47,1866.93,2332.77,2090.85,2007.9,1843.05,2282.6,1829.1,1970.4,2266,1667.82,1957.62,7434.85,2266.85,1874.37]</t>
  </si>
  <si>
    <t>[1429.94,4303.38,1096.08,1196.67,1265.96,1216.42,1637.86,4337.09,3983.48,4265.91,1657.81,1509.32,1099.86,1234.85,1237.89,5065.9,1033.14,4755.52,1239.87,1280.62,1312.25,4111.36,4056.5,1209.72,1205.48,1097.04,1222.85,2762.01,1896.98,1695.08]</t>
  </si>
  <si>
    <t>[0,0,0,0,0,0,0,0,0,0,0,0,0,0,0,0,0,0,0,0,2097.49,0,0,0,0,0,0,0,0,0]</t>
  </si>
  <si>
    <t>[2457,2418.74,1552.71,1943.82,1851.42,1920.71,2522.68,2423.16,2301.18,1862.55,3077.67,243.61,3396.76,2185.81,2399.83,2217.54,2138.52,602.09,2351.43,371.23,458.85,368.86,446.75,367.96,370.84,354.86,1871.72,1910.64,2156.29,2197.02]</t>
  </si>
  <si>
    <t>[44.08,54.16,58.4,125.87,57.92,47.02,64.89,52.38,51.38,61.58,53.85,53.49,346.07,5159.05,37859.53,53.4,56.67,57.03,59.41,56.24,53.19,52.7,56.11,70.09,56.36,54.15,56.4,1681.97,50.41,59.6]</t>
  </si>
  <si>
    <t>[115.91,4563.52,710.45,1049.58,67.36,133.56,329.86,219.78,2307.94,96.64,752.35,4754.3,450.83,1136.66,1353.13,2576.09,1117.44,1312.78,2944.63,760.96,1286.98,1762.95,939.23,2137.55,778.12,2166.09,1522.58,781.28,3579.59,315.89]</t>
  </si>
  <si>
    <t>[494.25,595.68,622.27,752.73,736.29,682.93,768.51,487.73,593.86,611.56,990.74,466.8,953.27,771.34,670.72,1210.68,452.96,1860.32,740.03,1352.58,2840.28,412.49,1078.63,520.96,1069.86,660.88,791.67,830.81,620.99,1195.23]</t>
  </si>
  <si>
    <t>[319.2,179.07,177.03,442.87,176.37,168.17,175.53,172.82,178.53,184.11,358.83,338.99,180.88,170.95,175.74,196.82,166.66,3714.82,149.83,488.36,2689.66,152.5,547.48,181.89,243.47,198.79,166.37,189.48,157.38,180.87]</t>
  </si>
  <si>
    <t>[41.16,222.87,257.32,131.58,86.77,84.69,274.24,103.54,73.81,148.77,110.88,156.13,106.57,76.71,5100.71,139.89,115.32,106.96,273.03,145.24,86.77,89.47,161.91,249.76,123.06,133.83,159.68,1988.92,356.18,54.81]</t>
  </si>
  <si>
    <t>[259.07,257.16,259.07,251.92,256.31,259.97,261.72,257.12,259.04,253.81,260.35,257.15,254.54,255.09,255.45,261.34,254.09,258.72,256.72,1021.19,896.85,569.28,200.01,214.38,162.74,232.41,234.7,239.78,247.89,248.37]</t>
  </si>
  <si>
    <t>[368.58,226.88,184.12,186.74,172.66,176.85,275.73,222.28,539.12,219.68,223.19,192.74,208.29,195.8,212,207.14,198.23,234.35,208.04,205.55,195.23,207,206.5,333.18,208.25,204.19,1527.36,195.96,313.18,160.64]</t>
  </si>
  <si>
    <t>[117.97,139.98,241.36,151.95,170.48,171.87,168.54,192.18,174.78,187.14,186.14,174.95,189.57,183.95,195.24,183.85,183.05,188.5,189.02,185.34,187.48,189.24,181.67,201.12,322.92,188.88,1354.48,172.97,109.18,134.61]</t>
  </si>
  <si>
    <t>[146.72,146.39,146.74,78.63,151.57,141.5,410.75,142.3,147.73,141.3,145.63,146.08,187.61,145.56,191.75,149.66,145.84,160.31,146.37,145.95,1641.52,148.9,147.88,147.33,146.15,145.33,146.35,145.74,145.12,234.14]</t>
  </si>
  <si>
    <t>[115.76,96.27,258.63,123.72,415.68,115.4,111.35,116.18,251.77,119.45,131.95,123.21,128.78,74.27,121.4,127.2,89.37,123.42,112.87,120.18,1731.77,247.97,337.16,116.56,183.54,116.72,112.27,134.78,107.8,131.42]</t>
  </si>
  <si>
    <t>[268.23,418.92,136.46,136.73,136.73,131.06,141.52,138.12,140.8,136.46,141,148.7,318.41,140.05,140.22,140.26,138.29,132.51,140.79,138.61,1232.88,63.87,79.91,177.34,95.47,98.15,102.67,115.34,110.49,112.28]</t>
  </si>
  <si>
    <t>[84.82,392.8,115.65,113.05,124.33,127.32,133.65,133.64,127.67,138.34,131.18,135.75,136.65,133.36,139.18,135.48,137.72,138.85,132.06,141.77,136.25,133.41,137.41,135.95,137.96,132.6,1027.9,143.34,83.49,216.29]</t>
  </si>
  <si>
    <t>[18.67,116.33,5.52,0.14,0.83,4.57,1.45,86.4,0.05,3.22,0.05,0.05,0.05,0.31,0.05,405.79,0.05,0.05,0.05,0.05,0.5,0.05,0.05,573.58,0.43,0.05,0.05,3688.28,9.83,1.49]</t>
  </si>
  <si>
    <t>[48.97,55.01,60.1,48.24,66.83,47.92,66.85,48.36,56.11,49.93,62.9,45.74,61.36,56.74,209.5,55.82,51.41,54.21,55,54.89,1274.12,43.62,62.34,155.5,63.31,51.17,61.24,394.15,49.09,72.6]</t>
  </si>
  <si>
    <t>[94.68,0.07,38.47,163.21,0.12,0.12,93.24,0.07,0.05,425.2,0,0,0,0.05,0,0.02,393.13,1438.24,34.04,7.42,4.81,216.82,5.31,6.21,1.33,0.09,0,0.02,0,0.07]</t>
  </si>
  <si>
    <t>[269.02,301.84,18.02,589.46,1.52,5.7,157.61,142.97,125.66,5.61,29.83,0.05,13.79,1.87,102.64,125.72,6.53,214.23,13.44,26.43,58.85,83,168.8,53.37,1.73,4.75,5.11,29.99,127.45,198.88]</t>
  </si>
  <si>
    <t>[0,0,0,0,0,0,0,0,0,0,0,0,0,0,0,0,0,2.63,0,0,745.88,0,0,0,0,0,0,0,0,0]</t>
  </si>
  <si>
    <t>[4.82,1.04,4.68,4.83,3.14,0,1.52,0,6.23,0,5.54,0.9,1.65,0,0,4.82,0,0,4.68,4.82,0,0,4.82,5.34,5.43,0,0.13,0,0,7.41]</t>
  </si>
  <si>
    <t>[0,0,0,0,0.12,3.46,0,0.65,0.78,0.45,0.31,0.28,0.36,0.12,0.21,0.9,0.5,0.07,1.45,4.91,0.05,0,0,0,0,0,0,0.09,0,0]</t>
  </si>
  <si>
    <t>[0,0,0,0,0.05,0.09,0.05,0.14,0,0,0,0,0.47,0.26,0,0.47,0.09,0,0.05,0.17,0.07,0.02,1.45,0.05,0.71,1.16,5.12,0.05,0,0]</t>
  </si>
  <si>
    <t>[0,1.58,0.19,0,0,0,0,0,0,0,0,0,0,0,0,0,0,0,0,0,0,0,0,0,0,0,0,0,0,0]</t>
  </si>
  <si>
    <t>[36.74,36.08,42.78,37.76,36.5,24.85,1.68,35.75,35.74,37.02,662.6,995.84,978.22,1078.1,1107.15,710.98,1121.16,752.16,80.28,53.44,42.8,36.85,46.14,46.64,42.74,38.2,42.57,39.81,34.47,37.29]</t>
  </si>
  <si>
    <t>[269.85,168.27,33.16,335.27,347.22,274.67,315.79,218.9,242.77,297.94,264.98,277.93,251.59,323.27,228.17,252.56,260.54,262.35,337.66,195.4,282.25,181.58,170.76,165.06,161.11,149.84,158.02,218.78,261.63,394.57]</t>
  </si>
  <si>
    <t>[81.09,80.03,83.58,106.51,103.72,110.22,117.17,200.81,123.79,116.04,126.87,126.52,126.75,134.41,209.24,148.95,142.79,148.73,155.4,158.19,139.17,279.03,176.71,166.37,176.66,184.88,185.73,136.95,214.73,326.59]</t>
  </si>
  <si>
    <t>[63.06,108.64,100.65,134.81,110.7,135.2,274.35,466.26,186.84,168.09,186.18,70.86,170.58,84.58,107.84,148.36,323.48,124.56,170.62,183.46,39.39,42.64,181.47,171.13,198.16,152.71,129.38,53.48,44.65,135.3]</t>
  </si>
  <si>
    <t>[44.4,74.38,67.81,93.86,72.04,125.33,258.21,100.22,114.13,111.12,96.65,80.3,81.87,168.19,50.53,87.3,75.26,86.73,111.2,73.69,159.27,43.95,78.64,82.74,77.46,75.63,98.69,155.81,47.46,78.05]</t>
  </si>
  <si>
    <t>[32.95,64.7,63.46,125.61,121.24,83.96,77.15,70.37,199.55,102.02,164.7,129.06,68.79,110.69,48,85.82,48.22,51.7,74.02,99.23,80.36,29.52,146.23,190.87,131.49,142.55,76.82,94.85,40.83,102.45]</t>
  </si>
  <si>
    <t>[76.75,104.46,97.8,116.29,104.14,79.83,55,64.2,96.84,140.21,149.48,107.26,99.41,74.07,79.96,85.83,99.02,90.5,105.17,89,61.98,68.36,110.46,105.3,93.96,101.72,92.19,67.65,81.44,125.75]</t>
  </si>
  <si>
    <t>[0.19,0.2,0.2,0.2,0.21,0.21,0.21,0.21,0.22,0.22,0.22,0.23,0.23,0.25,0.26,0.27,0.27,0.23,1.25,29.41,1.52,3.11,46.11,0.44,0.72,2.79,186.43,307.83,303.79,117.71]</t>
  </si>
  <si>
    <t>[33.19,29.64,29.4,29.89,29.46,29.44,108.3,31.13,29.8,29.89,29.85,30.2,29.88,111.55,31.2,29.77,29.9,29.95,30.38,29.91,111,32.05,30.43,29.95,29.94,30.25,30.08,109.98,30.84,30.03]</t>
  </si>
  <si>
    <t>[0.31,0.4,0.56,0.31,0.3,0.3,0.31,0.29,0.3,0.28,0.29,0.28,0.3,0.28,0.31,78.77,103.42,143.13,129.2,115.93,153.99,101.8,0.62,0.44,0.36,0.46,0.33,0.31,0.32,0.3]</t>
  </si>
  <si>
    <t>[17.68,20.74,24.27,27.74,17.87,12.42,16.3,19.58,23.37,26.49,29.94,33.29,36.77,42.21,46.65,32.57,10.75,15.71,21.04,26.15,30.98,35.66,38.32,41.65,41.86,10.45,15.08,20.01,13.84,11.68]</t>
  </si>
  <si>
    <t>[19.42,23.16,26.43,30,19.15,12.64,15.8,19.22,22.72,25.87,29.09,32.52,35.76,41.29,45.78,35.6,10.9,16.22,21.69,26.4,31.02,35.41,37.25,39.9,42.12,9.87,13.49,17.45,12.94,11.52]</t>
  </si>
  <si>
    <t>[16.1,19.13,22.58,26.8,17.49,11.53,15.12,18.91,22.18,24.85,28.44,31.72,37.55,42.08,45.89,39.77,10.13,15.39,20.74,25.74,30.31,34.65,37.23,40.06,41.24,10.37,14.97,20.64,14.4,11.55]</t>
  </si>
  <si>
    <t>[15.96,19.61,24.17,28.43,18.56,12.69,17.77,22.09,27.11,30.06,33.06,35.68,41.54,47.14,26.62,11.36,15.13,19.24,23.1,26.84,31.23,35.65,38.63,42.72,19.25,10.68,14.54,18.3,13.18,12.88]</t>
  </si>
  <si>
    <t>[16.15,19.58,23.23,26.46,17.17,11.35,15.06,18.91,22.32,25.77,30.12,35.03,41.16,47.62,16.29,14.09,18.31,22.29,26.42,29.36,33.62,37.04,38.61,39.38,10.6,15.73,20.86,25.71,17.92,12.89]</t>
  </si>
  <si>
    <t>[16,19.86,24.82,28.83,18.42,11.58,15.12,19.42,22.79,25.52,28.84,32.19,37.11,42.1,45.7,39.84,9.91,15.11,20.33,24.95,29.92,34.74,37.39,38.67,9.83,13.43,17.42,21.1,15.06,12.92]</t>
  </si>
  <si>
    <t>[16.21,19.89,23.33,26.62,17.26,11.35,15.32,19.15,22.33,25.34,29.14,32.66,37.64,43.79,45.29,10.21,15.37,20.71,25.94,30.15,34.4,37.74,39.06,40.6,9.78,13.54,17.16,21.38,14.98,11.46]</t>
  </si>
  <si>
    <t>[15.78,19.1,22.74,25.66,16.68,12.55,17.54,22.04,25.02,27.49,30.96,33.57,40.91,45.55,40.42,9.79,13.83,17.81,21.76,25.49,30.91,34.67,37.32,40.42,19.87,10.63,15.3,20.67,14.36,11.53]</t>
  </si>
  <si>
    <t>[17.12,20.51,23.8,26.81,16.31,11.53,15.3,18.61,22.37,25.56,29,32.7,37.13,43.56,38.06,11.21,16.36,21.26,25.13,28.31,32.44,35.58,37.02,39.15,9.87,13.8,18.8,23.76,16.86,11.87]</t>
  </si>
  <si>
    <t>[16.13,19.03,22.15,26.25,17.37,11.35,15.26,18.78,21.94,25.33,29.39,33.74,40.5,47.18,16.17,13.83,17.49,21.64,25.58,28.33,32.38,35.85,36.58,39.39,40.02,9.85,13.43,18.51,13.88,12.34]</t>
  </si>
  <si>
    <t>[15.85,19.07,22.17,25.78,17.17,11.28,15.11,18.48,21.69,24.63,27.51,30.9,36.09,41.67,45.2,37.92,10.97,16.35,21.62,25.79,30.83,35.5,36.63,36.96,9.69,13.37,17.57,20.92,14.71,11.48]</t>
  </si>
  <si>
    <t>[15.86,13.21,11.56,16.32,12.02,11.2,15.07,18.5,21.79,24.87,28.18,31.47,36.42,41.91,45.37,38.3,11.02,16.32,21.71,25.99,31.29,35.9,37.7,41,41.45,6.35,11.89,16.97,13.54,11.7]</t>
  </si>
  <si>
    <t>[18.94,22.76,26.84,30.4,18.39,11.37,14.86,18.74,21.91,24.94,28.92,32.76,36.56,45.04,21.18,11.81,15.48,19.46,23.28,25.95,29.98,32.5,33.77,36.45,10.04,15,19.92,23.64,16.33,11.34]</t>
  </si>
  <si>
    <t>[19.08,15.13,10.94,14.45,11.58,11.49,15.48,19,21.94,24.88,28,31.03,34.19,41.29,46.45,10.1,15.03,19.73,23.42,26.55,30,33.58,34.26,36.56,40.21,26.62,11.61,15.4,12.35,11.36]</t>
  </si>
  <si>
    <t>[16.41,13.56,11.98,16.82,11.93,11.42,15.42,19,23.11,27.06,30.72,34.74,38.59,42.1,45.58,43.21,10.04,15.22,20.55,25.2,30.31,35.26,38.21,39.89,10.53,9.28,12.54,16.07,12.62,11.57]</t>
  </si>
  <si>
    <t>[2.44,4.82,1.66,1.82,2.45,4.66,95.59,4.86,3.11,4.76,4.29,5.31,2.5,96.58,2.61,2.07,1.38,1.66,2.09,2.56,96.38,2.22,2.67,1.47,1.16,1.05,1.03,97.87,2.39,3.47]</t>
  </si>
  <si>
    <t>[22.32,10.6,9.85,1.4,0.15,0.11,84.61,5.5,0.32,0.22,0.2,0.22,0.24,85.42,5.77,0.26,0.21,0.2,0.21,0.2,86.88,5.85,0.27,0.24,0.21,0.23,0.23,87.93,6.03,0.25]</t>
  </si>
  <si>
    <t>[8.76,0.57,0.3,0.29,0.31,0.32,84.05,6.14,0.52,0.29,0.27,0.29,0.28,84.62,9.36,0.38,0.27,0.32,0.29,0.33,86.64,8.51,0.41,0.36,0.37,0.37,0.38,85.4,8.62,0.41]</t>
  </si>
  <si>
    <t>[2.51,0.3,0.27,0.26,0.27,0.23,72.48,0.35,0.39,0.43,0.41,0.35,0.35,72.73,0.34,0.35,0.39,0.39,0.42,0.35,72.92,0.36,0.43,0.38,0.37,0.36,0.34,72.99,0.35,0.39]</t>
  </si>
  <si>
    <t>[0.29,0.3,0.27,0.26,0.28,0.26,46.15,0.32,0.3,0.38,0.36,0.3,0.29,45.21,0.37,0.35,0.31,0.31,0.32,0.27,46.71,0.35,0.36,0.32,0.32,0.3,0.26,44.99,0.32,0.33]</t>
  </si>
  <si>
    <t>[0,0,0,0,9.73,11.8,0,89.32,1.75,0,0,0,0,0,0,0,0,0,0,0,0,0,0,0,0,0,0,0.65,1.14,0]</t>
  </si>
  <si>
    <t>[2.17,0.12,0.14,0.37,2.56,0.65,2.39,3.47,4.6,2.09,0.41,2.54,0.31,0.2,1.08,0.92,0.26,7.89,4.09,51.55,1.51,3.69,1.14,0.8,3.37,2.5,0.48,2.11,0.71,0.44]</t>
  </si>
  <si>
    <t>[0.7,0.15,0.16,0.17,0.15,0.14,0.15,0.68,0.16,0.16,0.16,0.16,0.17,0.18,0.18,0.19,4.99,3.67,4.31,8.43,13.26,14.23,5.61,5.72,16.21,4.08,4.36,2.73,4.3,4.71]</t>
  </si>
  <si>
    <t>[2.2,3.54,3.57,2.81,2.9,2.86,3.5,2.27,2.98,3.07,2.49,2.41,2.46,3.1,1.56,2.36,4.61,3.26,3.04,3.43,3.87,2.19,3.64,3.7,3.56,3.03,2.99,3.9,2.23,4.03]</t>
  </si>
  <si>
    <t>[1.34,1.43,1.38,1.35,0.96,1.38,1.4,1.05,1.44,8.5,2.76,3.82,1.51,1.6,2.49,2.89,5.82,3.02,3.1,0,0,0,3.13,6.35,2.95,3.85,3.22,0,0,3.4]</t>
  </si>
  <si>
    <t>[1.93,1.19,2.78,1.62,1.81,2.1,2.11,1.21,2.3,2.44,2.86,2.47,2.27,1.88,2.45,1.66,1.72,1.38,2.88,3.6,2.22,3.48,2.96,3.93,1.62,2.99,4.42,3.13,2.26,2.04]</t>
  </si>
  <si>
    <t>[5.18,5.21,5.2,5.24,5.25,5.2,5.25,1.65,1.08,1.07,1.07,1.08,1.08,1.08,1.07,1.09,1.09,1.1,1.09,1.12,1.13,1.15,1.13,2.11,1.12,1.18,1.07,1.07,1.56,1.16]</t>
  </si>
  <si>
    <t>[0.1,1.16,0.19,1.17,7.87,0.23,0.18,0.2,0.81,0.93,1.36,9.84,0.83,0.39,0.15,0.53,0.47,5.48,10.2,0.85,0.18,0.46,0.92,6.56,0,0,0,0,0,0.98]</t>
  </si>
  <si>
    <t>[3.66,1.18,0.97,1.02,5.78,1.48,1.17,1.91,1.22,1.16,1.2,5.2,1.23,1.22,1.39,1.3,1.2,1.24,5.36,1.51,1.6,1.38,1.14,1.06,1.17,5.19,1.56,1.54,2.63,1.22]</t>
  </si>
  <si>
    <t>[0.43,0.17,0.23,0.15,12.25,0.18,0.16,0.15,0.15,0.16,0.15,12.05,0.17,0.16,0.17,0.14,0.14,0.15,12.6,0.4,0.29,0.2,0.18,0.18,0.41,12.38,0.21,0.18,0.19,0.19]</t>
  </si>
  <si>
    <t>[1.35,1.48,1.36,1.42,1.35,2.96,2.4,0,1.39,4.47,1.38,2.32,1.5,1.21,1.82,2.42,1.53,1.5,1.3,0,0,0,1.47,1.28,1.26,1.61,1.3,0,0,3.22]</t>
  </si>
  <si>
    <t>[4.48,1.65,1.57,1.55,1.93,0.92,0.88,6.32,1.64,1.25,1.92,1.35,0.9,0.9,2.52,1.72,1.61,1.44,1.69,0.91,0.87,2.55,1.72,1.59,1.91,1.55,0.98,0.71,2.65,1.8]</t>
  </si>
  <si>
    <t>[0.69,0.34,0.27,0.33,9.71,0.8,0.42,0.39,0.4,0.4,0.41,9.43,0.91,0.44,0.42,0.45,0.32,0.42,9.55,1.07,0.58,0.48,0.45,0.51,0.56,9.95,1.11,0.51,0.47,0.44]</t>
  </si>
  <si>
    <t>[2.67,0.7,0.53,0.6,6.84,0.65,0.6,0.53,0.65,0.64,0.64,7.15,0.79,0.95,0.7,0.57,0.57,0.74,7.04,0.78,0.67,0.63,0.75,0.64,1.96,7.33,1.24,1.03,0.98,0.82]</t>
  </si>
  <si>
    <t>[1.29,1.3,1.31,1.2,1.27,1.25,1.17,1.17,1.26,1.3,1.27,1.2,1.22,1.15,1.13,1.26,1.3,1.21,1.25,1.3,1.2,1.19,1.34,1.33,1.21,1.26,1.2,1.17,1.17,1.6]</t>
  </si>
  <si>
    <t>[0.51,0.18,0.21,0.24,7.18,0.39,0.18,0.32,0.24,0.2,0.24,6.84,0.77,0.2,0.19,0.19,0.18,0.18,6.47,1.13,0.19,0.21,0.27,0.28,0.31,6.48,1.58,0.26,0.28,0.27]</t>
  </si>
  <si>
    <t>[0,1.11,1.76,0.94,0.93,0.97,0,0,1.76,1.3,0.85,1.45,0.68,0,0,0.91,0.88,0.99,0.87,0.93,0,0,0.96,1.1,0.97,0.98,0.87,2.4,2.97,0.92]</t>
  </si>
  <si>
    <t>[2.02,1.1,1.15,1.21,0.25,1.53,0.73,1.39,0.7,0.62,1.5,0.72,0.02,0.62,0.1,1.07,0.54,2.83,2.52,2.3,0.26,1.57,0.26,1.3,1.56,1.8,2.05,0.26,0.53,1.08]</t>
  </si>
  <si>
    <t>[1.23,1.16,1.1,1.12,1.09,1.11,1.11,1.05,1.14,1.1,1.12,1.05,1.12,1.08,1.04,1.14,1.11,1.1,1.09,1.1,1.07,1.06,1.14,1.11,1.29,1.12,1.1,1.1,1.08,1.16]</t>
  </si>
  <si>
    <t>[1.83,1.04,0.99,0.95,1.15,1.14,1.07,1.24,1.15,1.13,1.11,1.29,1.19,1.12,1.29,1.16,1.14,1.22,1.33,1.14,1.11,1.18,1.11,0.97,0.86,0.88,0.85,0.8,0.9,0.88]</t>
  </si>
  <si>
    <t>[1.23,1.14,1.1,1.09,1.07,1.09,1.16,1.09,1.15,1.15,1.15,1.16,1.02,1.03,1.07,1.08,1.07,1.05,1.07,1.08,1.02,1.04,1.1,1.09,1.04,1.07,1.1,1.02,1.06,1.1]</t>
  </si>
  <si>
    <t>[0,0.97,0,0.64,0.65,0,0,0,0,1.47,1.46,14.19,1.61,0,0,1.04,0,0.61,0,0.87,0,0,0.74,0.8,1.08,0.71,0.78,0.81,2.17,0.43]</t>
  </si>
  <si>
    <t>[1.17,2.31,1.09,1.94,0.99,0.78,0.56,0.61,0.63,0.76,0.69,0.96,0.93,0.82,0.72,0.72,0.82,1.36,1.3,0.89,0.86,0.92,1.01,0.8,0.96,1.06,0.86,0.98,2.76,0.87]</t>
  </si>
  <si>
    <t>[0.46,0.59,0.49,0.81,1.52,1.7,1.77,0.58,0.67,0.85,0.63,0.66,0.8,1.97,1.34,1.04,0.91,0.77,0.49,0.48,1.81,1.48,0.73,0.97,0.87,0.92,0.81,2.73,0.72,0.97]</t>
  </si>
  <si>
    <t>[0.62,0.76,0.78,0.84,0.76,0.81,0.79,0.75,0.82,0.89,0.98,1,0.88,0.85,0.8,0.85,0.91,0.97,1.02,0.97,2.46,0.83,0.86,1.21,1.35,2.78,0.76,0.68,1.43,0.9]</t>
  </si>
  <si>
    <t>[0.68,0.77,0.69,0.62,0.77,0.79,2.16,1.61,1.07,1.15,1.95,1.22,0.83,1.91,0.79,0.76,0.65,0.6,0.75,0.71,1.82,0.58,0.79,0.68,0.64,0.77,0.67,1.76,0.66,0.73]</t>
  </si>
  <si>
    <t>[0.88,0.89,0.9,0.91,0.92,0.93,0.94,0.94,0.96,0.96,0.97,0.96,0.98,0.97,0.97,1,0.99,0.99,1,1,0.99,0.99,1.01,1.02,1.02,1.02,1,0.93,0.91,0.92]</t>
  </si>
  <si>
    <t>[0.53,0.23,0.25,0.21,5.43,0.27,0.23,0.22,0.22,0.23,0.24,5.22,0.22,0.24,0.22,0.23,0.24,0.22,5.46,0.32,0.36,0.24,0.23,0.32,0.29,5.44,0.27,0.4,0.32,0.25]</t>
  </si>
  <si>
    <t>[0.31,0.01,1.2,0.8,0.55,0.57,0.83,0.22,0.9,0.37,2.22,0.43,0.96,0.93,1.08,1.61,0.42,0.36,0.65,0.21,0.01,0.35,2.08,2.04,1.06,2.76,0.01,1.27,1.57,0.92]</t>
  </si>
  <si>
    <t>[0.33,0.29,0.23,0.23,3.94,0.5,0.33,0.32,0.29,0.27,0.3,4.08,0.32,0.28,0.26,0.31,0.24,0.26,4.1,0.32,0.32,0.29,0.29,0.32,0.35,4.05,0.52,1.39,0.63,0.31]</t>
  </si>
  <si>
    <t>[0.87,1.09,0.96,1.12,0.68,0.93,0.52,0.43,0.92,0.89,0.92,1.42,1.06,0.83,0.74,1.21,0.72,0.39,0.87,0.78,0.57,0.59,0.59,0.94,0.8,1.57,0.96,0.6,0.53,0.83]</t>
  </si>
  <si>
    <t>[0.41,0.5,0.5,4.54,0.51,0.51,0.6,0.57,0.42,6.47,0.97,0.45,0.47,0.43,0.31,0.47,0.5,0.37,1.34,0.48,0.35,0.45,0.49,0.49,0.5,0.55,0.5,0.37,0.35,0.32]</t>
  </si>
  <si>
    <t>[0.49,3.06,3.74,1.98,1.23,1.17,1.76,2.99,0.59,1.41,0.59,0.31,0.22,0.21,0.18,0.18,0.19,0.17,0.18,0.19,0.15,0.16,0.69,0.52,0.3,0.22,0.59,0.16,0.16,0.28]</t>
  </si>
  <si>
    <t>[0.48,0.67,0.53,0.54,0.53,0.66,1.64,1.46,0.91,0.98,1.75,0.93,0.59,1.36,0.6,0.55,0.45,0.49,0.53,0.57,1.37,0.59,0.59,0.54,0.54,0.59,0.58,1.32,0.55,0.59]</t>
  </si>
  <si>
    <t>[0.43,1.18,0.81,0.74,0.8,0.91,0.46,0.97,0.62,1.28,0.7,1.3,0.85,0.52,0.49,0.46,0.81,0.82,0.76,0.86,0.49,0.5,0.78,0.88,0.88,0.88,0.97,0.5,0.51,0.83]</t>
  </si>
  <si>
    <t>[0.54,0.56,0.55,0.55,0.55,0.57,1.13,0.54,0.56,0.58,0.61,0.6,0.57,0.59,0.56,0.57,0.59,0.61,0.65,0.64,2.28,0.69,0.71,0.68,0.72,0.79,0.71,0.76,2.29,0.77]</t>
  </si>
  <si>
    <t>[0.75,0.76,0.77,0.77,0.76,0.8,0.8,0.81,0.84,0.88,0.91,0,0,0,0,0,0,0,0,0.83,0.65,0.65,0.66,0.66,0.65,0.66,0.74,0.77,0.75,0.66]</t>
  </si>
  <si>
    <t>[0.71,0.79,0.7,0.7,0.75,0.72,0.72,0.7,0.68,0.73,0.72,0.72,0.69,0.71,0.7,0.71,0.7,0.69,0.7,0.71,0.75,0.95,0.71,0.94,0.76,0.8,0.77,0.78,0.78,0.77]</t>
  </si>
  <si>
    <t>[0.76,0.75,0.67,0.68,0.68,0.7,0.71,0.58,0.7,0.67,0.71,0.65,0.64,0.63,0.67,0.82,0.69,0.71,0.69,0.68,0.6,0.6,0.72,0.77,0.74,0.77,0.69,0.62,1.21,0.73]</t>
  </si>
  <si>
    <t>[0.73,0.75,0.68,0.69,0.7,0.67,0.69,0.59,0.74,0.69,0.71,0.7,0.68,0.7,0.66,0.71,0.73,0.7,0.72,0.69,0.64,0.68,0.73,0.72,0.67,0.68,0.7,0.96,0.69,0.75]</t>
  </si>
  <si>
    <t>[0.65,0.65,0.68,0.65,0.68,0.69,0.69,0.65,0.66,0.75,0.66,0.72,0.62,0.64,0.58,0.64,0.59,0.62,0.63,0.65,0.61,0.64,0.66,0.64,0.67,0.67,0.68,0.61,1.74,0.63]</t>
  </si>
  <si>
    <t>[0.67,0.7,0.7,0.69,0.69,0.58,0.88,0.5,0.58,0.72,0.66,0.56,0.8,0.62,0.58,0.58,0.7,0.61,0.64,0.68,0.62,0.57,0.74,0.62,1.15,0.66,0.79,0.63,0.64,0.59]</t>
  </si>
  <si>
    <t>[1.67,0.56,0.57,0.56,1.67,0.69,1.65,0.31,0.3,0.31,1.46,0.4,0.34,0.34,0.33,0.54,0.32,0.31,0.36,0.33,0.32,0.81,0.83,0.69,0.81,0.72,0.68,0.69,0.67,0.72]</t>
  </si>
  <si>
    <t>[0.51,0.72,0.73,0.73,0.68,1.91,0.69,0.48,0.6,0.59,0.64,0.68,0.63,0.54,0.45,0.52,0.75,0.56,0.53,0.59,0.62,0.45,0.66,0.89,0.77,0.56,0.71,0.59,0.48,0.62]</t>
  </si>
  <si>
    <t>[0.7,0.8,0.7,0.71,0.67,0.66,0.67,0.57,0.7,0.64,0.7,0.63,0.64,0.62,0.59,0.69,0.65,0.69,0.65,0.67,0.62,0.64,0.71,0.68,0.65,0.68,0.6,0.63,0.61,0.71]</t>
  </si>
  <si>
    <t>[0.7,0.63,0.58,0.62,0.6,0.73,0.86,0.57,0.64,0.74,0.79,0.89,0.61,0.54,0.45,0.56,0.65,0.64,0.64,0.52,0.68,0.6,0.58,0.56,1.1,0.64,0.61,0.68,0.57,0.62]</t>
  </si>
  <si>
    <t>[0,0.65,0.66,0.66,0.66,0.66,0.66,0.64,0.67,0.67,0.67,0.67,0.67,0.67,0.67,0.67,0.68,0.68,0.68,0.68,0.68,0.68,0.68,0.69,0.69,0.69,0.75,0.69,0.68,0.68]</t>
  </si>
  <si>
    <t>[0.72,0.63,0.64,0.65,0.63,0.64,0.66,0.75,0.62,0.67,0.66,0.61,0.59,0.61,0.61,0.63,0.62,0.61,0.63,0.65,0.56,0.58,0.62,0.67,0.6,0.63,0.61,0.6,0.63,0.64]</t>
  </si>
  <si>
    <t>[0.29,0.63,0.34,0.41,0.68,0.86,0.56,0.68,0.4,0.39,0.56,0.49,0.71,0.61,0.4,0.95,2.89,0.6,0.42,0.27,0.71,0.39,0.43,0.54,0.55,0.57,0.67,0.78,0.29,0.67]</t>
  </si>
  <si>
    <t>[0.46,0.53,0.57,0.58,0.56,0.56,0.65,0.58,0.7,0.37,0.29,0,0,0,0,0,0,1.32,0.38,0.37,0.37,0.37,0.38,0.61,2.05,0.66,0.47,0.42,0.47,0.85]</t>
  </si>
  <si>
    <t>[0.69,0.67,0.67,0.58,0.6,0.57,0.7,0.51,0.7,0.66,0.57,0.61,0.5,0.44,0.46,0.62,0.69,0.6,0.58,0.6,0.45,0.48,0.66,0.68,1.14,0.68,0.57,0.53,0.54,0.68]</t>
  </si>
  <si>
    <t>[0.83,1.07,0.59,0.63,0.62,0.63,0.61,0.55,0.56,0.76,0.58,0.57,0.57,0.58,0.58,0.57,0.57,0.56,0.57,0.58,0.58,0.56,0.55,0.57,0.58,0.57,0.56,0.59,0.59,0.59]</t>
  </si>
  <si>
    <t>[0.32,0.7,0.73,0.28,0.93,0.37,0.3,0.29,0.97,1.14,0.3,0.82,0.36,0.33,0.31,1.81,3.18,0.57,0.28,0.34,0.27,0.27,0.29,0.57,0.35,0.43,0.41,0.29,0.28,0.28]</t>
  </si>
  <si>
    <t>[0.46,1.24,0.52,0.52,1.4,0.57,0.48,0.5,0.53,0.55,0.51,0.5,0.49,0.5,0.55,0.61,0.52,0.58,0.54,0.54,0.52,0.54,0.55,0.56,0.56,0.55,0.56,0.58,0.6,0.6]</t>
  </si>
  <si>
    <t>[0.5,0.43,0.4,0.39,0.4,0.47,0.39,0.39,0.51,0.49,0.47,0.51,0.48,0.47,0.47,0.48,0.47,1.68,0.61,0.55,0.51,0.51,1.14,0.74,0.78,0,0,0,0,1.03]</t>
  </si>
  <si>
    <t>[0.49,0.5,0.53,0.49,0.53,0.51,0.5,0.47,0.47,0.54,0.49,0.46,0.5,0.51,0.48,0.52,0.53,0.5,0.5,0.48,0.52,0.5,0.48,0.48,0.43,0.53,0.46,0.48,27.21,0]</t>
  </si>
  <si>
    <t>[0.18,0.52,0.57,0.3,0.36,0.67,0.5,0.38,0.36,0.35,0.37,0.35,0.33,0.31,0.28,0.95,0.73,0.51,0.71,0.72,0.35,0.32,1.03,0.88,1,0.66,0.85,0.33,0.34,0.37]</t>
  </si>
  <si>
    <t>[0.14,0.52,0.66,0.19,0.31,1.33,0.17,0.1,0.13,0.5,0.17,0.15,0.53,0.16,0.11,0.2,0.27,1.56,0.75,1.61,0.18,0.1,1.2,0.31,0.32,1,1.45,0.31,0.2,0.84]</t>
  </si>
  <si>
    <t>[0.46,0.49,0.52,0.54,5.05,0.3,0.29,0.27,0.29,0.3,0.28,0.46,0.35,0.27,0.25,0.4,0.27,0.24,0.27,0.28,0.27,0.27,0.26,0.35,0.46,0.48,0.44,0.39,0.49,0.46]</t>
  </si>
  <si>
    <t>[0.51,0.5,0.49,0.5,0.48,0.49,0.48,0.5,0.51,0.5,0.49,0.48,0.49,0.49,0.48,0.5,0.5,0.48,0.52,0.51,0.5,0.5,0.49,0.5,0.55,0.5,0.5,0.49,0.47,0.5]</t>
  </si>
  <si>
    <t>[0,0,0,0,0,0,0,0,0,0,0,0,0,0,0,0,0,0,0,0,0.49,0,0,0,0,0,0,0,0,0]</t>
  </si>
  <si>
    <t>[0.15,0.41,0.21,0.23,0.27,0.25,0.17,0.31,0.35,0.25,0.23,1.44,0.39,0.21,0.23,0.67,0.42,0.31,0.99,1.47,0.14,0.14,0.2,0.37,1.03,0.57,1.85,0.27,0.35,0.81]</t>
  </si>
  <si>
    <t>[0.43,0.46,0.47,0.31,0.38,0.43,0.32,0.48,0.61,0.97,0.64,0.49,0.45,0.42,0.43,0.36,0.33,0.41,0.54,0.48,0.38,0.26,0.55,0.47,0.47,0.5,0.42,0.37,0.39,0.56]</t>
  </si>
  <si>
    <t>[0.34,0.33,0.42,0.38,0.39,0.94,0.37,0.29,0.89,0.93,0.93,0.94,0.38,0.34,0.34,0.33,0.37,0.34,0.35,0.34,0.34,0.36,0.36,0.37,0.39,0.38,0.38,0.37,0.36,0.35]</t>
  </si>
  <si>
    <t>[0.92,0.33,0.35,0.35,0.36,0.42,0.35,0.34,0.34,0.34,0.45,0.44,0.36,0.35,0.35,0.4,0.35,0.38,0.43,0.4,0.38,0.4,0.38,0.46,0.47,0.5,0.57,0.51,0.74,0.66]</t>
  </si>
  <si>
    <t>[0.43,0.4,0.4,0.41,0.41,0.41,0.4,0.42,0.42,0.41,0.41,0.41,0.41,0.43,0.41,0.4,0.41,0.42,0.41,0.41,0.41,0.41,0.41,0.41,0.41,0.41,0.4,0.4,0.92,0.42]</t>
  </si>
  <si>
    <t>[0.15,0.66,0.83,0.33,0.32,0.22,0.12,0.12,0.24,0.46,0.19,0.77,0.59,0.15,0.11,0.27,0.32,0.7,0.31,0.48,0.24,0.19,0.62,0.28,1.71,0.37,0.31,0.19,0.16,1.02]</t>
  </si>
  <si>
    <t>[0.17,0.44,0.17,0.17,0.17,0.21,0.2,0.24,0.23,0.24,0.24,0.25,0.26,0.21,0.17,1.96,4.27,0.28,0.17,0.17,0.17,0.14,0.13,0.17,0.17,0.27,0.27,0.28,0.26,0.28]</t>
  </si>
  <si>
    <t>[0.26,0.64,0.25,0.25,0.26,0.26,1.36,0.28,0.27,0.27,0.26,0.28,0.27,0.27,0.27,0.92,2.44,0.27,0.27,0.26,0.26,0.26,0.26,0.27,0.26,0.27,0.27,0.27,0.26,0.26]</t>
  </si>
  <si>
    <t>[0.39,0.39,0.38,0.41,0.4,0.38,0.51,0.36,0.39,0.4,0.4,0.25,0.53,0.49,0.35,0.44,0.32,0.15,0,0,0,0,0,0,0,0,13.77,0.28,0.38,0.35]</t>
  </si>
  <si>
    <t>[0.33,0.45,0.34,0.34,0.38,0.34,0.33,0.33,0.33,0.41,0.38,0.43,0.35,0.34,0.34,0.35,0.35,0.34,0.36,0.34,0.33,0.34,0.45,0.41,0.47,0.55,0.55,0.57,0.53,0.55]</t>
  </si>
  <si>
    <t>[0.17,0.44,0.18,0.17,0.21,0.17,0.2,0.23,0.23,0.24,0.24,0.24,0.24,0.23,0.17,1.93,3.88,0.26,0.19,0.21,0.17,0.17,0.17,0.17,0.19,0.22,0.25,0.24,0.24,0.25]</t>
  </si>
  <si>
    <t>[0.28,0.3,0.27,0.4,0.28,0.28,0.31,0.35,0.35,0.35,0.36,0.3,0.27,0.3,0.36,0.82,2.22,0.6,0.31,0.29,0.28,0.27,0.28,0.28,0.32,0.32,0.27,0.28,0.28,0.28]</t>
  </si>
  <si>
    <t>[0.26,0.53,0.34,0.34,0.27,0.26,0.27,0.27,0.26,0.26,0.39,0.27,0.26,0.27,0.27,0.76,2.99,0.33,0.25,0.25,0.24,0.25,0.24,0.24,0.25,0.26,0.27,0.25,0.26,0.26]</t>
  </si>
  <si>
    <t>[0.28,0.33,0.27,0.28,0.28,0.27,0.27,0.28,0.28,0.28,0.56,0.29,0.28,0.29,0.28,0.78,2.15,0.31,0.35,0.37,0.28,0.28,0.3,0.32,0.32,0.37,0.3,0.31,0.29,0.33]</t>
  </si>
  <si>
    <t>[0.13,0.55,0.17,0.18,0.18,0.22,0.2,0.24,0.24,0.24,0.24,0.24,0.24,0.24,0.17,2.03,3.51,0.23,0.16,0.17,0.14,0.13,0.14,0.13,0.16,0.26,0.22,0.24,0.24,0.22]</t>
  </si>
  <si>
    <t>[0,0,0,0,0,0,0,0,0,0,0,0,0,0,0,0,0,0,0,0,0,0,0,0,0,0,1.35,0.08,0.08,0.15]</t>
  </si>
  <si>
    <t>[0.1,0.16,0.09,0.22,0.26,0.86,0.1,0.1,0.27,1.61,1.03,1.16,0.15,0.09,0.09,0.08,0.13,0.47,0.06,0.1,0.06,0.07,0.07,0.49,0.64,1.22,0.08,0.49,0.7,0.47]</t>
  </si>
  <si>
    <t>[0.14,0.42,0.17,0.15,0.18,0.18,0.17,0.17,0.16,0.18,0.18,0.17,0.16,0.17,0.24,1.83,4.01,0.27,0.18,0.17,0.13,0.12,0.13,0.13,0.17,0.24,0.23,0.24,0.25,0.25]</t>
  </si>
  <si>
    <t>[0.26,0.6,0.25,0.26,0.25,0.25,0.3,0.34,0.33,0.34,0.34,0.28,0.25,0.25,0.26,0.64,2.44,0.34,0.28,0.26,0.26,0.25,0.26,0.26,0.26,0.26,0.26,0.26,0.26,0.27]</t>
  </si>
  <si>
    <t>[0.25,0.29,0.25,0.25,0.25,0.25,1.47,0.27,0.26,0.26,0.26,0.26,0.25,0.25,0.25,0.99,1.86,0.25,0.25,0.24,0.24,0.24,0.24,0.24,0.24,0.24,0.25,0.25,0.24,0.25]</t>
  </si>
  <si>
    <t>[0.13,0.2,0.14,0.14,0.55,0.16,0.17,0.15,0.14,0.17,0.17,0.16,0.15,0.15,0.15,1.53,3.97,0.27,0.2,0.18,0.13,0.13,0.74,0.15,0.17,0.15,0.16,0.15,0.15,0.19]</t>
  </si>
  <si>
    <t>[0.36,0.36,0.36,0.37,0.37,0.37,0.42,0.28,0.27,0.38,0.37,0.36,0.38,0.38,0.37,0.38,0.36,0.36,0.36,0.37,0.36,0.36,0.36,0.37,0.4,0.39,0.37,0.37,0.36,0.37]</t>
  </si>
  <si>
    <t>[0.33,0.33,0.33,0.33,0.33,0.33,0.33,0.33,0.33,0.33,0.33,0.33,0.32,0.31,0.31,0.31,0.31,0.31,0.32,0.31,0.29,0.29,0.29,0.28,0.29,0.3,0.31,0.31,1.69,0.4]</t>
  </si>
  <si>
    <t>[0.3,0.41,0.31,0.31,0.32,0.39,0.32,0.32,0.32,0.35,0.47,0.34,0.35,0.34,0.34,0.33,0.33,0.33,0.34,0.33,0.32,0.33,0.33,0.34,0.37,0.41,0.38,0.37,0.38,0.38]</t>
  </si>
  <si>
    <t>[0.56,0.38,0.23,0.48,0.38,0.28,0.3,0.28,0.29,0.32,0.47,0.4,0.24,0.24,0.48,0.43,0.25,0.28,0.59,0.41,0.24,0.23,0.25,0.55,0.38,0.25,0.27,0.25,0.23,0.25]</t>
  </si>
  <si>
    <t>[0.29,0.29,0.3,0.31,0.3,0.31,1.06,0.36,0.28,0.31,0.3,0.31,0.3,0.3,0.3,0.3,0.29,0.32,0.31,0.33,0.31,0.32,0.31,0.34,0.35,0.33,0.33,0.34,0.33,0.33]</t>
  </si>
  <si>
    <t>[0.29,0.3,0.3,0.3,0.31,0.31,0.38,0.33,0.29,0.32,0.32,0.33,0.32,0.31,0.31,0.33,0.31,0.31,0.31,0.32,0.31,0.33,0.33,0.35,0.33,0.4,0.36,0.37,0.36,0.36]</t>
  </si>
  <si>
    <t>[0.19,0.19,0.25,0.36,0.34,0.32,0.33,0.33,0.36,0.35,0.35,0.35,0.38,0.37,0.37,0.27,0.27,0.28,0.34,0.39,0.4,0.38,0.29,0.29,0.29,0.3,0.3,0.32,0.3,0.32]</t>
  </si>
  <si>
    <t>[0.27,0.27,0.27,0.27,0.27,0.27,0.27,0.27,0.27,0.27,0.27,0.27,0.27,0.27,0.27,0.27,0.27,0.27,0.27,0.39,0.27,0.26,0.26,0.26,0.26,0.26,0.26,0.26,1.33,0.31]</t>
  </si>
  <si>
    <t>[0.23,0.23,0.25,0.23,0.23,0.22,0.22,0.22,0.22,0.22,0.3,0.22,0.22,0.22,0.23,0.22,0.22,0.23,0.22,0.22,0.22,0.22,0.21,0.23,1.62,0.44,0.47,0.36,0.37,0.36]</t>
  </si>
  <si>
    <t>[0.23,0.24,0.24,0.27,0.3,0.29,0.29,0.28,0.3,0.3,0.31,0.33,0.33,0.3,0.3,0.29,0.29,0.3,0.32,0.29,0.29,0.3,0.31,0.32,0.32,0.35,0.3,0.3,0.33,0.32]</t>
  </si>
  <si>
    <t>[0.28,0.28,0.28,0.28,0.29,0.3,0.35,0.29,0.27,0.31,0.3,0.3,0.31,0.3,0.3,0.3,0.3,0.29,0.3,0.31,0.3,0.29,0.29,0.31,0.35,0.3,0.29,0.29,0.3,0.3]</t>
  </si>
  <si>
    <t>[0.29,0.29,0.3,0.31,0.31,0.3,0.31,0.31,0.3,0.32,0.31,0.31,0.32,0.31,0.31,0.01,0.31,0.31,0.31,0.32,0.32,0.28,0.28,0.28,0.31,0.28,0.28,0.29,0.29,0.29]</t>
  </si>
  <si>
    <t>[0.44,1.42,0.6,1.06,0.24,1.55,0.44,0.99,0.4,0.02,0.24,0,0,0,0.01,0,0.05,0.08,0,0,0,0,0.02,0,0.25,0.26,0,0.13,0,0]</t>
  </si>
  <si>
    <t>[0.64,0.27,0.18,0.18,0.17,0.19,0.18,0.18,0.19,0.22,0.24,0.21,0.24,0.24,0.24,0.26,0.29,0.3,0.31,0.29,0.3,0.32,0.31,0.32,0.32,0.34,0.32,0.32,0.43,0.35]</t>
  </si>
  <si>
    <t>[1.39,0.41,0.48,1.44,2.81,0.46,0.4,0.01,0.02,0.01,0,0,0,0,0,0,0.05,0.08,0.01,0,0,0,0,0,0,0,0,0.11,0,0]</t>
  </si>
  <si>
    <t>[0.25,0.24,0.25,0.25,0.24,0.26,0.25,0.25,0.25,0.25,0.25,0.26,0.26,0.25,0.24,0.25,0.25,0.25,0.27,0.25,0.25,0.25,0.24,0.26,0.25,0.26,0.25,0.26,0.26,0.24]</t>
  </si>
  <si>
    <t>[0.72,0.1,0.1,0.1,0.1,0.17,0.13,0.19,0.2,0.23,0.24,0.24,0.16,0.15,0.15,0.15,0.15,2.32,0.8,0.1,0.08,0.09,0.09,0.09,0.12,0.09,0.09,0.09,0.1,0.09]</t>
  </si>
  <si>
    <t>[0.85,0.23,0.23,0.23,0.24,0.23,0.23,0.25,0.22,0.23,0.23,0.23,0.25,0.23,0.23,0.29,0.24,0.23,0.24,0.23,0.23,0.2,0.17,0.17,0.18,0.18,0.17,0.17,0.18,0.18]</t>
  </si>
  <si>
    <t>[0.26,0.27,0.28,0.28,0.28,0.31,0.26,0.22,0.14,0.23,0.34,0.23,0.22,0.22,0.22,0.22,0.22,0.22,0.23,0.22,0.22,0.22,0.22,0.22,0.27,0.23,0.23,0.22,0.22,0.22]</t>
  </si>
  <si>
    <t>[0.08,0.1,0.12,0.09,0.15,0.1,1.17,0.24,0.4,0.31,0.16,0.13,0.42,0.14,0.17,0.18,0.63,0.1,0.08,0.08,0.07,0.08,0.16,0.63,0.12,0.19,0.19,0.17,0.18,0.24]</t>
  </si>
  <si>
    <t>[0.22,0.23,0.22,0.22,0.21,0.22,0.22,0.17,0.22,0.17,0.22,0.17,0.23,0.17,0.22,0.17,0.21,0.17,0.22,0.17,0.22,0.17,0.22,0.17,0.22,0.17,0.22,0.17,0.77,0.23]</t>
  </si>
  <si>
    <t>[0.1,0.09,0.09,0.09,0.12,0.12,0.09,0.1,0.1,0.1,0.1,0.14,0.11,0.09,0.1,0.09,0.09,2.53,0.21,0.11,0.1,0.13,0.09,0.11,0.09,0.13,0.14,0.09,0.09,0.1]</t>
  </si>
  <si>
    <t>[0,0,0,0,0,0,0,0,0,0,0,0.15,0.08,0.08,0.09,0.08,0.09,0.08,0.34,0.23,0.26,0.27,0.16,0.38,0.19,0.15,0.27,0.21,0.16,0.15]</t>
  </si>
  <si>
    <t>[0.23,0.24,0.24,0.23,0.25,0.25,0.25,0.25,0.19,0.12,0.11,0.12,0.11,0.12,0.12,0.11,0.11,0.11,0.11,0.12,0.11,0.11,0.12,0.16,0.23,0.24,0.23,0.24,0.24,0.24]</t>
  </si>
  <si>
    <t>[0.3,0.14,0.09,0.09,0.1,0.26,0.09,0.2,0.14,0.09,0.1,0.1,0.12,0.11,0.18,0.1,0.08,0.08,0.11,0.1,0.06,0.11,0.17,0.22,0.22,0.36,0.39,0.18,0.31,0.64]</t>
  </si>
  <si>
    <t>[0.19,0.17,0.19,0.17,0.2,0.16,0.17,0.16,0.17,0.16,0.18,0.15,0.17,0.18,0.19,0.16,0.17,0.16,0.17,0.16,0.17,0.16,0.17,0.16,0.16,0.15,0.17,0.16,0.17,0.16]</t>
  </si>
  <si>
    <t>[0.1,0.11,0.09,0.12,0.15,0.12,0.13,0.11,0.12,0.14,0.12,0.14,0.13,0.14,0.13,0.14,0.12,0.18,0.14,0.16,0.15,0.19,0.15,0.12,0.16,0.19,0.16,0.18,0.2,0.16]</t>
  </si>
  <si>
    <t>[0.15,0.16,0.15,0.15,0.17,0.05,0.06,0.05,0.06,0.06,0.05,0.06,0.06,0.06,0.06,0.06,0.06,0.07,0.06,0.05,0.06,0.05,0.06,0.05,0.68,0.14,0.14,0.12,0.12,1.12]</t>
  </si>
  <si>
    <t>[0.1,0.1,0.11,0.1,0.11,0.11,0.1,0.1,0.1,0.11,0.1,0.1,0.1,0.12,0.1,0.1,0.1,0.09,0.11,0.1,0.1,0.1,0.1,0.18,0.64,0.23,0.16,0.16,0.16,0.16]</t>
  </si>
  <si>
    <t>[0.1,0.08,0.08,0.08,0.08,0.08,0.08,0.08,0.08,0.08,0.08,0.08,0.08,0.07,0.07,0.08,0.08,0.09,0.12,0.08,0.12,0.09,0.09,0.09,0.95,0.17,0.2,0.13,0.13,0.13]</t>
  </si>
  <si>
    <t>[0.08,0.11,0.09,0.09,0.1,0.09,0.56,0.12,0.09,0.14,0.09,0.09,0.09,0.08,0.08,0.09,0.07,0.22,0.06,0.07,0.05,0.05,0.05,0.06,0.08,0.06,0.18,0.05,0.05,0.05]</t>
  </si>
  <si>
    <t>[0.08,0.07,0.07,0.31,0.18,0.09,0.08,0.07,0.08,0.2,0.08,0.08,0.09,0.1,0.09,0.11,0.12,0.13,0.14,0.11,0.08,0.09,0.08,0.08,0.09,0.08,0.07,0.09,0.08,0.08]</t>
  </si>
  <si>
    <t>[0.09,0.1,0.09,0.09,0.09,0.12,0.09,0.08,0.1,0.09,0.09,0.09,0.09,0.09,0.09,0.09,0.08,0.09,0.09,0.1,0.09,0.09,0.09,0.09,0.12,0.21,0.12,0.1,0.09,0.11]</t>
  </si>
  <si>
    <t>[0.07,0.07,0.08,0.12,0.09,0.1,0.09,0.08,0.09,0.27,0.08,0.09,0.09,0.09,0.09,0.36,0.1,0.06,0.05,0.05,0.05,0.05,0.1,0.08,0.07,0.06,0.07,0.05,0.08,0.09]</t>
  </si>
  <si>
    <t>[0.13,0.13,0.1,0.11,0.1,0.1,0.1,0.12,0.12,0.1,0.15,0.04,0.16,0.1,0.1,0.11,0.12,0.05,0.12,0.03,0.03,0.03,0.04,0.03,0.03,0.03,0.1,0.1,0.1,0.11]</t>
  </si>
  <si>
    <t>[0.06,0.05,0.05,0.11,0.05,0.06,0.05,0.11,0.11,0.12,0.06,0.05,0.06,0.06,0.16,0.06,0.06,0.15,0.08,0.06,0.06,0.19,0.2,0.06,0.06,0.05,0.04,0.14,0.05,0.05]</t>
  </si>
  <si>
    <t>[0.09,0.09,0.08,0.08,0.08,0.08,0.08,0.09,0.08,0.08,0.07,0.08,0.08,0.09,0.08,0.08,0.08,0.08,0.08,0.08,0.08,0.08,0.08,0.08,0.08,0.08,0.08,0.08,0.08,0.08]</t>
  </si>
  <si>
    <t>[0.07,0.07,0.07,0.06,0.07,0.09,0.07,0.07,0.06,0.07,0.07,0.07,0.07,0.07,0.07,0.07,0.08,0.07,0.07,0.07,0.07,0.07,0.07,0.07,0.1,0.11,0.09,0.08,0.08,0.07]</t>
  </si>
  <si>
    <t>[0.03,0.2,0.09,0.03,0.03,0.03,0.03,0.04,0.05,0.04,0.06,0.13,0.17,0.03,0.03,0.09,0.05,0.04,0.03,0.04,0.06,0.04,0.41,0.03,0.03,0.02,0.13,0.19,0.05,0.04]</t>
  </si>
  <si>
    <t>[0.05,0.03,0.05,0.05,0.06,0.05,0.05,0.05,0.05,0.05,0.05,0.05,0.05,0.05,0.05,0.06,0.06,0.06,0.06,0.06,0.05,0.05,0.07,0.06,0.06,0.06,0.07,0.25,0.05,0.06]</t>
  </si>
  <si>
    <t>[0.03,0.04,0.04,0.04,0.04,0.04,0.04,0.03,0.03,0.04,0.04,0.03,0.04,0.04,0.04,0.05,0.04,0.08,0.04,0.05,0.13,0.02,0.04,0.03,0.04,0.04,0.04,0.05,0.03,0.04]</t>
  </si>
  <si>
    <t>[0,0.14,0.01,0.01,0,0,0.01,0,0.05,0.02,0.01,0.65,0.01,0.01,0.01,0.03,0.01,0.02,0.05,0.01,0.01,0.03,0.03,0.02,0.01,0.02,0.01,0.01,0.05,0.02]</t>
  </si>
  <si>
    <t>[0.03,0.03,0.03,0.04,0.04,0.03,0.04,0.03,0.03,0.03,0.04,0.04,0.04,0.03,0.04,0.03,0.03,0.04,0.04,0.03,0.03,0.04,0.03,0.03,0.03,0.03,0.03,0.19,0.03,0.03]</t>
  </si>
  <si>
    <t>[0.02,0.03,0.02,0.02,0.02,0.02,0.03,0.03,0.03,0.03,0.02,0.02,0.02,0.02,0.02,0.03,0.02,0.03,0.02,0.02,0.02,0.03,0.03,0.02,0.02,0.02,0.02,0.14,0.02,0.02]</t>
  </si>
  <si>
    <t>[0.02,0.02,0.02,0.02,0.02,0.02,0.02,0.02,0.02,0.02,0.02,0.02,0.02,0.02,0.02,0.02,0.02,0.13,0.02,0.02,0.14,0.02,0.02,0.02,0.02,0.02,0.02,0.02,0.02,0.02]</t>
  </si>
  <si>
    <t>[0.02,0.03,0.02,0.02,0.03,0.02,0.02,0.02,0.02,0.03,0.02,0.02,0.02,0.02,0.02,0.02,0.02,0.04,0.11,0.02,0.02,0.03,0.02,0.02,0.02,0.02,0.02,0.07,0.02,0.02]</t>
  </si>
  <si>
    <t>[0.02,0.03,0.02,0.02,0.02,0.04,0.02,0.03,0.03,0.03,0.03,0.02,0.02,0.02,0.02,0.03,0.02,0.03,0.02,0.02,0.02,0.03,0.03,0.03,0.02,0.02,0.02,0.07,0.02,0.02]</t>
  </si>
  <si>
    <t>[0.02,0.02,0.02,0.02,0.02,0.02,0.02,0.02,0.03,0.02,0.03,0.02,0.02,0.02,0.02,0.03,0.02,0.07,0.02,0.02,0.02,0.02,0.02,0.02,0.02,0.02,0.02,0.06,0.02,0.02]</t>
  </si>
  <si>
    <t>[0.02,0.02,0.02,0.02,0.02,0.02,0.02,0.02,0.02,0.02,0.02,0.02,0.02,0.02,0.02,0.02,0.02,0.02,0.02,0.03,0.04,0.02,0.02,0.02,0.01,0.02,0.02,0.02,0.02,0.02]</t>
  </si>
  <si>
    <t>[0.01,0.02,0.01,0.01,0.01,0.01,0.01,0.02,0.02,0.02,0.01,0.01,0.01,0.01,0.02,0.01,0.01,0.02,0.01,0.01,0.11,0.02,0.02,0.01,0.01,0.01,0.01,0.01,0.01,0.02]</t>
  </si>
  <si>
    <t>[0.01,0.01,0.01,0.01,0.01,0.01,0.01,0.01,0.01,0.01,0.01,0.01,0.01,0.01,0.02,0.01,0.01,0.01,0.01,0.01,0.07,0.01,0.01,0.01,0.01,0.01,0.01,0.01,0.01,0.01]</t>
  </si>
  <si>
    <t>[0.01,0.01,0.01,0.01,0.01,0.01,0.01,0.01,0.01,0.01,0.01,0.01,0.01,0.01,0.01,0.01,0.01,0.01,0.01,0.01,0.01,0.01,0.01,0.02,0.01,0.01,0.05,0.01,0.01,0.01]</t>
  </si>
  <si>
    <t>[0.01,0.01,0.01,0.01,0.01,0.01,0.01,0.01,0.01,0.01,0.01,0.01,0.01,0.01,0.01,0.01,0.01,0.01,0.01,0.01,0.08,0.01,0.01,0.01,0.01,0.01,0.01,0.01,0.01,0.01]</t>
  </si>
  <si>
    <t>[0.01,0.01,0.01,0.01,0.01,0.01,0.01,0.01,0.01,0.01,0.01,0.01,0.01,0.01,0.01,0.01,0.01,0.01,0.01,0.01,0.09,0.01,0.01,0.01,0.01,0.01,0.01,0.01,0.01,0.01]</t>
  </si>
  <si>
    <t>[0,0,0,0,0,0,0,0,0,0,0,0,0,0,0,0.03,0,0,0,0,0,0,0,0.02,0,0,0,0.25,0,0]</t>
  </si>
  <si>
    <t>[0.01,0.01,0.01,0.01,0.01,0.01,0.01,0.01,0.01,0.01,0.01,0.01,0.01,0.01,0.01,0.01,0.01,0.01,0.01,0.01,0.01,0.01,0.01,0.01,0.01,0.01,0.04,0.01,0.01,0.01]</t>
  </si>
  <si>
    <t>[0,0,0,0,0,0,0,0,0,0,0,0,0,0.01,0.11,0,0,0,0,0,0,0,0,0.01,0,0,0,0.06,0,0]</t>
  </si>
  <si>
    <t>[0,0.01,0.01,0.01,0.01,0.01,0.01,0.01,0.01,0.01,0.01,0.01,0.01,0.01,0.02,0.01,0.01,0.01,0.01,0.01,0.01,0.01,0.01,0.01,0.01,0.01,0.01,0.06,0.01,0]</t>
  </si>
  <si>
    <t>[0.01,0.02,0,0.03,0,0,0,0.01,0.01,0,0,0,0,0,0.01,0.01,0,0,0,0,0,0.01,0.02,0.01,0,0,0,0,0.01,0.02]</t>
  </si>
  <si>
    <t>[0,0,0,0,0.01,0,0,0,0,0,0,0,0,0,0.01,0,0,0,0,0,0.04,0,0,0,0,0,0,0.01,0,0]</t>
  </si>
  <si>
    <t>[0,0,0,0,0,0,0,0,0,0.01,0,0,0,0,0,0,0.01,0.1,0,0,0,0.02,0,0,0,0,0,0,0,0]</t>
  </si>
  <si>
    <t>[0,0,0,0,0,0,0,0,0,0,0,0,0,0,0,0,0,0,0,0,0.02,0,0,0,0,0,0,0,0,0]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</si>
</sst>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809]* #,##0.00_-;\-[$£-809]* #,##0.00_-;_-[$£-809]* &quot;-&quot;??_-;_-@_-"/>
  </numFmts>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0"/>
      <color rgb="FF000000"/>
      <name val="Arial Unicode MS"/>
    </font>
    <font>
      <sz val="10"/>
      <color rgb="FF000000"/>
      <name val="Arial Unicode MS"/>
    </font>
    <font>
      <sz val="12"/>
      <color rgb="FF000000"/>
      <name val="Segoe UI"/>
      <family val="2"/>
    </font>
    <font>
      <sz val="11"/>
      <color rgb="FF000000"/>
      <name val="Calibri"/>
      <family val="2"/>
      <scheme val="minor"/>
    </font>
  </fonts>
  <fills count="6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theme="5"/>
        <bgColor indexed="64"/>
      </patternFill>
    </fill>
    <fill>
      <patternFill patternType="solid">
        <fgColor theme="4"/>
        <bgColor indexed="64"/>
      </patternFill>
    </fill>
    <fill>
      <patternFill patternType="solid">
        <fgColor theme="9"/>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3"/>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rgb="FF92D050"/>
        <bgColor indexed="64"/>
      </patternFill>
    </fill>
    <fill>
      <patternFill patternType="solid">
        <fgColor rgb="FF0070C0"/>
        <bgColor indexed="64"/>
      </patternFill>
    </fill>
    <fill>
      <patternFill patternType="solid">
        <fgColor rgb="FFFFFFFF"/>
        <bgColor indexed="64"/>
      </patternFill>
    </fill>
    <fill>
      <patternFill patternType="solid">
        <fgColor theme="0"/>
        <bgColor indexed="64"/>
      </patternFill>
    </fill>
    <fill>
      <patternFill patternType="solid">
        <fgColor theme="7"/>
        <bgColor indexed="64"/>
      </patternFill>
    </fill>
    <fill>
      <patternFill patternType="solid">
        <fgColor theme="5" tint="0.79998168889431442"/>
        <bgColor indexed="64"/>
      </patternFill>
    </fill>
    <fill>
      <patternFill patternType="solid">
        <fgColor theme="9"/>
        <bgColor theme="9"/>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1"/>
        <bgColor indexed="64"/>
      </patternFill>
    </fill>
    <fill>
      <patternFill patternType="solid">
        <fgColor theme="3" tint="0.59999389629810485"/>
        <bgColor theme="9" tint="0.79998168889431442"/>
      </patternFill>
    </fill>
    <fill>
      <patternFill patternType="solid">
        <fgColor theme="3" tint="0.79998168889431442"/>
        <bgColor theme="9" tint="0.59999389629810485"/>
      </patternFill>
    </fill>
    <fill>
      <patternFill patternType="solid">
        <fgColor theme="7" tint="0.59999389629810485"/>
        <bgColor theme="9" tint="0.79998168889431442"/>
      </patternFill>
    </fill>
    <fill>
      <patternFill patternType="solid">
        <fgColor theme="7" tint="0.79998168889431442"/>
        <bgColor theme="9" tint="0.59999389629810485"/>
      </patternFill>
    </fill>
    <fill>
      <patternFill patternType="solid">
        <fgColor theme="5" tint="0.59999389629810485"/>
        <bgColor theme="9" tint="0.59999389629810485"/>
      </patternFill>
    </fill>
    <fill>
      <patternFill patternType="solid">
        <fgColor theme="5" tint="0.79998168889431442"/>
        <bgColor theme="9" tint="0.59999389629810485"/>
      </patternFill>
    </fill>
    <fill>
      <patternFill patternType="solid">
        <fgColor theme="4"/>
        <bgColor theme="9"/>
      </patternFill>
    </fill>
    <fill>
      <patternFill patternType="solid">
        <fgColor theme="6"/>
        <bgColor indexed="64"/>
      </patternFill>
    </fill>
  </fills>
  <borders count="3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theme="0"/>
      </right>
      <top/>
      <bottom style="thick">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medium">
        <color indexed="64"/>
      </left>
      <right style="thin">
        <color indexed="64"/>
      </right>
      <top/>
      <bottom/>
      <diagonal/>
    </border>
    <border>
      <left style="thin">
        <color theme="0"/>
      </left>
      <right/>
      <top/>
      <bottom style="thick">
        <color theme="0"/>
      </bottom>
      <diagonal/>
    </border>
    <border>
      <left/>
      <right/>
      <top/>
      <bottom style="thick">
        <color theme="0"/>
      </bottom>
      <diagonal/>
    </border>
    <border>
      <left/>
      <right/>
      <top style="thin">
        <color theme="0"/>
      </top>
      <bottom style="thin">
        <color theme="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59">
    <xf numFmtId="0" fontId="0" fillId="0" borderId="0" xfId="0"/>
    <xf numFmtId="11" fontId="0" fillId="0" borderId="0" xfId="0" applyNumberFormat="1"/>
    <xf numFmtId="10" fontId="0" fillId="0" borderId="0" xfId="0" applyNumberFormat="1"/>
    <xf numFmtId="0" fontId="17" fillId="9" borderId="0" xfId="18"/>
    <xf numFmtId="0" fontId="0" fillId="33" borderId="0" xfId="0" applyFill="1"/>
    <xf numFmtId="0" fontId="0" fillId="34" borderId="0" xfId="0" applyFill="1"/>
    <xf numFmtId="0" fontId="1" fillId="32" borderId="0" xfId="41"/>
    <xf numFmtId="0" fontId="17" fillId="34" borderId="0" xfId="0" applyFont="1" applyFill="1" applyAlignment="1">
      <alignment horizontal="center"/>
    </xf>
    <xf numFmtId="0" fontId="0" fillId="0" borderId="0" xfId="0" applyAlignment="1">
      <alignment horizontal="center"/>
    </xf>
    <xf numFmtId="0" fontId="17" fillId="35" borderId="0" xfId="0" applyFont="1" applyFill="1" applyAlignment="1">
      <alignment horizontal="center"/>
    </xf>
    <xf numFmtId="0" fontId="17" fillId="36" borderId="0" xfId="0" applyFont="1" applyFill="1"/>
    <xf numFmtId="0" fontId="17" fillId="36" borderId="0" xfId="0" applyFont="1" applyFill="1" applyAlignment="1">
      <alignment horizontal="center"/>
    </xf>
    <xf numFmtId="0" fontId="19" fillId="37" borderId="10" xfId="0" applyFont="1" applyFill="1" applyBorder="1" applyAlignment="1">
      <alignment horizontal="center" vertical="center"/>
    </xf>
    <xf numFmtId="0" fontId="16" fillId="37" borderId="10" xfId="0" applyFont="1" applyFill="1" applyBorder="1" applyAlignment="1">
      <alignment horizontal="center"/>
    </xf>
    <xf numFmtId="0" fontId="20" fillId="0" borderId="11" xfId="0" applyFont="1" applyBorder="1" applyAlignment="1">
      <alignment horizontal="center" vertical="center"/>
    </xf>
    <xf numFmtId="0" fontId="0" fillId="0" borderId="12" xfId="0" applyBorder="1" applyAlignment="1">
      <alignment horizontal="center"/>
    </xf>
    <xf numFmtId="0" fontId="0" fillId="0" borderId="13" xfId="0" applyBorder="1" applyAlignment="1">
      <alignment horizontal="center"/>
    </xf>
    <xf numFmtId="0" fontId="20" fillId="0" borderId="14" xfId="0" applyFont="1" applyBorder="1" applyAlignment="1">
      <alignment horizontal="center" vertical="center"/>
    </xf>
    <xf numFmtId="0" fontId="0" fillId="0" borderId="10" xfId="0" applyBorder="1" applyAlignment="1">
      <alignment horizontal="center"/>
    </xf>
    <xf numFmtId="0" fontId="0" fillId="0" borderId="15" xfId="0" applyBorder="1" applyAlignment="1">
      <alignment horizontal="center"/>
    </xf>
    <xf numFmtId="0" fontId="20" fillId="38" borderId="16" xfId="0" applyFont="1" applyFill="1" applyBorder="1" applyAlignment="1">
      <alignment horizontal="center" vertical="center"/>
    </xf>
    <xf numFmtId="0" fontId="0" fillId="38" borderId="17" xfId="0" applyFill="1" applyBorder="1" applyAlignment="1">
      <alignment horizontal="center"/>
    </xf>
    <xf numFmtId="0" fontId="0" fillId="38" borderId="18" xfId="0" applyFill="1" applyBorder="1" applyAlignment="1">
      <alignment horizontal="center"/>
    </xf>
    <xf numFmtId="0" fontId="20" fillId="38" borderId="14" xfId="0" applyFont="1" applyFill="1" applyBorder="1" applyAlignment="1">
      <alignment horizontal="center" vertical="center"/>
    </xf>
    <xf numFmtId="0" fontId="0" fillId="38" borderId="10" xfId="0" applyFill="1" applyBorder="1" applyAlignment="1">
      <alignment horizontal="center"/>
    </xf>
    <xf numFmtId="0" fontId="0" fillId="38" borderId="15" xfId="0" applyFill="1" applyBorder="1" applyAlignment="1">
      <alignment horizontal="center"/>
    </xf>
    <xf numFmtId="0" fontId="16" fillId="38" borderId="10" xfId="0" applyFont="1" applyFill="1" applyBorder="1" applyAlignment="1">
      <alignment horizontal="center"/>
    </xf>
    <xf numFmtId="0" fontId="20" fillId="38" borderId="19" xfId="0" applyFont="1" applyFill="1" applyBorder="1" applyAlignment="1">
      <alignment horizontal="center" vertical="center"/>
    </xf>
    <xf numFmtId="0" fontId="0" fillId="38" borderId="20" xfId="0" applyFill="1" applyBorder="1" applyAlignment="1">
      <alignment horizontal="center"/>
    </xf>
    <xf numFmtId="0" fontId="16" fillId="38" borderId="20" xfId="0" applyFont="1" applyFill="1" applyBorder="1" applyAlignment="1">
      <alignment horizontal="center"/>
    </xf>
    <xf numFmtId="0" fontId="0" fillId="38" borderId="21" xfId="0" applyFill="1" applyBorder="1" applyAlignment="1">
      <alignment horizontal="center"/>
    </xf>
    <xf numFmtId="0" fontId="20" fillId="37" borderId="10" xfId="0" applyFont="1" applyFill="1" applyBorder="1" applyAlignment="1">
      <alignment horizontal="center" vertical="center"/>
    </xf>
    <xf numFmtId="0" fontId="0" fillId="37" borderId="10" xfId="0" applyFill="1" applyBorder="1" applyAlignment="1">
      <alignment horizontal="center"/>
    </xf>
    <xf numFmtId="0" fontId="0" fillId="37" borderId="21" xfId="0" applyFill="1" applyBorder="1" applyAlignment="1">
      <alignment horizontal="center"/>
    </xf>
    <xf numFmtId="0" fontId="20" fillId="39" borderId="16" xfId="0" applyFont="1" applyFill="1" applyBorder="1" applyAlignment="1">
      <alignment horizontal="center" vertical="center"/>
    </xf>
    <xf numFmtId="0" fontId="0" fillId="39" borderId="17" xfId="0" applyFill="1" applyBorder="1" applyAlignment="1">
      <alignment horizontal="center"/>
    </xf>
    <xf numFmtId="0" fontId="0" fillId="39" borderId="18" xfId="0" applyFill="1" applyBorder="1" applyAlignment="1">
      <alignment horizontal="center"/>
    </xf>
    <xf numFmtId="0" fontId="20" fillId="39" borderId="14" xfId="0" applyFont="1" applyFill="1" applyBorder="1" applyAlignment="1">
      <alignment horizontal="center" vertical="center"/>
    </xf>
    <xf numFmtId="0" fontId="0" fillId="39" borderId="10" xfId="0" applyFill="1" applyBorder="1" applyAlignment="1">
      <alignment horizontal="center"/>
    </xf>
    <xf numFmtId="0" fontId="0" fillId="39" borderId="15" xfId="0" applyFill="1" applyBorder="1" applyAlignment="1">
      <alignment horizontal="center"/>
    </xf>
    <xf numFmtId="0" fontId="20" fillId="39" borderId="19" xfId="0" applyFont="1" applyFill="1" applyBorder="1" applyAlignment="1">
      <alignment horizontal="center" vertical="center"/>
    </xf>
    <xf numFmtId="0" fontId="0" fillId="39" borderId="20" xfId="0" applyFill="1" applyBorder="1" applyAlignment="1">
      <alignment horizontal="center"/>
    </xf>
    <xf numFmtId="0" fontId="0" fillId="39" borderId="21" xfId="0" applyFill="1" applyBorder="1" applyAlignment="1">
      <alignment horizontal="center"/>
    </xf>
    <xf numFmtId="0" fontId="20" fillId="40" borderId="16" xfId="0" applyFont="1" applyFill="1" applyBorder="1" applyAlignment="1">
      <alignment horizontal="center" vertical="center"/>
    </xf>
    <xf numFmtId="0" fontId="0" fillId="40" borderId="17" xfId="0" applyFill="1" applyBorder="1" applyAlignment="1">
      <alignment horizontal="center"/>
    </xf>
    <xf numFmtId="0" fontId="0" fillId="40" borderId="22" xfId="0" applyFill="1" applyBorder="1" applyAlignment="1">
      <alignment horizontal="center"/>
    </xf>
    <xf numFmtId="0" fontId="0" fillId="40" borderId="18" xfId="0" applyFill="1" applyBorder="1" applyAlignment="1">
      <alignment horizontal="center"/>
    </xf>
    <xf numFmtId="0" fontId="20" fillId="40" borderId="14" xfId="0" applyFont="1" applyFill="1" applyBorder="1" applyAlignment="1">
      <alignment horizontal="center" vertical="center"/>
    </xf>
    <xf numFmtId="0" fontId="0" fillId="40" borderId="10" xfId="0" applyFill="1" applyBorder="1" applyAlignment="1">
      <alignment horizontal="center"/>
    </xf>
    <xf numFmtId="0" fontId="0" fillId="40" borderId="23" xfId="0" applyFill="1" applyBorder="1" applyAlignment="1">
      <alignment horizontal="center"/>
    </xf>
    <xf numFmtId="0" fontId="0" fillId="40" borderId="15" xfId="0" applyFill="1" applyBorder="1" applyAlignment="1">
      <alignment horizontal="center"/>
    </xf>
    <xf numFmtId="0" fontId="20" fillId="40" borderId="19" xfId="0" applyFont="1" applyFill="1" applyBorder="1" applyAlignment="1">
      <alignment horizontal="center" vertical="center"/>
    </xf>
    <xf numFmtId="0" fontId="0" fillId="40" borderId="20" xfId="0" applyFill="1" applyBorder="1" applyAlignment="1">
      <alignment horizontal="center"/>
    </xf>
    <xf numFmtId="0" fontId="0" fillId="40" borderId="24" xfId="0" applyFill="1" applyBorder="1" applyAlignment="1">
      <alignment horizontal="center"/>
    </xf>
    <xf numFmtId="0" fontId="0" fillId="40" borderId="21" xfId="0" applyFill="1" applyBorder="1" applyAlignment="1">
      <alignment horizontal="center"/>
    </xf>
    <xf numFmtId="0" fontId="20" fillId="41" borderId="16" xfId="0" applyFont="1" applyFill="1" applyBorder="1" applyAlignment="1">
      <alignment horizontal="center" vertical="center"/>
    </xf>
    <xf numFmtId="0" fontId="0" fillId="41" borderId="17" xfId="0" applyFill="1" applyBorder="1" applyAlignment="1">
      <alignment horizontal="center"/>
    </xf>
    <xf numFmtId="0" fontId="0" fillId="41" borderId="18" xfId="0" applyFill="1" applyBorder="1" applyAlignment="1">
      <alignment horizontal="center"/>
    </xf>
    <xf numFmtId="0" fontId="20" fillId="41" borderId="14" xfId="0" applyFont="1" applyFill="1" applyBorder="1" applyAlignment="1">
      <alignment horizontal="center" vertical="center"/>
    </xf>
    <xf numFmtId="0" fontId="0" fillId="41" borderId="10" xfId="0" applyFill="1" applyBorder="1" applyAlignment="1">
      <alignment horizontal="center"/>
    </xf>
    <xf numFmtId="0" fontId="0" fillId="41" borderId="15" xfId="0" applyFill="1" applyBorder="1" applyAlignment="1">
      <alignment horizontal="center"/>
    </xf>
    <xf numFmtId="0" fontId="20" fillId="41" borderId="19" xfId="0" applyFont="1" applyFill="1" applyBorder="1" applyAlignment="1">
      <alignment horizontal="center" vertical="center"/>
    </xf>
    <xf numFmtId="0" fontId="0" fillId="41" borderId="20" xfId="0" applyFill="1" applyBorder="1" applyAlignment="1">
      <alignment horizontal="center"/>
    </xf>
    <xf numFmtId="0" fontId="0" fillId="41" borderId="21" xfId="0" applyFill="1" applyBorder="1" applyAlignment="1">
      <alignment horizontal="center"/>
    </xf>
    <xf numFmtId="0" fontId="20" fillId="0" borderId="19" xfId="0" applyFont="1" applyBorder="1" applyAlignment="1">
      <alignment horizontal="center" vertical="center"/>
    </xf>
    <xf numFmtId="0" fontId="0" fillId="0" borderId="20" xfId="0" applyBorder="1" applyAlignment="1">
      <alignment horizontal="center"/>
    </xf>
    <xf numFmtId="0" fontId="0" fillId="0" borderId="21" xfId="0" applyBorder="1" applyAlignment="1">
      <alignment horizontal="center"/>
    </xf>
    <xf numFmtId="0" fontId="0" fillId="0" borderId="25"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38" borderId="12" xfId="0" applyFill="1" applyBorder="1" applyAlignment="1">
      <alignment horizontal="center"/>
    </xf>
    <xf numFmtId="0" fontId="0" fillId="38" borderId="13" xfId="0" applyFill="1" applyBorder="1" applyAlignment="1">
      <alignment horizontal="center"/>
    </xf>
    <xf numFmtId="0" fontId="17" fillId="42" borderId="0" xfId="0" applyFont="1" applyFill="1" applyAlignment="1">
      <alignment horizontal="center"/>
    </xf>
    <xf numFmtId="0" fontId="16" fillId="0" borderId="10" xfId="0" applyFont="1" applyBorder="1" applyAlignment="1">
      <alignment horizontal="center"/>
    </xf>
    <xf numFmtId="0" fontId="16" fillId="43" borderId="10" xfId="0" applyFont="1" applyFill="1" applyBorder="1" applyAlignment="1">
      <alignment horizontal="center"/>
    </xf>
    <xf numFmtId="0" fontId="16" fillId="44" borderId="10" xfId="0" applyFont="1" applyFill="1" applyBorder="1" applyAlignment="1">
      <alignment horizontal="center"/>
    </xf>
    <xf numFmtId="0" fontId="0" fillId="45" borderId="10" xfId="0" applyFill="1" applyBorder="1" applyAlignment="1">
      <alignment horizontal="center"/>
    </xf>
    <xf numFmtId="0" fontId="0" fillId="0" borderId="10" xfId="0" applyBorder="1"/>
    <xf numFmtId="15" fontId="0" fillId="0" borderId="10" xfId="0" applyNumberFormat="1" applyBorder="1"/>
    <xf numFmtId="0" fontId="16" fillId="45" borderId="10" xfId="0" applyFont="1" applyFill="1" applyBorder="1" applyAlignment="1">
      <alignment horizontal="center"/>
    </xf>
    <xf numFmtId="0" fontId="0" fillId="45" borderId="0" xfId="0" applyFill="1"/>
    <xf numFmtId="0" fontId="0" fillId="46" borderId="10" xfId="0" applyFill="1" applyBorder="1" applyAlignment="1">
      <alignment horizontal="center"/>
    </xf>
    <xf numFmtId="0" fontId="16" fillId="46" borderId="10" xfId="0" applyFont="1" applyFill="1" applyBorder="1" applyAlignment="1">
      <alignment horizontal="center"/>
    </xf>
    <xf numFmtId="0" fontId="0" fillId="46" borderId="0" xfId="0" applyFill="1"/>
    <xf numFmtId="0" fontId="0" fillId="47" borderId="10" xfId="0" applyFill="1" applyBorder="1" applyAlignment="1">
      <alignment horizontal="center"/>
    </xf>
    <xf numFmtId="0" fontId="0" fillId="43" borderId="10" xfId="0" applyFill="1" applyBorder="1" applyAlignment="1">
      <alignment horizontal="center"/>
    </xf>
    <xf numFmtId="0" fontId="0" fillId="44" borderId="10" xfId="0" applyFill="1" applyBorder="1" applyAlignment="1">
      <alignment horizontal="center"/>
    </xf>
    <xf numFmtId="0" fontId="16" fillId="48" borderId="10" xfId="0" applyFont="1" applyFill="1" applyBorder="1" applyAlignment="1">
      <alignment horizontal="center"/>
    </xf>
    <xf numFmtId="0" fontId="0" fillId="0" borderId="0" xfId="0" applyAlignment="1">
      <alignment wrapText="1"/>
    </xf>
    <xf numFmtId="0" fontId="0" fillId="46" borderId="10" xfId="0" applyFill="1" applyBorder="1"/>
    <xf numFmtId="15" fontId="0" fillId="46" borderId="10" xfId="0" applyNumberFormat="1" applyFill="1" applyBorder="1"/>
    <xf numFmtId="0" fontId="0" fillId="48" borderId="10" xfId="0" applyFill="1" applyBorder="1" applyAlignment="1">
      <alignment horizontal="center"/>
    </xf>
    <xf numFmtId="0" fontId="21" fillId="0" borderId="0" xfId="0" applyFont="1"/>
    <xf numFmtId="0" fontId="16" fillId="49" borderId="10" xfId="0" applyFont="1" applyFill="1" applyBorder="1" applyAlignment="1">
      <alignment horizontal="center"/>
    </xf>
    <xf numFmtId="0" fontId="0" fillId="0" borderId="26" xfId="0" applyBorder="1"/>
    <xf numFmtId="0" fontId="0" fillId="48" borderId="10" xfId="0" applyFill="1" applyBorder="1"/>
    <xf numFmtId="0" fontId="0" fillId="46" borderId="0" xfId="0" applyFill="1" applyAlignment="1">
      <alignment horizontal="center"/>
    </xf>
    <xf numFmtId="0" fontId="0" fillId="49" borderId="10" xfId="0" applyFill="1" applyBorder="1" applyAlignment="1">
      <alignment horizontal="center"/>
    </xf>
    <xf numFmtId="0" fontId="0" fillId="45" borderId="26" xfId="0" applyFill="1" applyBorder="1"/>
    <xf numFmtId="0" fontId="16" fillId="46" borderId="10" xfId="0" applyFont="1" applyFill="1" applyBorder="1"/>
    <xf numFmtId="0" fontId="16" fillId="0" borderId="0" xfId="0" applyFont="1"/>
    <xf numFmtId="0" fontId="0" fillId="47" borderId="0" xfId="0" applyFill="1"/>
    <xf numFmtId="0" fontId="0" fillId="50" borderId="10" xfId="0" applyFill="1" applyBorder="1"/>
    <xf numFmtId="0" fontId="0" fillId="46" borderId="26" xfId="0" applyFill="1" applyBorder="1"/>
    <xf numFmtId="0" fontId="22" fillId="46" borderId="10" xfId="0" applyFont="1" applyFill="1" applyBorder="1" applyAlignment="1">
      <alignment wrapText="1"/>
    </xf>
    <xf numFmtId="0" fontId="0" fillId="51" borderId="10" xfId="0" applyFill="1" applyBorder="1"/>
    <xf numFmtId="0" fontId="0" fillId="45" borderId="10" xfId="0" applyFill="1" applyBorder="1"/>
    <xf numFmtId="0" fontId="0" fillId="46" borderId="12" xfId="0" applyFill="1" applyBorder="1" applyAlignment="1">
      <alignment horizontal="center"/>
    </xf>
    <xf numFmtId="0" fontId="0" fillId="0" borderId="12" xfId="0" applyBorder="1"/>
    <xf numFmtId="0" fontId="16" fillId="46" borderId="12" xfId="0" applyFont="1" applyFill="1" applyBorder="1" applyAlignment="1">
      <alignment horizontal="center"/>
    </xf>
    <xf numFmtId="0" fontId="0" fillId="47" borderId="12" xfId="0" applyFill="1" applyBorder="1" applyAlignment="1">
      <alignment horizontal="center"/>
    </xf>
    <xf numFmtId="0" fontId="16" fillId="0" borderId="12" xfId="0" applyFont="1" applyBorder="1" applyAlignment="1">
      <alignment horizontal="center"/>
    </xf>
    <xf numFmtId="0" fontId="0" fillId="43" borderId="12" xfId="0" applyFill="1" applyBorder="1" applyAlignment="1">
      <alignment horizontal="center"/>
    </xf>
    <xf numFmtId="0" fontId="0" fillId="44" borderId="12" xfId="0" applyFill="1" applyBorder="1" applyAlignment="1">
      <alignment horizontal="center"/>
    </xf>
    <xf numFmtId="164" fontId="17" fillId="36" borderId="0" xfId="0" applyNumberFormat="1" applyFont="1" applyFill="1" applyAlignment="1">
      <alignment horizontal="center"/>
    </xf>
    <xf numFmtId="164" fontId="0" fillId="0" borderId="0" xfId="0" applyNumberFormat="1"/>
    <xf numFmtId="164" fontId="0" fillId="0" borderId="0" xfId="0" applyNumberFormat="1" applyAlignment="1">
      <alignment horizontal="center"/>
    </xf>
    <xf numFmtId="164" fontId="17" fillId="42" borderId="0" xfId="0" applyNumberFormat="1" applyFont="1" applyFill="1" applyAlignment="1">
      <alignment horizontal="center"/>
    </xf>
    <xf numFmtId="164" fontId="0" fillId="52" borderId="0" xfId="0" applyNumberFormat="1" applyFill="1"/>
    <xf numFmtId="2" fontId="17" fillId="35" borderId="0" xfId="0" applyNumberFormat="1" applyFont="1" applyFill="1" applyAlignment="1">
      <alignment horizontal="center"/>
    </xf>
    <xf numFmtId="2" fontId="0" fillId="0" borderId="0" xfId="0" applyNumberFormat="1" applyAlignment="1">
      <alignment horizontal="center"/>
    </xf>
    <xf numFmtId="1" fontId="17" fillId="35" borderId="0" xfId="0" applyNumberFormat="1" applyFont="1" applyFill="1" applyAlignment="1">
      <alignment horizontal="center"/>
    </xf>
    <xf numFmtId="1" fontId="0" fillId="0" borderId="0" xfId="0" applyNumberFormat="1" applyAlignment="1">
      <alignment horizontal="center"/>
    </xf>
    <xf numFmtId="0" fontId="17" fillId="52" borderId="0" xfId="0" applyFont="1" applyFill="1" applyAlignment="1">
      <alignment horizontal="center"/>
    </xf>
    <xf numFmtId="0" fontId="16" fillId="0" borderId="28" xfId="0" applyFont="1" applyBorder="1" applyAlignment="1">
      <alignment horizontal="center"/>
    </xf>
    <xf numFmtId="0" fontId="16" fillId="0" borderId="29" xfId="0" applyFont="1" applyBorder="1" applyAlignment="1">
      <alignment horizontal="center"/>
    </xf>
    <xf numFmtId="0" fontId="0" fillId="0" borderId="11" xfId="0" applyBorder="1"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38" borderId="11" xfId="0" applyFill="1" applyBorder="1"/>
    <xf numFmtId="0" fontId="0" fillId="38" borderId="14" xfId="0" applyFill="1" applyBorder="1"/>
    <xf numFmtId="0" fontId="0" fillId="38" borderId="19" xfId="0" applyFill="1" applyBorder="1"/>
    <xf numFmtId="0" fontId="16" fillId="0" borderId="27" xfId="0" applyFont="1" applyBorder="1"/>
    <xf numFmtId="0" fontId="0" fillId="0" borderId="11" xfId="0" applyBorder="1"/>
    <xf numFmtId="0" fontId="0" fillId="0" borderId="14" xfId="0" applyBorder="1"/>
    <xf numFmtId="0" fontId="0" fillId="0" borderId="19" xfId="0" applyBorder="1"/>
    <xf numFmtId="0" fontId="0" fillId="0" borderId="30" xfId="0" applyBorder="1" applyAlignment="1">
      <alignment horizontal="center"/>
    </xf>
    <xf numFmtId="0" fontId="0" fillId="51" borderId="14" xfId="0" applyFill="1" applyBorder="1"/>
    <xf numFmtId="0" fontId="0" fillId="0" borderId="31" xfId="0" applyBorder="1" applyAlignment="1">
      <alignment horizontal="center"/>
    </xf>
    <xf numFmtId="0" fontId="0" fillId="39" borderId="11" xfId="0" applyFill="1" applyBorder="1"/>
    <xf numFmtId="0" fontId="0" fillId="39" borderId="12" xfId="0" applyFill="1" applyBorder="1" applyAlignment="1">
      <alignment horizontal="center"/>
    </xf>
    <xf numFmtId="0" fontId="0" fillId="39" borderId="13" xfId="0" applyFill="1" applyBorder="1" applyAlignment="1">
      <alignment horizontal="center"/>
    </xf>
    <xf numFmtId="0" fontId="0" fillId="39" borderId="14" xfId="0" applyFill="1" applyBorder="1"/>
    <xf numFmtId="0" fontId="0" fillId="39" borderId="19" xfId="0" applyFill="1" applyBorder="1"/>
    <xf numFmtId="0" fontId="0" fillId="37" borderId="11" xfId="0" applyFill="1" applyBorder="1"/>
    <xf numFmtId="0" fontId="0" fillId="37" borderId="12" xfId="0" applyFill="1" applyBorder="1" applyAlignment="1">
      <alignment horizontal="center"/>
    </xf>
    <xf numFmtId="0" fontId="0" fillId="37" borderId="13" xfId="0" applyFill="1" applyBorder="1" applyAlignment="1">
      <alignment horizontal="center"/>
    </xf>
    <xf numFmtId="0" fontId="0" fillId="37" borderId="14" xfId="0" applyFill="1" applyBorder="1"/>
    <xf numFmtId="0" fontId="0" fillId="37" borderId="15" xfId="0" applyFill="1" applyBorder="1" applyAlignment="1">
      <alignment horizontal="center"/>
    </xf>
    <xf numFmtId="0" fontId="0" fillId="37" borderId="19" xfId="0" applyFill="1" applyBorder="1"/>
    <xf numFmtId="0" fontId="0" fillId="37" borderId="20" xfId="0" applyFill="1" applyBorder="1" applyAlignment="1">
      <alignment horizontal="center"/>
    </xf>
    <xf numFmtId="0" fontId="0" fillId="40" borderId="11" xfId="0" applyFill="1" applyBorder="1"/>
    <xf numFmtId="0" fontId="0" fillId="40" borderId="12" xfId="0" applyFill="1" applyBorder="1" applyAlignment="1">
      <alignment horizontal="center"/>
    </xf>
    <xf numFmtId="0" fontId="0" fillId="40" borderId="14" xfId="0" applyFill="1" applyBorder="1"/>
    <xf numFmtId="0" fontId="13" fillId="36" borderId="27" xfId="0" applyFont="1" applyFill="1" applyBorder="1" applyAlignment="1">
      <alignment horizontal="center"/>
    </xf>
    <xf numFmtId="0" fontId="13" fillId="36" borderId="28" xfId="0" applyFont="1" applyFill="1" applyBorder="1" applyAlignment="1">
      <alignment horizontal="center"/>
    </xf>
    <xf numFmtId="0" fontId="13" fillId="36" borderId="29" xfId="0" applyFont="1" applyFill="1" applyBorder="1" applyAlignment="1">
      <alignment horizontal="center"/>
    </xf>
    <xf numFmtId="0" fontId="0" fillId="40" borderId="13" xfId="0" applyFill="1" applyBorder="1" applyAlignment="1">
      <alignment horizontal="center"/>
    </xf>
    <xf numFmtId="0" fontId="0" fillId="40" borderId="19" xfId="0" applyFill="1" applyBorder="1"/>
    <xf numFmtId="0" fontId="0" fillId="41" borderId="11" xfId="0" applyFill="1" applyBorder="1"/>
    <xf numFmtId="0" fontId="0" fillId="41" borderId="12" xfId="0" applyFill="1" applyBorder="1" applyAlignment="1">
      <alignment horizontal="center"/>
    </xf>
    <xf numFmtId="0" fontId="0" fillId="41" borderId="14" xfId="0" applyFill="1" applyBorder="1"/>
    <xf numFmtId="0" fontId="0" fillId="41" borderId="19" xfId="0" applyFill="1" applyBorder="1"/>
    <xf numFmtId="0" fontId="0" fillId="41" borderId="13" xfId="0" applyFill="1" applyBorder="1" applyAlignment="1">
      <alignment horizontal="center"/>
    </xf>
    <xf numFmtId="0" fontId="0" fillId="38" borderId="25" xfId="0" applyFill="1" applyBorder="1" applyAlignment="1">
      <alignment horizontal="center"/>
    </xf>
    <xf numFmtId="0" fontId="0" fillId="38" borderId="23" xfId="0" applyFill="1" applyBorder="1" applyAlignment="1">
      <alignment horizontal="center"/>
    </xf>
    <xf numFmtId="0" fontId="0" fillId="38" borderId="24" xfId="0" applyFill="1" applyBorder="1" applyAlignment="1">
      <alignment horizontal="center"/>
    </xf>
    <xf numFmtId="0" fontId="0" fillId="53" borderId="0" xfId="0" applyFill="1"/>
    <xf numFmtId="0" fontId="0" fillId="40" borderId="35" xfId="0" applyFill="1" applyBorder="1"/>
    <xf numFmtId="1" fontId="17" fillId="9" borderId="0" xfId="18" applyNumberFormat="1" applyAlignment="1">
      <alignment horizontal="center"/>
    </xf>
    <xf numFmtId="1" fontId="0" fillId="33" borderId="0" xfId="0" applyNumberFormat="1" applyFill="1" applyAlignment="1">
      <alignment horizontal="center"/>
    </xf>
    <xf numFmtId="1" fontId="0" fillId="34" borderId="0" xfId="0" applyNumberFormat="1" applyFill="1" applyAlignment="1">
      <alignment horizontal="center"/>
    </xf>
    <xf numFmtId="0" fontId="0" fillId="57" borderId="0" xfId="0" applyFill="1"/>
    <xf numFmtId="0" fontId="13" fillId="54" borderId="32" xfId="0" applyFont="1" applyFill="1" applyBorder="1" applyAlignment="1">
      <alignment horizontal="center"/>
    </xf>
    <xf numFmtId="0" fontId="13" fillId="54" borderId="37" xfId="0" applyFont="1" applyFill="1" applyBorder="1" applyAlignment="1">
      <alignment horizontal="center"/>
    </xf>
    <xf numFmtId="0" fontId="13" fillId="54" borderId="36" xfId="0" applyFont="1" applyFill="1" applyBorder="1" applyAlignment="1">
      <alignment horizontal="center"/>
    </xf>
    <xf numFmtId="0" fontId="0" fillId="55" borderId="33" xfId="0" applyFill="1" applyBorder="1" applyAlignment="1">
      <alignment horizontal="center"/>
    </xf>
    <xf numFmtId="0" fontId="0" fillId="55" borderId="38" xfId="0" applyFill="1" applyBorder="1" applyAlignment="1">
      <alignment horizontal="center"/>
    </xf>
    <xf numFmtId="0" fontId="0" fillId="55" borderId="34" xfId="0" applyFill="1" applyBorder="1" applyAlignment="1">
      <alignment horizontal="center"/>
    </xf>
    <xf numFmtId="0" fontId="0" fillId="56" borderId="33" xfId="0" applyFill="1" applyBorder="1" applyAlignment="1">
      <alignment horizontal="center"/>
    </xf>
    <xf numFmtId="0" fontId="0" fillId="56" borderId="38" xfId="0" applyFill="1" applyBorder="1" applyAlignment="1">
      <alignment horizontal="center"/>
    </xf>
    <xf numFmtId="0" fontId="0" fillId="56" borderId="34" xfId="0" applyFill="1" applyBorder="1" applyAlignment="1">
      <alignment horizontal="center"/>
    </xf>
    <xf numFmtId="0" fontId="13" fillId="54" borderId="0" xfId="0" applyFont="1" applyFill="1" applyAlignment="1">
      <alignment horizontal="center"/>
    </xf>
    <xf numFmtId="0" fontId="0" fillId="55" borderId="0" xfId="0" applyFill="1" applyAlignment="1">
      <alignment horizontal="center"/>
    </xf>
    <xf numFmtId="0" fontId="0" fillId="56" borderId="0" xfId="0" applyFill="1" applyAlignment="1">
      <alignment horizontal="center"/>
    </xf>
    <xf numFmtId="164" fontId="0" fillId="55" borderId="0" xfId="0" applyNumberFormat="1" applyFill="1" applyAlignment="1">
      <alignment horizontal="center"/>
    </xf>
    <xf numFmtId="164" fontId="0" fillId="56" borderId="0" xfId="0" applyNumberFormat="1" applyFill="1" applyAlignment="1">
      <alignment horizontal="center"/>
    </xf>
    <xf numFmtId="0" fontId="0" fillId="58" borderId="33" xfId="0" applyFill="1" applyBorder="1" applyAlignment="1">
      <alignment horizontal="center"/>
    </xf>
    <xf numFmtId="0" fontId="0" fillId="58" borderId="38" xfId="0" applyFill="1" applyBorder="1" applyAlignment="1">
      <alignment horizontal="center"/>
    </xf>
    <xf numFmtId="0" fontId="0" fillId="58" borderId="34" xfId="0" applyFill="1" applyBorder="1" applyAlignment="1">
      <alignment horizontal="center"/>
    </xf>
    <xf numFmtId="0" fontId="0" fillId="58" borderId="0" xfId="0" applyFill="1" applyAlignment="1">
      <alignment horizontal="center"/>
    </xf>
    <xf numFmtId="164" fontId="0" fillId="58" borderId="0" xfId="0" applyNumberFormat="1" applyFill="1" applyAlignment="1">
      <alignment horizontal="center"/>
    </xf>
    <xf numFmtId="0" fontId="0" fillId="59" borderId="33" xfId="0" applyFill="1" applyBorder="1" applyAlignment="1">
      <alignment horizontal="center"/>
    </xf>
    <xf numFmtId="0" fontId="0" fillId="59" borderId="38" xfId="0" applyFill="1" applyBorder="1" applyAlignment="1">
      <alignment horizontal="center"/>
    </xf>
    <xf numFmtId="0" fontId="0" fillId="59" borderId="34" xfId="0" applyFill="1" applyBorder="1" applyAlignment="1">
      <alignment horizontal="center"/>
    </xf>
    <xf numFmtId="0" fontId="0" fillId="59" borderId="0" xfId="0" applyFill="1" applyAlignment="1">
      <alignment horizontal="center"/>
    </xf>
    <xf numFmtId="164" fontId="0" fillId="59" borderId="0" xfId="0" applyNumberFormat="1" applyFill="1" applyAlignment="1">
      <alignment horizontal="center"/>
    </xf>
    <xf numFmtId="0" fontId="0" fillId="60" borderId="33" xfId="0" applyFill="1" applyBorder="1" applyAlignment="1">
      <alignment horizontal="center"/>
    </xf>
    <xf numFmtId="0" fontId="0" fillId="60" borderId="38" xfId="0" applyFill="1" applyBorder="1" applyAlignment="1">
      <alignment horizontal="center"/>
    </xf>
    <xf numFmtId="0" fontId="0" fillId="60" borderId="34" xfId="0" applyFill="1" applyBorder="1" applyAlignment="1">
      <alignment horizontal="center"/>
    </xf>
    <xf numFmtId="0" fontId="0" fillId="60" borderId="0" xfId="0" applyFill="1" applyAlignment="1">
      <alignment horizontal="center"/>
    </xf>
    <xf numFmtId="164" fontId="0" fillId="60" borderId="0" xfId="0" applyNumberFormat="1" applyFill="1" applyAlignment="1">
      <alignment horizontal="center"/>
    </xf>
    <xf numFmtId="0" fontId="0" fillId="61" borderId="33" xfId="0" applyFill="1" applyBorder="1" applyAlignment="1">
      <alignment horizontal="center"/>
    </xf>
    <xf numFmtId="0" fontId="0" fillId="61" borderId="38" xfId="0" applyFill="1" applyBorder="1" applyAlignment="1">
      <alignment horizontal="center"/>
    </xf>
    <xf numFmtId="0" fontId="0" fillId="61" borderId="34" xfId="0" applyFill="1" applyBorder="1" applyAlignment="1">
      <alignment horizontal="center"/>
    </xf>
    <xf numFmtId="0" fontId="0" fillId="61" borderId="0" xfId="0" applyFill="1" applyAlignment="1">
      <alignment horizontal="center"/>
    </xf>
    <xf numFmtId="164" fontId="0" fillId="61" borderId="0" xfId="0" applyNumberFormat="1" applyFill="1" applyAlignment="1">
      <alignment horizontal="center"/>
    </xf>
    <xf numFmtId="0" fontId="0" fillId="0" borderId="33" xfId="0" applyBorder="1" applyAlignment="1">
      <alignment horizontal="center"/>
    </xf>
    <xf numFmtId="0" fontId="0" fillId="0" borderId="38" xfId="0" applyBorder="1" applyAlignment="1">
      <alignment horizontal="center"/>
    </xf>
    <xf numFmtId="0" fontId="0" fillId="0" borderId="34" xfId="0" applyBorder="1" applyAlignment="1">
      <alignment horizontal="center"/>
    </xf>
    <xf numFmtId="0" fontId="0" fillId="62" borderId="33" xfId="0" applyFill="1" applyBorder="1" applyAlignment="1">
      <alignment horizontal="center"/>
    </xf>
    <xf numFmtId="0" fontId="0" fillId="62" borderId="38" xfId="0" applyFill="1" applyBorder="1" applyAlignment="1">
      <alignment horizontal="center"/>
    </xf>
    <xf numFmtId="0" fontId="0" fillId="62" borderId="34" xfId="0" applyFill="1" applyBorder="1" applyAlignment="1">
      <alignment horizontal="center"/>
    </xf>
    <xf numFmtId="0" fontId="0" fillId="62" borderId="0" xfId="0" applyFill="1" applyAlignment="1">
      <alignment horizontal="center"/>
    </xf>
    <xf numFmtId="164" fontId="0" fillId="62" borderId="0" xfId="0" applyNumberFormat="1" applyFill="1" applyAlignment="1">
      <alignment horizontal="center"/>
    </xf>
    <xf numFmtId="0" fontId="0" fillId="63" borderId="33" xfId="0" applyFill="1" applyBorder="1" applyAlignment="1">
      <alignment horizontal="center"/>
    </xf>
    <xf numFmtId="0" fontId="0" fillId="63" borderId="38" xfId="0" applyFill="1" applyBorder="1" applyAlignment="1">
      <alignment horizontal="center"/>
    </xf>
    <xf numFmtId="0" fontId="0" fillId="63" borderId="34" xfId="0" applyFill="1" applyBorder="1" applyAlignment="1">
      <alignment horizontal="center"/>
    </xf>
    <xf numFmtId="0" fontId="0" fillId="63" borderId="0" xfId="0" applyFill="1" applyAlignment="1">
      <alignment horizontal="center"/>
    </xf>
    <xf numFmtId="164" fontId="0" fillId="63" borderId="0" xfId="0" applyNumberFormat="1" applyFill="1" applyAlignment="1">
      <alignment horizontal="center"/>
    </xf>
    <xf numFmtId="0" fontId="13" fillId="64" borderId="37" xfId="0" applyFont="1" applyFill="1" applyBorder="1" applyAlignment="1">
      <alignment horizontal="center"/>
    </xf>
    <xf numFmtId="0" fontId="13" fillId="64" borderId="0" xfId="0" applyFont="1" applyFill="1" applyAlignment="1">
      <alignment horizontal="center"/>
    </xf>
    <xf numFmtId="164" fontId="17" fillId="35" borderId="0" xfId="0" applyNumberFormat="1" applyFont="1" applyFill="1" applyAlignment="1">
      <alignment horizontal="center"/>
    </xf>
    <xf numFmtId="1" fontId="0" fillId="53" borderId="0" xfId="0" applyNumberFormat="1" applyFill="1" applyAlignment="1">
      <alignment horizontal="center"/>
    </xf>
    <xf numFmtId="0" fontId="13" fillId="35" borderId="0" xfId="0" applyFont="1" applyFill="1"/>
    <xf numFmtId="164" fontId="0" fillId="47" borderId="0" xfId="0" applyNumberFormat="1" applyFill="1"/>
    <xf numFmtId="0" fontId="0" fillId="52" borderId="0" xfId="0" applyFill="1"/>
    <xf numFmtId="0" fontId="0" fillId="52" borderId="0" xfId="0" applyFill="1" applyAlignment="1">
      <alignment horizontal="center"/>
    </xf>
    <xf numFmtId="0" fontId="0" fillId="47" borderId="0" xfId="0" applyFill="1" applyAlignment="1">
      <alignment horizontal="center"/>
    </xf>
    <xf numFmtId="10" fontId="0" fillId="47" borderId="0" xfId="0" applyNumberFormat="1" applyFill="1"/>
    <xf numFmtId="2" fontId="0" fillId="47" borderId="0" xfId="0" applyNumberFormat="1" applyFill="1" applyAlignment="1">
      <alignment horizontal="center"/>
    </xf>
    <xf numFmtId="1" fontId="0" fillId="47" borderId="0" xfId="0" applyNumberFormat="1" applyFill="1" applyAlignment="1">
      <alignment horizontal="center"/>
    </xf>
    <xf numFmtId="164" fontId="0" fillId="47" borderId="0" xfId="0" applyNumberFormat="1" applyFill="1" applyAlignment="1">
      <alignment horizontal="center"/>
    </xf>
    <xf numFmtId="10" fontId="0" fillId="46" borderId="0" xfId="0" applyNumberFormat="1" applyFill="1"/>
    <xf numFmtId="2" fontId="0" fillId="46" borderId="0" xfId="0" applyNumberFormat="1" applyFill="1" applyAlignment="1">
      <alignment horizontal="center"/>
    </xf>
    <xf numFmtId="1" fontId="0" fillId="46" borderId="0" xfId="0" applyNumberFormat="1" applyFill="1" applyAlignment="1">
      <alignment horizontal="center"/>
    </xf>
    <xf numFmtId="164" fontId="0" fillId="46" borderId="0" xfId="0" applyNumberFormat="1" applyFill="1" applyAlignment="1">
      <alignment horizontal="center"/>
    </xf>
    <xf numFmtId="164" fontId="0" fillId="46" borderId="0" xfId="0" applyNumberFormat="1" applyFill="1"/>
    <xf numFmtId="0" fontId="0" fillId="65" borderId="0" xfId="0" applyFill="1"/>
    <xf numFmtId="0" fontId="0" fillId="65" borderId="0" xfId="0" applyFill="1" applyAlignment="1">
      <alignment horizontal="center"/>
    </xf>
    <xf numFmtId="10" fontId="0" fillId="65" borderId="0" xfId="0" applyNumberFormat="1" applyFill="1"/>
    <xf numFmtId="2" fontId="0" fillId="65" borderId="0" xfId="0" applyNumberFormat="1" applyFill="1" applyAlignment="1">
      <alignment horizontal="center"/>
    </xf>
    <xf numFmtId="1" fontId="0" fillId="65" borderId="0" xfId="0" applyNumberFormat="1" applyFill="1" applyAlignment="1">
      <alignment horizontal="center"/>
    </xf>
    <xf numFmtId="164" fontId="0" fillId="65" borderId="0" xfId="0" applyNumberFormat="1" applyFill="1" applyAlignment="1">
      <alignment horizontal="center"/>
    </xf>
    <xf numFmtId="164" fontId="0" fillId="65" borderId="0" xfId="0" applyNumberFormat="1" applyFill="1"/>
    <xf numFmtId="0" fontId="0" fillId="43" borderId="0" xfId="0" applyFill="1"/>
    <xf numFmtId="0" fontId="0" fillId="43" borderId="0" xfId="0" applyFill="1" applyAlignment="1">
      <alignment horizontal="center"/>
    </xf>
    <xf numFmtId="10" fontId="0" fillId="43" borderId="0" xfId="0" applyNumberFormat="1" applyFill="1"/>
    <xf numFmtId="2" fontId="0" fillId="43" borderId="0" xfId="0" applyNumberFormat="1" applyFill="1" applyAlignment="1">
      <alignment horizontal="center"/>
    </xf>
    <xf numFmtId="1" fontId="0" fillId="43" borderId="0" xfId="0" applyNumberFormat="1" applyFill="1" applyAlignment="1">
      <alignment horizontal="center"/>
    </xf>
    <xf numFmtId="164" fontId="0" fillId="43" borderId="0" xfId="0" applyNumberFormat="1" applyFill="1" applyAlignment="1">
      <alignment horizontal="center"/>
    </xf>
    <xf numFmtId="164" fontId="0" fillId="43" borderId="0" xfId="0" applyNumberFormat="1" applyFill="1"/>
    <xf numFmtId="0" fontId="0" fillId="45" borderId="0" xfId="0" applyFill="1" applyAlignment="1">
      <alignment horizontal="center"/>
    </xf>
    <xf numFmtId="10" fontId="0" fillId="45" borderId="0" xfId="0" applyNumberFormat="1" applyFill="1"/>
    <xf numFmtId="2" fontId="0" fillId="45" borderId="0" xfId="0" applyNumberFormat="1" applyFill="1" applyAlignment="1">
      <alignment horizontal="center"/>
    </xf>
    <xf numFmtId="1" fontId="0" fillId="45" borderId="0" xfId="0" applyNumberFormat="1" applyFill="1" applyAlignment="1">
      <alignment horizontal="center"/>
    </xf>
    <xf numFmtId="164" fontId="0" fillId="45" borderId="0" xfId="0" applyNumberFormat="1" applyFill="1" applyAlignment="1">
      <alignment horizontal="center"/>
    </xf>
    <xf numFmtId="164" fontId="0" fillId="45" borderId="0" xfId="0" applyNumberFormat="1" applyFill="1"/>
    <xf numFmtId="0" fontId="17" fillId="57"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bgColor theme="4"/>
        </patternFill>
      </fill>
    </dxf>
    <dxf>
      <font>
        <color theme="0"/>
      </font>
      <fill>
        <patternFill>
          <bgColor rgb="FFC00000"/>
        </patternFill>
      </fill>
    </dxf>
    <dxf>
      <font>
        <color theme="0"/>
      </font>
      <fill>
        <patternFill>
          <bgColor theme="9" tint="-0.24994659260841701"/>
        </patternFill>
      </fill>
    </dxf>
    <dxf>
      <font>
        <b/>
        <i val="0"/>
        <color theme="0"/>
      </font>
      <fill>
        <patternFill>
          <bgColor rgb="FFC00000"/>
        </patternFill>
      </fill>
    </dxf>
    <dxf>
      <font>
        <color theme="0"/>
      </font>
    </dxf>
    <dxf>
      <fill>
        <patternFill patternType="solid">
          <fgColor rgb="FFFF0000"/>
          <bgColor rgb="FF000000"/>
        </patternFill>
      </fill>
    </dxf>
    <dxf>
      <fill>
        <patternFill patternType="solid">
          <fgColor indexed="64"/>
          <bgColor rgb="FF00B050"/>
        </patternFill>
      </fill>
    </dxf>
  </dxfs>
  <tableStyles count="0" defaultTableStyle="TableStyleMedium2" defaultPivotStyle="PivotStyleLight16"/>
  <colors>
    <mruColors>
      <color rgb="FFD53B3B"/>
      <color rgb="FF2F292D"/>
      <color rgb="FF232227"/>
      <color rgb="FF1E2D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'Dashboard Workings'!$V$1</c:f>
              <c:strCache>
                <c:ptCount val="1"/>
                <c:pt idx="0">
                  <c:v>Current</c:v>
                </c:pt>
              </c:strCache>
            </c:strRef>
          </c:tx>
          <c:spPr>
            <a:solidFill>
              <a:schemeClr val="accent1"/>
            </a:solidFill>
            <a:ln>
              <a:gradFill>
                <a:gsLst>
                  <a:gs pos="0">
                    <a:schemeClr val="accent1">
                      <a:lumMod val="40000"/>
                      <a:lumOff val="60000"/>
                    </a:schemeClr>
                  </a:gs>
                  <a:gs pos="43000">
                    <a:schemeClr val="accent1">
                      <a:lumMod val="75000"/>
                    </a:schemeClr>
                  </a:gs>
                  <a:gs pos="100000">
                    <a:schemeClr val="accent1"/>
                  </a:gs>
                </a:gsLst>
                <a:lin ang="5400000" scaled="1"/>
              </a:gradFill>
            </a:ln>
            <a:effectLst/>
          </c:spPr>
          <c:invertIfNegative val="0"/>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Workings'!$V$2:$V$13</c:f>
              <c:numCache>
                <c:formatCode>_-[$£-809]* #,##0.00_-;\-[$£-809]* #,##0.00_-;_-[$£-809]* "-"??_-;_-@_-</c:formatCode>
                <c:ptCount val="12"/>
                <c:pt idx="0">
                  <c:v>25900.377199999984</c:v>
                </c:pt>
                <c:pt idx="1">
                  <c:v>51800.754399999969</c:v>
                </c:pt>
                <c:pt idx="2">
                  <c:v>77701.13159999995</c:v>
                </c:pt>
                <c:pt idx="3">
                  <c:v>103601.50879999994</c:v>
                </c:pt>
                <c:pt idx="4">
                  <c:v>129501.88599999993</c:v>
                </c:pt>
                <c:pt idx="5">
                  <c:v>155402.2631999999</c:v>
                </c:pt>
                <c:pt idx="6">
                  <c:v>181302.64039999989</c:v>
                </c:pt>
                <c:pt idx="7">
                  <c:v>207203.01759999988</c:v>
                </c:pt>
                <c:pt idx="8">
                  <c:v>233103.39479999986</c:v>
                </c:pt>
                <c:pt idx="9">
                  <c:v>259003.77199999985</c:v>
                </c:pt>
                <c:pt idx="10">
                  <c:v>284904.14919999981</c:v>
                </c:pt>
                <c:pt idx="11">
                  <c:v>310804.5263999998</c:v>
                </c:pt>
              </c:numCache>
            </c:numRef>
          </c:val>
          <c:extLst>
            <c:ext xmlns:c16="http://schemas.microsoft.com/office/drawing/2014/chart" uri="{C3380CC4-5D6E-409C-BE32-E72D297353CC}">
              <c16:uniqueId val="{00000000-C530-4646-A980-AE14A016AE33}"/>
            </c:ext>
          </c:extLst>
        </c:ser>
        <c:ser>
          <c:idx val="1"/>
          <c:order val="1"/>
          <c:tx>
            <c:strRef>
              <c:f>'Dashboard Workings'!$W$1</c:f>
              <c:strCache>
                <c:ptCount val="1"/>
                <c:pt idx="0">
                  <c:v>New</c:v>
                </c:pt>
              </c:strCache>
            </c:strRef>
          </c:tx>
          <c:spPr>
            <a:solidFill>
              <a:schemeClr val="accent2"/>
            </a:solidFill>
            <a:ln>
              <a:gradFill flip="none" rotWithShape="1">
                <a:gsLst>
                  <a:gs pos="0">
                    <a:schemeClr val="accent2">
                      <a:lumMod val="60000"/>
                      <a:lumOff val="40000"/>
                    </a:schemeClr>
                  </a:gs>
                  <a:gs pos="45000">
                    <a:schemeClr val="accent2">
                      <a:lumMod val="75000"/>
                    </a:schemeClr>
                  </a:gs>
                  <a:gs pos="100000">
                    <a:schemeClr val="accent2"/>
                  </a:gs>
                </a:gsLst>
                <a:lin ang="2700000" scaled="1"/>
                <a:tileRect/>
              </a:gradFill>
            </a:ln>
            <a:effectLst/>
          </c:spPr>
          <c:invertIfNegative val="0"/>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Workings'!$W$2:$W$13</c:f>
              <c:numCache>
                <c:formatCode>_-[$£-809]* #,##0.00_-;\-[$£-809]* #,##0.00_-;_-[$£-809]* "-"??_-;_-@_-</c:formatCode>
                <c:ptCount val="12"/>
                <c:pt idx="0">
                  <c:v>45788.769199999952</c:v>
                </c:pt>
                <c:pt idx="1">
                  <c:v>91577.538399999903</c:v>
                </c:pt>
                <c:pt idx="2">
                  <c:v>137366.30759999985</c:v>
                </c:pt>
                <c:pt idx="3">
                  <c:v>183155.07679999981</c:v>
                </c:pt>
                <c:pt idx="4">
                  <c:v>228943.84599999976</c:v>
                </c:pt>
                <c:pt idx="5">
                  <c:v>274732.61519999971</c:v>
                </c:pt>
                <c:pt idx="6">
                  <c:v>320521.38439999963</c:v>
                </c:pt>
                <c:pt idx="7">
                  <c:v>366310.15359999961</c:v>
                </c:pt>
                <c:pt idx="8">
                  <c:v>412098.92279999959</c:v>
                </c:pt>
                <c:pt idx="9">
                  <c:v>457887.69199999957</c:v>
                </c:pt>
                <c:pt idx="10">
                  <c:v>503676.46119999955</c:v>
                </c:pt>
                <c:pt idx="11">
                  <c:v>549465.23039999953</c:v>
                </c:pt>
              </c:numCache>
            </c:numRef>
          </c:val>
          <c:extLst>
            <c:ext xmlns:c16="http://schemas.microsoft.com/office/drawing/2014/chart" uri="{C3380CC4-5D6E-409C-BE32-E72D297353CC}">
              <c16:uniqueId val="{00000001-C530-4646-A980-AE14A016AE33}"/>
            </c:ext>
          </c:extLst>
        </c:ser>
        <c:dLbls>
          <c:showLegendKey val="0"/>
          <c:showVal val="0"/>
          <c:showCatName val="0"/>
          <c:showSerName val="0"/>
          <c:showPercent val="0"/>
          <c:showBubbleSize val="0"/>
        </c:dLbls>
        <c:gapWidth val="219"/>
        <c:axId val="1527499696"/>
        <c:axId val="1527495536"/>
      </c:barChart>
      <c:lineChart>
        <c:grouping val="standard"/>
        <c:varyColors val="0"/>
        <c:ser>
          <c:idx val="2"/>
          <c:order val="2"/>
          <c:tx>
            <c:strRef>
              <c:f>'Dashboard Workings'!$X$1</c:f>
              <c:strCache>
                <c:ptCount val="1"/>
                <c:pt idx="0">
                  <c:v>Savings</c:v>
                </c:pt>
              </c:strCache>
            </c:strRef>
          </c:tx>
          <c:spPr>
            <a:ln w="28575" cap="rnd">
              <a:gradFill>
                <a:gsLst>
                  <a:gs pos="0">
                    <a:schemeClr val="accent6"/>
                  </a:gs>
                  <a:gs pos="74000">
                    <a:schemeClr val="accent6">
                      <a:lumMod val="75000"/>
                    </a:schemeClr>
                  </a:gs>
                  <a:gs pos="100000">
                    <a:schemeClr val="accent6">
                      <a:lumMod val="60000"/>
                      <a:lumOff val="40000"/>
                    </a:schemeClr>
                  </a:gs>
                </a:gsLst>
                <a:lin ang="5400000" scaled="1"/>
              </a:gradFill>
              <a:prstDash val="sysDot"/>
              <a:round/>
            </a:ln>
            <a:effectLst/>
          </c:spPr>
          <c:marker>
            <c:symbol val="none"/>
          </c:marker>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Workings'!$X$2:$X$13</c:f>
              <c:numCache>
                <c:formatCode>_-[$£-809]* #,##0.00_-;\-[$£-809]* #,##0.00_-;_-[$£-809]* "-"??_-;_-@_-</c:formatCode>
                <c:ptCount val="12"/>
                <c:pt idx="0">
                  <c:v>-19888.391999999967</c:v>
                </c:pt>
                <c:pt idx="1">
                  <c:v>-39776.783999999934</c:v>
                </c:pt>
                <c:pt idx="2">
                  <c:v>-59665.175999999905</c:v>
                </c:pt>
                <c:pt idx="3">
                  <c:v>-79553.567999999868</c:v>
                </c:pt>
                <c:pt idx="4">
                  <c:v>-99441.959999999832</c:v>
                </c:pt>
                <c:pt idx="5">
                  <c:v>-119330.35199999981</c:v>
                </c:pt>
                <c:pt idx="6">
                  <c:v>-139218.74399999974</c:v>
                </c:pt>
                <c:pt idx="7">
                  <c:v>-159107.13599999974</c:v>
                </c:pt>
                <c:pt idx="8">
                  <c:v>-178995.52799999973</c:v>
                </c:pt>
                <c:pt idx="9">
                  <c:v>-198883.91999999972</c:v>
                </c:pt>
                <c:pt idx="10">
                  <c:v>-218772.31199999974</c:v>
                </c:pt>
                <c:pt idx="11">
                  <c:v>-238660.70399999974</c:v>
                </c:pt>
              </c:numCache>
            </c:numRef>
          </c:val>
          <c:smooth val="0"/>
          <c:extLst>
            <c:ext xmlns:c16="http://schemas.microsoft.com/office/drawing/2014/chart" uri="{C3380CC4-5D6E-409C-BE32-E72D297353CC}">
              <c16:uniqueId val="{00000002-C530-4646-A980-AE14A016AE33}"/>
            </c:ext>
          </c:extLst>
        </c:ser>
        <c:dLbls>
          <c:showLegendKey val="0"/>
          <c:showVal val="0"/>
          <c:showCatName val="0"/>
          <c:showSerName val="0"/>
          <c:showPercent val="0"/>
          <c:showBubbleSize val="0"/>
        </c:dLbls>
        <c:marker val="1"/>
        <c:smooth val="0"/>
        <c:axId val="1199864688"/>
        <c:axId val="1199859696"/>
      </c:lineChart>
      <c:catAx>
        <c:axId val="119986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9859696"/>
        <c:crosses val="autoZero"/>
        <c:auto val="1"/>
        <c:lblAlgn val="ctr"/>
        <c:lblOffset val="100"/>
        <c:noMultiLvlLbl val="0"/>
      </c:catAx>
      <c:valAx>
        <c:axId val="1199859696"/>
        <c:scaling>
          <c:orientation val="minMax"/>
        </c:scaling>
        <c:delete val="0"/>
        <c:axPos val="l"/>
        <c:majorGridlines>
          <c:spPr>
            <a:ln w="9525" cap="flat" cmpd="sng" algn="ctr">
              <a:solidFill>
                <a:schemeClr val="tx1">
                  <a:lumMod val="15000"/>
                  <a:lumOff val="85000"/>
                </a:schemeClr>
              </a:solidFill>
              <a:round/>
            </a:ln>
            <a:effectLst/>
          </c:spPr>
        </c:majorGridlines>
        <c:numFmt formatCode="_-[$£-809]* #,##0.00_-;\-[$£-809]* #,##0.0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9864688"/>
        <c:crosses val="autoZero"/>
        <c:crossBetween val="between"/>
      </c:valAx>
      <c:valAx>
        <c:axId val="1527495536"/>
        <c:scaling>
          <c:orientation val="minMax"/>
        </c:scaling>
        <c:delete val="0"/>
        <c:axPos val="r"/>
        <c:numFmt formatCode="_-[$£-809]* #,##0.00_-;\-[$£-809]* #,##0.00_-;_-[$£-809]*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27499696"/>
        <c:crosses val="max"/>
        <c:crossBetween val="between"/>
      </c:valAx>
      <c:catAx>
        <c:axId val="1527499696"/>
        <c:scaling>
          <c:orientation val="minMax"/>
        </c:scaling>
        <c:delete val="1"/>
        <c:axPos val="b"/>
        <c:numFmt formatCode="General" sourceLinked="1"/>
        <c:majorTickMark val="out"/>
        <c:minorTickMark val="none"/>
        <c:tickLblPos val="nextTo"/>
        <c:crossAx val="15274955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'Dashboard Workings'!$V$1</c:f>
              <c:strCache>
                <c:ptCount val="1"/>
                <c:pt idx="0">
                  <c:v>Current</c:v>
                </c:pt>
              </c:strCache>
            </c:strRef>
          </c:tx>
          <c:spPr>
            <a:solidFill>
              <a:schemeClr val="accent1"/>
            </a:solidFill>
            <a:ln>
              <a:gradFill>
                <a:gsLst>
                  <a:gs pos="0">
                    <a:schemeClr val="accent1">
                      <a:lumMod val="40000"/>
                      <a:lumOff val="60000"/>
                    </a:schemeClr>
                  </a:gs>
                  <a:gs pos="43000">
                    <a:schemeClr val="accent1">
                      <a:lumMod val="75000"/>
                    </a:schemeClr>
                  </a:gs>
                  <a:gs pos="100000">
                    <a:schemeClr val="accent1"/>
                  </a:gs>
                </a:gsLst>
                <a:lin ang="5400000" scaled="1"/>
              </a:gradFill>
            </a:ln>
            <a:effectLst/>
          </c:spPr>
          <c:invertIfNegative val="0"/>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Workings'!$V$2:$V$13</c:f>
              <c:numCache>
                <c:formatCode>_-[$£-809]* #,##0.00_-;\-[$£-809]* #,##0.00_-;_-[$£-809]* "-"??_-;_-@_-</c:formatCode>
                <c:ptCount val="12"/>
                <c:pt idx="0">
                  <c:v>25900.377199999984</c:v>
                </c:pt>
                <c:pt idx="1">
                  <c:v>51800.754399999969</c:v>
                </c:pt>
                <c:pt idx="2">
                  <c:v>77701.13159999995</c:v>
                </c:pt>
                <c:pt idx="3">
                  <c:v>103601.50879999994</c:v>
                </c:pt>
                <c:pt idx="4">
                  <c:v>129501.88599999993</c:v>
                </c:pt>
                <c:pt idx="5">
                  <c:v>155402.2631999999</c:v>
                </c:pt>
                <c:pt idx="6">
                  <c:v>181302.64039999989</c:v>
                </c:pt>
                <c:pt idx="7">
                  <c:v>207203.01759999988</c:v>
                </c:pt>
                <c:pt idx="8">
                  <c:v>233103.39479999986</c:v>
                </c:pt>
                <c:pt idx="9">
                  <c:v>259003.77199999985</c:v>
                </c:pt>
                <c:pt idx="10">
                  <c:v>284904.14919999981</c:v>
                </c:pt>
                <c:pt idx="11">
                  <c:v>310804.5263999998</c:v>
                </c:pt>
              </c:numCache>
            </c:numRef>
          </c:val>
          <c:extLst>
            <c:ext xmlns:c16="http://schemas.microsoft.com/office/drawing/2014/chart" uri="{C3380CC4-5D6E-409C-BE32-E72D297353CC}">
              <c16:uniqueId val="{00000000-7AD6-43AC-821F-18AFC0B018A4}"/>
            </c:ext>
          </c:extLst>
        </c:ser>
        <c:ser>
          <c:idx val="1"/>
          <c:order val="1"/>
          <c:tx>
            <c:strRef>
              <c:f>'Dashboard Workings'!$W$1</c:f>
              <c:strCache>
                <c:ptCount val="1"/>
                <c:pt idx="0">
                  <c:v>New</c:v>
                </c:pt>
              </c:strCache>
            </c:strRef>
          </c:tx>
          <c:spPr>
            <a:solidFill>
              <a:schemeClr val="accent2"/>
            </a:solidFill>
            <a:ln>
              <a:gradFill flip="none" rotWithShape="1">
                <a:gsLst>
                  <a:gs pos="0">
                    <a:schemeClr val="accent2">
                      <a:lumMod val="60000"/>
                      <a:lumOff val="40000"/>
                    </a:schemeClr>
                  </a:gs>
                  <a:gs pos="45000">
                    <a:schemeClr val="accent2">
                      <a:lumMod val="75000"/>
                    </a:schemeClr>
                  </a:gs>
                  <a:gs pos="100000">
                    <a:schemeClr val="accent2"/>
                  </a:gs>
                </a:gsLst>
                <a:lin ang="2700000" scaled="1"/>
                <a:tileRect/>
              </a:gradFill>
            </a:ln>
            <a:effectLst/>
          </c:spPr>
          <c:invertIfNegative val="0"/>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Workings'!$W$2:$W$13</c:f>
              <c:numCache>
                <c:formatCode>_-[$£-809]* #,##0.00_-;\-[$£-809]* #,##0.00_-;_-[$£-809]* "-"??_-;_-@_-</c:formatCode>
                <c:ptCount val="12"/>
                <c:pt idx="0">
                  <c:v>45788.769199999952</c:v>
                </c:pt>
                <c:pt idx="1">
                  <c:v>91577.538399999903</c:v>
                </c:pt>
                <c:pt idx="2">
                  <c:v>137366.30759999985</c:v>
                </c:pt>
                <c:pt idx="3">
                  <c:v>183155.07679999981</c:v>
                </c:pt>
                <c:pt idx="4">
                  <c:v>228943.84599999976</c:v>
                </c:pt>
                <c:pt idx="5">
                  <c:v>274732.61519999971</c:v>
                </c:pt>
                <c:pt idx="6">
                  <c:v>320521.38439999963</c:v>
                </c:pt>
                <c:pt idx="7">
                  <c:v>366310.15359999961</c:v>
                </c:pt>
                <c:pt idx="8">
                  <c:v>412098.92279999959</c:v>
                </c:pt>
                <c:pt idx="9">
                  <c:v>457887.69199999957</c:v>
                </c:pt>
                <c:pt idx="10">
                  <c:v>503676.46119999955</c:v>
                </c:pt>
                <c:pt idx="11">
                  <c:v>549465.23039999953</c:v>
                </c:pt>
              </c:numCache>
            </c:numRef>
          </c:val>
          <c:extLst>
            <c:ext xmlns:c16="http://schemas.microsoft.com/office/drawing/2014/chart" uri="{C3380CC4-5D6E-409C-BE32-E72D297353CC}">
              <c16:uniqueId val="{00000001-7AD6-43AC-821F-18AFC0B018A4}"/>
            </c:ext>
          </c:extLst>
        </c:ser>
        <c:dLbls>
          <c:showLegendKey val="0"/>
          <c:showVal val="0"/>
          <c:showCatName val="0"/>
          <c:showSerName val="0"/>
          <c:showPercent val="0"/>
          <c:showBubbleSize val="0"/>
        </c:dLbls>
        <c:gapWidth val="219"/>
        <c:axId val="1527499696"/>
        <c:axId val="1527495536"/>
      </c:barChart>
      <c:lineChart>
        <c:grouping val="standard"/>
        <c:varyColors val="0"/>
        <c:ser>
          <c:idx val="2"/>
          <c:order val="2"/>
          <c:tx>
            <c:strRef>
              <c:f>'Dashboard Workings'!$X$1</c:f>
              <c:strCache>
                <c:ptCount val="1"/>
                <c:pt idx="0">
                  <c:v>Savings</c:v>
                </c:pt>
              </c:strCache>
            </c:strRef>
          </c:tx>
          <c:spPr>
            <a:ln w="28575" cap="rnd">
              <a:gradFill>
                <a:gsLst>
                  <a:gs pos="0">
                    <a:schemeClr val="accent6"/>
                  </a:gs>
                  <a:gs pos="74000">
                    <a:schemeClr val="accent6">
                      <a:lumMod val="75000"/>
                    </a:schemeClr>
                  </a:gs>
                  <a:gs pos="100000">
                    <a:schemeClr val="accent6">
                      <a:lumMod val="60000"/>
                      <a:lumOff val="40000"/>
                    </a:schemeClr>
                  </a:gs>
                </a:gsLst>
                <a:lin ang="5400000" scaled="1"/>
              </a:gradFill>
              <a:prstDash val="sysDot"/>
              <a:round/>
            </a:ln>
            <a:effectLst/>
          </c:spPr>
          <c:marker>
            <c:symbol val="none"/>
          </c:marker>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Workings'!$X$2:$X$13</c:f>
              <c:numCache>
                <c:formatCode>_-[$£-809]* #,##0.00_-;\-[$£-809]* #,##0.00_-;_-[$£-809]* "-"??_-;_-@_-</c:formatCode>
                <c:ptCount val="12"/>
                <c:pt idx="0">
                  <c:v>-19888.391999999967</c:v>
                </c:pt>
                <c:pt idx="1">
                  <c:v>-39776.783999999934</c:v>
                </c:pt>
                <c:pt idx="2">
                  <c:v>-59665.175999999905</c:v>
                </c:pt>
                <c:pt idx="3">
                  <c:v>-79553.567999999868</c:v>
                </c:pt>
                <c:pt idx="4">
                  <c:v>-99441.959999999832</c:v>
                </c:pt>
                <c:pt idx="5">
                  <c:v>-119330.35199999981</c:v>
                </c:pt>
                <c:pt idx="6">
                  <c:v>-139218.74399999974</c:v>
                </c:pt>
                <c:pt idx="7">
                  <c:v>-159107.13599999974</c:v>
                </c:pt>
                <c:pt idx="8">
                  <c:v>-178995.52799999973</c:v>
                </c:pt>
                <c:pt idx="9">
                  <c:v>-198883.91999999972</c:v>
                </c:pt>
                <c:pt idx="10">
                  <c:v>-218772.31199999974</c:v>
                </c:pt>
                <c:pt idx="11">
                  <c:v>-238660.70399999974</c:v>
                </c:pt>
              </c:numCache>
            </c:numRef>
          </c:val>
          <c:smooth val="0"/>
          <c:extLst>
            <c:ext xmlns:c16="http://schemas.microsoft.com/office/drawing/2014/chart" uri="{C3380CC4-5D6E-409C-BE32-E72D297353CC}">
              <c16:uniqueId val="{00000002-7AD6-43AC-821F-18AFC0B018A4}"/>
            </c:ext>
          </c:extLst>
        </c:ser>
        <c:dLbls>
          <c:showLegendKey val="0"/>
          <c:showVal val="0"/>
          <c:showCatName val="0"/>
          <c:showSerName val="0"/>
          <c:showPercent val="0"/>
          <c:showBubbleSize val="0"/>
        </c:dLbls>
        <c:marker val="1"/>
        <c:smooth val="0"/>
        <c:axId val="1199864688"/>
        <c:axId val="1199859696"/>
      </c:lineChart>
      <c:catAx>
        <c:axId val="119986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9859696"/>
        <c:crosses val="autoZero"/>
        <c:auto val="1"/>
        <c:lblAlgn val="ctr"/>
        <c:lblOffset val="100"/>
        <c:noMultiLvlLbl val="0"/>
      </c:catAx>
      <c:valAx>
        <c:axId val="1199859696"/>
        <c:scaling>
          <c:orientation val="minMax"/>
        </c:scaling>
        <c:delete val="0"/>
        <c:axPos val="l"/>
        <c:majorGridlines>
          <c:spPr>
            <a:ln w="9525" cap="flat" cmpd="sng" algn="ctr">
              <a:solidFill>
                <a:schemeClr val="tx1">
                  <a:lumMod val="15000"/>
                  <a:lumOff val="85000"/>
                </a:schemeClr>
              </a:solidFill>
              <a:round/>
            </a:ln>
            <a:effectLst/>
          </c:spPr>
        </c:majorGridlines>
        <c:numFmt formatCode="_-[$£-809]* #,##0.00_-;\-[$£-809]* #,##0.0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9864688"/>
        <c:crosses val="autoZero"/>
        <c:crossBetween val="between"/>
      </c:valAx>
      <c:valAx>
        <c:axId val="1527495536"/>
        <c:scaling>
          <c:orientation val="minMax"/>
        </c:scaling>
        <c:delete val="0"/>
        <c:axPos val="r"/>
        <c:numFmt formatCode="_-[$£-809]* #,##0.00_-;\-[$£-809]* #,##0.00_-;_-[$£-809]*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27499696"/>
        <c:crosses val="max"/>
        <c:crossBetween val="between"/>
      </c:valAx>
      <c:catAx>
        <c:axId val="1527499696"/>
        <c:scaling>
          <c:orientation val="minMax"/>
        </c:scaling>
        <c:delete val="1"/>
        <c:axPos val="b"/>
        <c:numFmt formatCode="General" sourceLinked="1"/>
        <c:majorTickMark val="out"/>
        <c:minorTickMark val="none"/>
        <c:tickLblPos val="nextTo"/>
        <c:crossAx val="15274955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'Dashboard Workings'!$V$1</c:f>
              <c:strCache>
                <c:ptCount val="1"/>
                <c:pt idx="0">
                  <c:v>Current</c:v>
                </c:pt>
              </c:strCache>
            </c:strRef>
          </c:tx>
          <c:spPr>
            <a:solidFill>
              <a:schemeClr val="accent1"/>
            </a:solidFill>
            <a:ln>
              <a:gradFill>
                <a:gsLst>
                  <a:gs pos="0">
                    <a:schemeClr val="accent1">
                      <a:lumMod val="40000"/>
                      <a:lumOff val="60000"/>
                    </a:schemeClr>
                  </a:gs>
                  <a:gs pos="43000">
                    <a:schemeClr val="accent1">
                      <a:lumMod val="75000"/>
                    </a:schemeClr>
                  </a:gs>
                  <a:gs pos="100000">
                    <a:schemeClr val="accent1"/>
                  </a:gs>
                </a:gsLst>
                <a:lin ang="5400000" scaled="1"/>
              </a:gradFill>
            </a:ln>
            <a:effectLst/>
          </c:spPr>
          <c:invertIfNegative val="0"/>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Workings'!$V$2:$V$13</c:f>
              <c:numCache>
                <c:formatCode>_-[$£-809]* #,##0.00_-;\-[$£-809]* #,##0.00_-;_-[$£-809]* "-"??_-;_-@_-</c:formatCode>
                <c:ptCount val="12"/>
                <c:pt idx="0">
                  <c:v>25900.377199999984</c:v>
                </c:pt>
                <c:pt idx="1">
                  <c:v>51800.754399999969</c:v>
                </c:pt>
                <c:pt idx="2">
                  <c:v>77701.13159999995</c:v>
                </c:pt>
                <c:pt idx="3">
                  <c:v>103601.50879999994</c:v>
                </c:pt>
                <c:pt idx="4">
                  <c:v>129501.88599999993</c:v>
                </c:pt>
                <c:pt idx="5">
                  <c:v>155402.2631999999</c:v>
                </c:pt>
                <c:pt idx="6">
                  <c:v>181302.64039999989</c:v>
                </c:pt>
                <c:pt idx="7">
                  <c:v>207203.01759999988</c:v>
                </c:pt>
                <c:pt idx="8">
                  <c:v>233103.39479999986</c:v>
                </c:pt>
                <c:pt idx="9">
                  <c:v>259003.77199999985</c:v>
                </c:pt>
                <c:pt idx="10">
                  <c:v>284904.14919999981</c:v>
                </c:pt>
                <c:pt idx="11">
                  <c:v>310804.5263999998</c:v>
                </c:pt>
              </c:numCache>
            </c:numRef>
          </c:val>
          <c:extLst>
            <c:ext xmlns:c16="http://schemas.microsoft.com/office/drawing/2014/chart" uri="{C3380CC4-5D6E-409C-BE32-E72D297353CC}">
              <c16:uniqueId val="{00000000-A5C3-4092-AC71-28A18409154D}"/>
            </c:ext>
          </c:extLst>
        </c:ser>
        <c:ser>
          <c:idx val="1"/>
          <c:order val="1"/>
          <c:tx>
            <c:strRef>
              <c:f>'Dashboard Workings'!$W$1</c:f>
              <c:strCache>
                <c:ptCount val="1"/>
                <c:pt idx="0">
                  <c:v>New</c:v>
                </c:pt>
              </c:strCache>
            </c:strRef>
          </c:tx>
          <c:spPr>
            <a:solidFill>
              <a:schemeClr val="accent2"/>
            </a:solidFill>
            <a:ln>
              <a:gradFill flip="none" rotWithShape="1">
                <a:gsLst>
                  <a:gs pos="0">
                    <a:schemeClr val="accent2">
                      <a:lumMod val="60000"/>
                      <a:lumOff val="40000"/>
                    </a:schemeClr>
                  </a:gs>
                  <a:gs pos="45000">
                    <a:schemeClr val="accent2">
                      <a:lumMod val="75000"/>
                    </a:schemeClr>
                  </a:gs>
                  <a:gs pos="100000">
                    <a:schemeClr val="accent2"/>
                  </a:gs>
                </a:gsLst>
                <a:lin ang="2700000" scaled="1"/>
                <a:tileRect/>
              </a:gradFill>
            </a:ln>
            <a:effectLst/>
          </c:spPr>
          <c:invertIfNegative val="0"/>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Workings'!$W$2:$W$13</c:f>
              <c:numCache>
                <c:formatCode>_-[$£-809]* #,##0.00_-;\-[$£-809]* #,##0.00_-;_-[$£-809]* "-"??_-;_-@_-</c:formatCode>
                <c:ptCount val="12"/>
                <c:pt idx="0">
                  <c:v>45788.769199999952</c:v>
                </c:pt>
                <c:pt idx="1">
                  <c:v>91577.538399999903</c:v>
                </c:pt>
                <c:pt idx="2">
                  <c:v>137366.30759999985</c:v>
                </c:pt>
                <c:pt idx="3">
                  <c:v>183155.07679999981</c:v>
                </c:pt>
                <c:pt idx="4">
                  <c:v>228943.84599999976</c:v>
                </c:pt>
                <c:pt idx="5">
                  <c:v>274732.61519999971</c:v>
                </c:pt>
                <c:pt idx="6">
                  <c:v>320521.38439999963</c:v>
                </c:pt>
                <c:pt idx="7">
                  <c:v>366310.15359999961</c:v>
                </c:pt>
                <c:pt idx="8">
                  <c:v>412098.92279999959</c:v>
                </c:pt>
                <c:pt idx="9">
                  <c:v>457887.69199999957</c:v>
                </c:pt>
                <c:pt idx="10">
                  <c:v>503676.46119999955</c:v>
                </c:pt>
                <c:pt idx="11">
                  <c:v>549465.23039999953</c:v>
                </c:pt>
              </c:numCache>
            </c:numRef>
          </c:val>
          <c:extLst>
            <c:ext xmlns:c16="http://schemas.microsoft.com/office/drawing/2014/chart" uri="{C3380CC4-5D6E-409C-BE32-E72D297353CC}">
              <c16:uniqueId val="{00000001-A5C3-4092-AC71-28A18409154D}"/>
            </c:ext>
          </c:extLst>
        </c:ser>
        <c:dLbls>
          <c:showLegendKey val="0"/>
          <c:showVal val="0"/>
          <c:showCatName val="0"/>
          <c:showSerName val="0"/>
          <c:showPercent val="0"/>
          <c:showBubbleSize val="0"/>
        </c:dLbls>
        <c:gapWidth val="219"/>
        <c:axId val="1527499696"/>
        <c:axId val="1527495536"/>
      </c:barChart>
      <c:lineChart>
        <c:grouping val="standard"/>
        <c:varyColors val="0"/>
        <c:ser>
          <c:idx val="2"/>
          <c:order val="2"/>
          <c:tx>
            <c:strRef>
              <c:f>'Dashboard Workings'!$X$1</c:f>
              <c:strCache>
                <c:ptCount val="1"/>
                <c:pt idx="0">
                  <c:v>Savings</c:v>
                </c:pt>
              </c:strCache>
            </c:strRef>
          </c:tx>
          <c:spPr>
            <a:ln w="28575" cap="rnd">
              <a:gradFill>
                <a:gsLst>
                  <a:gs pos="0">
                    <a:schemeClr val="accent6"/>
                  </a:gs>
                  <a:gs pos="74000">
                    <a:schemeClr val="accent6">
                      <a:lumMod val="75000"/>
                    </a:schemeClr>
                  </a:gs>
                  <a:gs pos="100000">
                    <a:schemeClr val="accent6">
                      <a:lumMod val="60000"/>
                      <a:lumOff val="40000"/>
                    </a:schemeClr>
                  </a:gs>
                </a:gsLst>
                <a:lin ang="5400000" scaled="1"/>
              </a:gradFill>
              <a:prstDash val="sysDot"/>
              <a:round/>
            </a:ln>
            <a:effectLst/>
          </c:spPr>
          <c:marker>
            <c:symbol val="none"/>
          </c:marker>
          <c:cat>
            <c:strRef>
              <c:f>'Dashboard Workings'!$U$2:$U$13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Workings'!$X$2:$X$13</c:f>
              <c:numCache>
                <c:formatCode>_-[$£-809]* #,##0.00_-;\-[$£-809]* #,##0.00_-;_-[$£-809]* "-"??_-;_-@_-</c:formatCode>
                <c:ptCount val="12"/>
                <c:pt idx="0">
                  <c:v>-19888.391999999967</c:v>
                </c:pt>
                <c:pt idx="1">
                  <c:v>-39776.783999999934</c:v>
                </c:pt>
                <c:pt idx="2">
                  <c:v>-59665.175999999905</c:v>
                </c:pt>
                <c:pt idx="3">
                  <c:v>-79553.567999999868</c:v>
                </c:pt>
                <c:pt idx="4">
                  <c:v>-99441.959999999832</c:v>
                </c:pt>
                <c:pt idx="5">
                  <c:v>-119330.35199999981</c:v>
                </c:pt>
                <c:pt idx="6">
                  <c:v>-139218.74399999974</c:v>
                </c:pt>
                <c:pt idx="7">
                  <c:v>-159107.13599999974</c:v>
                </c:pt>
                <c:pt idx="8">
                  <c:v>-178995.52799999973</c:v>
                </c:pt>
                <c:pt idx="9">
                  <c:v>-198883.91999999972</c:v>
                </c:pt>
                <c:pt idx="10">
                  <c:v>-218772.31199999974</c:v>
                </c:pt>
                <c:pt idx="11">
                  <c:v>-238660.70399999974</c:v>
                </c:pt>
              </c:numCache>
            </c:numRef>
          </c:val>
          <c:smooth val="0"/>
          <c:extLst>
            <c:ext xmlns:c16="http://schemas.microsoft.com/office/drawing/2014/chart" uri="{C3380CC4-5D6E-409C-BE32-E72D297353CC}">
              <c16:uniqueId val="{00000002-A5C3-4092-AC71-28A18409154D}"/>
            </c:ext>
          </c:extLst>
        </c:ser>
        <c:dLbls>
          <c:showLegendKey val="0"/>
          <c:showVal val="0"/>
          <c:showCatName val="0"/>
          <c:showSerName val="0"/>
          <c:showPercent val="0"/>
          <c:showBubbleSize val="0"/>
        </c:dLbls>
        <c:marker val="1"/>
        <c:smooth val="0"/>
        <c:axId val="1199864688"/>
        <c:axId val="1199859696"/>
      </c:lineChart>
      <c:catAx>
        <c:axId val="119986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9859696"/>
        <c:crosses val="autoZero"/>
        <c:auto val="1"/>
        <c:lblAlgn val="ctr"/>
        <c:lblOffset val="100"/>
        <c:noMultiLvlLbl val="0"/>
      </c:catAx>
      <c:valAx>
        <c:axId val="1199859696"/>
        <c:scaling>
          <c:orientation val="minMax"/>
        </c:scaling>
        <c:delete val="0"/>
        <c:axPos val="l"/>
        <c:majorGridlines>
          <c:spPr>
            <a:ln w="9525" cap="flat" cmpd="sng" algn="ctr">
              <a:solidFill>
                <a:schemeClr val="tx1">
                  <a:lumMod val="15000"/>
                  <a:lumOff val="85000"/>
                </a:schemeClr>
              </a:solidFill>
              <a:round/>
            </a:ln>
            <a:effectLst/>
          </c:spPr>
        </c:majorGridlines>
        <c:numFmt formatCode="_-[$£-809]* #,##0.00_-;\-[$£-809]* #,##0.0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99864688"/>
        <c:crosses val="autoZero"/>
        <c:crossBetween val="between"/>
      </c:valAx>
      <c:valAx>
        <c:axId val="1527495536"/>
        <c:scaling>
          <c:orientation val="minMax"/>
        </c:scaling>
        <c:delete val="0"/>
        <c:axPos val="r"/>
        <c:numFmt formatCode="_-[$£-809]* #,##0.00_-;\-[$£-809]* #,##0.00_-;_-[$£-809]*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27499696"/>
        <c:crosses val="max"/>
        <c:crossBetween val="between"/>
      </c:valAx>
      <c:catAx>
        <c:axId val="1527499696"/>
        <c:scaling>
          <c:orientation val="minMax"/>
        </c:scaling>
        <c:delete val="1"/>
        <c:axPos val="b"/>
        <c:numFmt formatCode="General" sourceLinked="1"/>
        <c:majorTickMark val="out"/>
        <c:minorTickMark val="none"/>
        <c:tickLblPos val="nextTo"/>
        <c:crossAx val="15274955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Dashboard_VMCosts_#'!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Dashboard_VMCosts_1!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Dashboard_VMCosts_1!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581025</xdr:colOff>
      <xdr:row>2</xdr:row>
      <xdr:rowOff>47625</xdr:rowOff>
    </xdr:from>
    <xdr:to>
      <xdr:col>28</xdr:col>
      <xdr:colOff>495300</xdr:colOff>
      <xdr:row>36</xdr:row>
      <xdr:rowOff>171450</xdr:rowOff>
    </xdr:to>
    <xdr:sp macro="" textlink="">
      <xdr:nvSpPr>
        <xdr:cNvPr id="2" name="Rectangle: Rounded Corners 1">
          <a:extLst>
            <a:ext uri="{FF2B5EF4-FFF2-40B4-BE49-F238E27FC236}">
              <a16:creationId xmlns:a16="http://schemas.microsoft.com/office/drawing/2014/main" id="{FD711623-14B2-4D39-9285-501BFE3B868C}"/>
            </a:ext>
          </a:extLst>
        </xdr:cNvPr>
        <xdr:cNvSpPr/>
      </xdr:nvSpPr>
      <xdr:spPr>
        <a:xfrm>
          <a:off x="581025" y="428625"/>
          <a:ext cx="16983075" cy="6600825"/>
        </a:xfrm>
        <a:prstGeom prst="roundRect">
          <a:avLst>
            <a:gd name="adj" fmla="val 10606"/>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19770</xdr:colOff>
      <xdr:row>2</xdr:row>
      <xdr:rowOff>33617</xdr:rowOff>
    </xdr:from>
    <xdr:to>
      <xdr:col>28</xdr:col>
      <xdr:colOff>546366</xdr:colOff>
      <xdr:row>36</xdr:row>
      <xdr:rowOff>169768</xdr:rowOff>
    </xdr:to>
    <xdr:sp macro="" textlink="">
      <xdr:nvSpPr>
        <xdr:cNvPr id="3" name="Rectangle: Rounded Corners 2">
          <a:extLst>
            <a:ext uri="{FF2B5EF4-FFF2-40B4-BE49-F238E27FC236}">
              <a16:creationId xmlns:a16="http://schemas.microsoft.com/office/drawing/2014/main" id="{C5CE3777-7E0E-46F9-A736-0B54C9E79214}"/>
            </a:ext>
          </a:extLst>
        </xdr:cNvPr>
        <xdr:cNvSpPr/>
      </xdr:nvSpPr>
      <xdr:spPr>
        <a:xfrm>
          <a:off x="629370" y="414617"/>
          <a:ext cx="16985796" cy="6613151"/>
        </a:xfrm>
        <a:prstGeom prst="roundRect">
          <a:avLst>
            <a:gd name="adj" fmla="val 10606"/>
          </a:avLst>
        </a:prstGeom>
        <a:gradFill>
          <a:gsLst>
            <a:gs pos="0">
              <a:srgbClr val="1E2D31"/>
            </a:gs>
            <a:gs pos="30000">
              <a:srgbClr val="232227"/>
            </a:gs>
            <a:gs pos="100000">
              <a:srgbClr val="2F292D"/>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xdr:col>
      <xdr:colOff>19071</xdr:colOff>
      <xdr:row>0</xdr:row>
      <xdr:rowOff>176894</xdr:rowOff>
    </xdr:from>
    <xdr:to>
      <xdr:col>7</xdr:col>
      <xdr:colOff>40822</xdr:colOff>
      <xdr:row>10</xdr:row>
      <xdr:rowOff>109199</xdr:rowOff>
    </xdr:to>
    <xdr:pic>
      <xdr:nvPicPr>
        <xdr:cNvPr id="4" name="Picture 3">
          <a:extLst>
            <a:ext uri="{FF2B5EF4-FFF2-40B4-BE49-F238E27FC236}">
              <a16:creationId xmlns:a16="http://schemas.microsoft.com/office/drawing/2014/main" id="{127DF16E-14E2-476D-9A8E-9672410A9C9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28671" y="176894"/>
          <a:ext cx="3679351" cy="1837305"/>
        </a:xfrm>
        <a:prstGeom prst="rect">
          <a:avLst/>
        </a:prstGeom>
      </xdr:spPr>
    </xdr:pic>
    <xdr:clientData/>
  </xdr:twoCellAnchor>
  <xdr:twoCellAnchor>
    <xdr:from>
      <xdr:col>9</xdr:col>
      <xdr:colOff>251732</xdr:colOff>
      <xdr:row>4</xdr:row>
      <xdr:rowOff>38102</xdr:rowOff>
    </xdr:from>
    <xdr:to>
      <xdr:col>18</xdr:col>
      <xdr:colOff>159203</xdr:colOff>
      <xdr:row>6</xdr:row>
      <xdr:rowOff>187780</xdr:rowOff>
    </xdr:to>
    <xdr:sp macro="" textlink="">
      <xdr:nvSpPr>
        <xdr:cNvPr id="5" name="TextBox 4">
          <a:extLst>
            <a:ext uri="{FF2B5EF4-FFF2-40B4-BE49-F238E27FC236}">
              <a16:creationId xmlns:a16="http://schemas.microsoft.com/office/drawing/2014/main" id="{0E18E33B-850F-495C-8053-0366F3C0F69C}"/>
            </a:ext>
          </a:extLst>
        </xdr:cNvPr>
        <xdr:cNvSpPr txBox="1"/>
      </xdr:nvSpPr>
      <xdr:spPr>
        <a:xfrm>
          <a:off x="5738132" y="800102"/>
          <a:ext cx="539387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800" b="1">
              <a:solidFill>
                <a:schemeClr val="bg1"/>
              </a:solidFill>
              <a:latin typeface="Arial" panose="020B0604020202020204" pitchFamily="34" charset="0"/>
              <a:cs typeface="Arial" panose="020B0604020202020204" pitchFamily="34" charset="0"/>
            </a:rPr>
            <a:t>Comparisson of VM Costs</a:t>
          </a:r>
        </a:p>
      </xdr:txBody>
    </xdr:sp>
    <xdr:clientData/>
  </xdr:twoCellAnchor>
  <xdr:twoCellAnchor>
    <xdr:from>
      <xdr:col>23</xdr:col>
      <xdr:colOff>457920</xdr:colOff>
      <xdr:row>7</xdr:row>
      <xdr:rowOff>90767</xdr:rowOff>
    </xdr:from>
    <xdr:to>
      <xdr:col>28</xdr:col>
      <xdr:colOff>287908</xdr:colOff>
      <xdr:row>19</xdr:row>
      <xdr:rowOff>148115</xdr:rowOff>
    </xdr:to>
    <xdr:grpSp>
      <xdr:nvGrpSpPr>
        <xdr:cNvPr id="20" name="Group 19">
          <a:extLst>
            <a:ext uri="{FF2B5EF4-FFF2-40B4-BE49-F238E27FC236}">
              <a16:creationId xmlns:a16="http://schemas.microsoft.com/office/drawing/2014/main" id="{1DE8FDEA-39B8-4B89-A2DC-11E256D86BAB}"/>
            </a:ext>
          </a:extLst>
        </xdr:cNvPr>
        <xdr:cNvGrpSpPr/>
      </xdr:nvGrpSpPr>
      <xdr:grpSpPr>
        <a:xfrm>
          <a:off x="15163644" y="1378284"/>
          <a:ext cx="3026885" cy="2264521"/>
          <a:chOff x="4620986" y="1469572"/>
          <a:chExt cx="2877988" cy="2343348"/>
        </a:xfrm>
      </xdr:grpSpPr>
      <xdr:grpSp>
        <xdr:nvGrpSpPr>
          <xdr:cNvPr id="21" name="Group 20">
            <a:extLst>
              <a:ext uri="{FF2B5EF4-FFF2-40B4-BE49-F238E27FC236}">
                <a16:creationId xmlns:a16="http://schemas.microsoft.com/office/drawing/2014/main" id="{5F56AAF7-686C-40B2-8CCC-FEA410DDE0A8}"/>
              </a:ext>
            </a:extLst>
          </xdr:cNvPr>
          <xdr:cNvGrpSpPr/>
        </xdr:nvGrpSpPr>
        <xdr:grpSpPr>
          <a:xfrm>
            <a:off x="4620986" y="1469572"/>
            <a:ext cx="2877988" cy="2343348"/>
            <a:chOff x="4620986" y="1469572"/>
            <a:chExt cx="2877988" cy="2343348"/>
          </a:xfrm>
        </xdr:grpSpPr>
        <xdr:grpSp>
          <xdr:nvGrpSpPr>
            <xdr:cNvPr id="23" name="Group 22">
              <a:extLst>
                <a:ext uri="{FF2B5EF4-FFF2-40B4-BE49-F238E27FC236}">
                  <a16:creationId xmlns:a16="http://schemas.microsoft.com/office/drawing/2014/main" id="{5CEA405E-85AB-49FA-B8BC-894470510DFA}"/>
                </a:ext>
              </a:extLst>
            </xdr:cNvPr>
            <xdr:cNvGrpSpPr/>
          </xdr:nvGrpSpPr>
          <xdr:grpSpPr>
            <a:xfrm>
              <a:off x="4620986" y="1469572"/>
              <a:ext cx="2877988" cy="2343348"/>
              <a:chOff x="18369643" y="2286000"/>
              <a:chExt cx="2891595" cy="2343348"/>
            </a:xfrm>
          </xdr:grpSpPr>
          <xdr:sp macro="" textlink="">
            <xdr:nvSpPr>
              <xdr:cNvPr id="25" name="Freeform: Shape 24">
                <a:extLst>
                  <a:ext uri="{FF2B5EF4-FFF2-40B4-BE49-F238E27FC236}">
                    <a16:creationId xmlns:a16="http://schemas.microsoft.com/office/drawing/2014/main" id="{82A52D01-E24B-4770-825A-7060A394D5AF}"/>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gradFill>
                    <a:gsLst>
                      <a:gs pos="0">
                        <a:schemeClr val="accent2"/>
                      </a:gs>
                      <a:gs pos="17000">
                        <a:schemeClr val="accent2">
                          <a:lumMod val="75000"/>
                        </a:schemeClr>
                      </a:gs>
                      <a:gs pos="100000">
                        <a:schemeClr val="accent4"/>
                      </a:gs>
                    </a:gsLst>
                    <a:lin ang="2700000" scaled="1"/>
                  </a:gradFill>
                </a:endParaRPr>
              </a:p>
            </xdr:txBody>
          </xdr:sp>
          <xdr:sp macro="" textlink="">
            <xdr:nvSpPr>
              <xdr:cNvPr id="26" name="Freeform: Shape 25">
                <a:extLst>
                  <a:ext uri="{FF2B5EF4-FFF2-40B4-BE49-F238E27FC236}">
                    <a16:creationId xmlns:a16="http://schemas.microsoft.com/office/drawing/2014/main" id="{3A95BCAA-9EE5-419A-9822-96CDF84FAA68}"/>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24" name="TextBox 23">
              <a:extLst>
                <a:ext uri="{FF2B5EF4-FFF2-40B4-BE49-F238E27FC236}">
                  <a16:creationId xmlns:a16="http://schemas.microsoft.com/office/drawing/2014/main" id="{A3B7C80D-7911-4ADB-8418-9129C570D181}"/>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Savings</a:t>
              </a:r>
            </a:p>
          </xdr:txBody>
        </xdr:sp>
      </xdr:grpSp>
      <xdr:sp macro="" textlink="'Dashboard Workings'!D65">
        <xdr:nvSpPr>
          <xdr:cNvPr id="22" name="TextBox 21">
            <a:extLst>
              <a:ext uri="{FF2B5EF4-FFF2-40B4-BE49-F238E27FC236}">
                <a16:creationId xmlns:a16="http://schemas.microsoft.com/office/drawing/2014/main" id="{489EADE4-0CC6-4CB1-B090-B61B3913ACDE}"/>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3E3A04-E3FC-47EA-8FFC-3499D9C692D3}" type="TxLink">
              <a:rPr lang="en-US" sz="1600" b="1" i="0" u="none" strike="noStrike">
                <a:solidFill>
                  <a:schemeClr val="bg1"/>
                </a:solidFill>
                <a:latin typeface="Calibri"/>
                <a:cs typeface="Calibri"/>
              </a:rPr>
              <a:pPr algn="r"/>
              <a:t>£ -19888.39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9</xdr:col>
      <xdr:colOff>182336</xdr:colOff>
      <xdr:row>7</xdr:row>
      <xdr:rowOff>90767</xdr:rowOff>
    </xdr:from>
    <xdr:to>
      <xdr:col>14</xdr:col>
      <xdr:colOff>12324</xdr:colOff>
      <xdr:row>19</xdr:row>
      <xdr:rowOff>148115</xdr:rowOff>
    </xdr:to>
    <xdr:grpSp>
      <xdr:nvGrpSpPr>
        <xdr:cNvPr id="27" name="Group 26">
          <a:extLst>
            <a:ext uri="{FF2B5EF4-FFF2-40B4-BE49-F238E27FC236}">
              <a16:creationId xmlns:a16="http://schemas.microsoft.com/office/drawing/2014/main" id="{0D30EBBE-0937-4079-A02D-DFDA5B5054EE}"/>
            </a:ext>
          </a:extLst>
        </xdr:cNvPr>
        <xdr:cNvGrpSpPr/>
      </xdr:nvGrpSpPr>
      <xdr:grpSpPr>
        <a:xfrm>
          <a:off x="5936750" y="1378284"/>
          <a:ext cx="3026884" cy="2264521"/>
          <a:chOff x="4620986" y="1469572"/>
          <a:chExt cx="2877988" cy="2343348"/>
        </a:xfrm>
      </xdr:grpSpPr>
      <xdr:grpSp>
        <xdr:nvGrpSpPr>
          <xdr:cNvPr id="28" name="Group 27">
            <a:extLst>
              <a:ext uri="{FF2B5EF4-FFF2-40B4-BE49-F238E27FC236}">
                <a16:creationId xmlns:a16="http://schemas.microsoft.com/office/drawing/2014/main" id="{0DA3172C-D602-4C2E-B496-00FF8904191C}"/>
              </a:ext>
            </a:extLst>
          </xdr:cNvPr>
          <xdr:cNvGrpSpPr/>
        </xdr:nvGrpSpPr>
        <xdr:grpSpPr>
          <a:xfrm>
            <a:off x="4620986" y="1469572"/>
            <a:ext cx="2877988" cy="2343348"/>
            <a:chOff x="4620986" y="1469572"/>
            <a:chExt cx="2877988" cy="2343348"/>
          </a:xfrm>
        </xdr:grpSpPr>
        <xdr:grpSp>
          <xdr:nvGrpSpPr>
            <xdr:cNvPr id="30" name="Group 29">
              <a:extLst>
                <a:ext uri="{FF2B5EF4-FFF2-40B4-BE49-F238E27FC236}">
                  <a16:creationId xmlns:a16="http://schemas.microsoft.com/office/drawing/2014/main" id="{78D610A7-1C60-4DEC-BD2E-4E56584D8B7F}"/>
                </a:ext>
              </a:extLst>
            </xdr:cNvPr>
            <xdr:cNvGrpSpPr/>
          </xdr:nvGrpSpPr>
          <xdr:grpSpPr>
            <a:xfrm>
              <a:off x="4620986" y="1469572"/>
              <a:ext cx="2877988" cy="2343348"/>
              <a:chOff x="18369643" y="2286000"/>
              <a:chExt cx="2891595" cy="2343348"/>
            </a:xfrm>
          </xdr:grpSpPr>
          <xdr:sp macro="" textlink="">
            <xdr:nvSpPr>
              <xdr:cNvPr id="32" name="Freeform: Shape 31">
                <a:extLst>
                  <a:ext uri="{FF2B5EF4-FFF2-40B4-BE49-F238E27FC236}">
                    <a16:creationId xmlns:a16="http://schemas.microsoft.com/office/drawing/2014/main" id="{E73E726D-E8C4-4811-9470-CB902A5E64B5}"/>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sp macro="" textlink="">
            <xdr:nvSpPr>
              <xdr:cNvPr id="33" name="Freeform: Shape 32">
                <a:extLst>
                  <a:ext uri="{FF2B5EF4-FFF2-40B4-BE49-F238E27FC236}">
                    <a16:creationId xmlns:a16="http://schemas.microsoft.com/office/drawing/2014/main" id="{824C5DBF-5F2A-49E1-9BC5-16BC9F168E7A}"/>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31" name="TextBox 30">
              <a:extLst>
                <a:ext uri="{FF2B5EF4-FFF2-40B4-BE49-F238E27FC236}">
                  <a16:creationId xmlns:a16="http://schemas.microsoft.com/office/drawing/2014/main" id="{E4DF33DC-F4C9-4DC1-A125-BEFACB7F746D}"/>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RI</a:t>
              </a:r>
              <a:r>
                <a:rPr lang="en-ZA" sz="1600" b="1" baseline="0">
                  <a:solidFill>
                    <a:schemeClr val="bg1"/>
                  </a:solidFill>
                  <a:latin typeface="Arial" panose="020B0604020202020204" pitchFamily="34" charset="0"/>
                  <a:cs typeface="Arial" panose="020B0604020202020204" pitchFamily="34" charset="0"/>
                </a:rPr>
                <a:t> Monthly Cost</a:t>
              </a:r>
              <a:endParaRPr lang="en-ZA" sz="1600" b="1">
                <a:solidFill>
                  <a:schemeClr val="bg1"/>
                </a:solidFill>
                <a:latin typeface="Arial" panose="020B0604020202020204" pitchFamily="34" charset="0"/>
                <a:cs typeface="Arial" panose="020B0604020202020204" pitchFamily="34" charset="0"/>
              </a:endParaRPr>
            </a:p>
          </xdr:txBody>
        </xdr:sp>
      </xdr:grpSp>
      <xdr:sp macro="" textlink="'Dashboard Workings'!D66">
        <xdr:nvSpPr>
          <xdr:cNvPr id="29" name="TextBox 28">
            <a:extLst>
              <a:ext uri="{FF2B5EF4-FFF2-40B4-BE49-F238E27FC236}">
                <a16:creationId xmlns:a16="http://schemas.microsoft.com/office/drawing/2014/main" id="{7C53C6E6-A28B-4EC0-98F4-D79378402B03}"/>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961CB0B-D7D1-47E6-80CE-33B05F6DBFB3}" type="TxLink">
              <a:rPr lang="en-US" sz="1600" b="1" i="0" u="none" strike="noStrike">
                <a:solidFill>
                  <a:schemeClr val="bg1"/>
                </a:solidFill>
                <a:latin typeface="Calibri"/>
                <a:cs typeface="Calibri"/>
              </a:rPr>
              <a:pPr algn="r"/>
              <a:t>£ 12413.04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9</xdr:col>
      <xdr:colOff>229319</xdr:colOff>
      <xdr:row>19</xdr:row>
      <xdr:rowOff>166966</xdr:rowOff>
    </xdr:from>
    <xdr:to>
      <xdr:col>28</xdr:col>
      <xdr:colOff>408765</xdr:colOff>
      <xdr:row>35</xdr:row>
      <xdr:rowOff>190499</xdr:rowOff>
    </xdr:to>
    <xdr:grpSp>
      <xdr:nvGrpSpPr>
        <xdr:cNvPr id="35" name="Group 34">
          <a:extLst>
            <a:ext uri="{FF2B5EF4-FFF2-40B4-BE49-F238E27FC236}">
              <a16:creationId xmlns:a16="http://schemas.microsoft.com/office/drawing/2014/main" id="{FBDF4003-6111-4480-9C2A-78F4EBF5AED9}"/>
            </a:ext>
          </a:extLst>
        </xdr:cNvPr>
        <xdr:cNvGrpSpPr/>
      </xdr:nvGrpSpPr>
      <xdr:grpSpPr>
        <a:xfrm>
          <a:off x="5983733" y="3661656"/>
          <a:ext cx="12327653" cy="2960079"/>
          <a:chOff x="2991569" y="3767416"/>
          <a:chExt cx="11761846" cy="3071533"/>
        </a:xfrm>
      </xdr:grpSpPr>
      <xdr:sp macro="" textlink="">
        <xdr:nvSpPr>
          <xdr:cNvPr id="36" name="Rectangle: Rounded Corners 35">
            <a:extLst>
              <a:ext uri="{FF2B5EF4-FFF2-40B4-BE49-F238E27FC236}">
                <a16:creationId xmlns:a16="http://schemas.microsoft.com/office/drawing/2014/main" id="{ECD5D506-A085-4A43-8D27-2F8E26EC0912}"/>
              </a:ext>
            </a:extLst>
          </xdr:cNvPr>
          <xdr:cNvSpPr/>
        </xdr:nvSpPr>
        <xdr:spPr>
          <a:xfrm>
            <a:off x="2991569" y="3767416"/>
            <a:ext cx="11543581" cy="3071533"/>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7" name="Group 36">
            <a:extLst>
              <a:ext uri="{FF2B5EF4-FFF2-40B4-BE49-F238E27FC236}">
                <a16:creationId xmlns:a16="http://schemas.microsoft.com/office/drawing/2014/main" id="{0468516E-B4E1-45DC-8580-D20EAD1C12BF}"/>
              </a:ext>
            </a:extLst>
          </xdr:cNvPr>
          <xdr:cNvGrpSpPr/>
        </xdr:nvGrpSpPr>
        <xdr:grpSpPr>
          <a:xfrm>
            <a:off x="3094691" y="3867151"/>
            <a:ext cx="2055870" cy="2476500"/>
            <a:chOff x="3094691" y="3867151"/>
            <a:chExt cx="2055870" cy="2476500"/>
          </a:xfrm>
        </xdr:grpSpPr>
        <xdr:grpSp>
          <xdr:nvGrpSpPr>
            <xdr:cNvPr id="234" name="Group 233">
              <a:extLst>
                <a:ext uri="{FF2B5EF4-FFF2-40B4-BE49-F238E27FC236}">
                  <a16:creationId xmlns:a16="http://schemas.microsoft.com/office/drawing/2014/main" id="{90788C3D-3358-4F78-B946-9AF4B8987B30}"/>
                </a:ext>
              </a:extLst>
            </xdr:cNvPr>
            <xdr:cNvGrpSpPr/>
          </xdr:nvGrpSpPr>
          <xdr:grpSpPr>
            <a:xfrm>
              <a:off x="3094691" y="3867151"/>
              <a:ext cx="2055870" cy="2476500"/>
              <a:chOff x="3094691" y="3867151"/>
              <a:chExt cx="2055870" cy="2476500"/>
            </a:xfrm>
          </xdr:grpSpPr>
          <xdr:grpSp>
            <xdr:nvGrpSpPr>
              <xdr:cNvPr id="256" name="Group 255">
                <a:extLst>
                  <a:ext uri="{FF2B5EF4-FFF2-40B4-BE49-F238E27FC236}">
                    <a16:creationId xmlns:a16="http://schemas.microsoft.com/office/drawing/2014/main" id="{1DDB9167-87C1-4EBB-9C4C-E64495E102DF}"/>
                  </a:ext>
                </a:extLst>
              </xdr:cNvPr>
              <xdr:cNvGrpSpPr/>
            </xdr:nvGrpSpPr>
            <xdr:grpSpPr>
              <a:xfrm>
                <a:off x="3094691" y="3867151"/>
                <a:ext cx="1734484" cy="2476500"/>
                <a:chOff x="3094691" y="3867151"/>
                <a:chExt cx="1734484" cy="2476500"/>
              </a:xfrm>
            </xdr:grpSpPr>
            <xdr:sp macro="" textlink="">
              <xdr:nvSpPr>
                <xdr:cNvPr id="262" name="Rectangle: Rounded Corners 261">
                  <a:extLst>
                    <a:ext uri="{FF2B5EF4-FFF2-40B4-BE49-F238E27FC236}">
                      <a16:creationId xmlns:a16="http://schemas.microsoft.com/office/drawing/2014/main" id="{B4C276E8-54C8-42CE-9FDB-6FAB601CB38B}"/>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3" name="TextBox 262">
                  <a:extLst>
                    <a:ext uri="{FF2B5EF4-FFF2-40B4-BE49-F238E27FC236}">
                      <a16:creationId xmlns:a16="http://schemas.microsoft.com/office/drawing/2014/main" id="{EB6888FF-9568-40F0-A5C7-E896783BE44B}"/>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B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257" name="Group 256">
                <a:extLst>
                  <a:ext uri="{FF2B5EF4-FFF2-40B4-BE49-F238E27FC236}">
                    <a16:creationId xmlns:a16="http://schemas.microsoft.com/office/drawing/2014/main" id="{F734B7AE-4B13-493A-91F0-FA963D63CAFB}"/>
                  </a:ext>
                </a:extLst>
              </xdr:cNvPr>
              <xdr:cNvGrpSpPr/>
            </xdr:nvGrpSpPr>
            <xdr:grpSpPr>
              <a:xfrm>
                <a:off x="3095625" y="4276724"/>
                <a:ext cx="2054936" cy="304397"/>
                <a:chOff x="3095625" y="4229099"/>
                <a:chExt cx="2054936" cy="304397"/>
              </a:xfrm>
            </xdr:grpSpPr>
            <xdr:sp macro="" textlink="">
              <xdr:nvSpPr>
                <xdr:cNvPr id="258" name="Rectangle: Rounded Corners 257">
                  <a:extLst>
                    <a:ext uri="{FF2B5EF4-FFF2-40B4-BE49-F238E27FC236}">
                      <a16:creationId xmlns:a16="http://schemas.microsoft.com/office/drawing/2014/main" id="{665522B9-DCCA-43EC-B01C-351EEC8A53F3}"/>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9" name="Group 258">
                  <a:extLst>
                    <a:ext uri="{FF2B5EF4-FFF2-40B4-BE49-F238E27FC236}">
                      <a16:creationId xmlns:a16="http://schemas.microsoft.com/office/drawing/2014/main" id="{C3012AFB-ED6C-41A8-A9C0-02FE89E6C4EA}"/>
                    </a:ext>
                  </a:extLst>
                </xdr:cNvPr>
                <xdr:cNvGrpSpPr/>
              </xdr:nvGrpSpPr>
              <xdr:grpSpPr>
                <a:xfrm>
                  <a:off x="3152775" y="4238624"/>
                  <a:ext cx="1997786" cy="294872"/>
                  <a:chOff x="8410575" y="3800474"/>
                  <a:chExt cx="1997786" cy="294872"/>
                </a:xfrm>
              </xdr:grpSpPr>
              <xdr:sp macro="" textlink="">
                <xdr:nvSpPr>
                  <xdr:cNvPr id="260" name="TextBox 259">
                    <a:extLst>
                      <a:ext uri="{FF2B5EF4-FFF2-40B4-BE49-F238E27FC236}">
                        <a16:creationId xmlns:a16="http://schemas.microsoft.com/office/drawing/2014/main" id="{3C7794D1-DF99-4D18-BC03-31C31719C9AC}"/>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61" name="TextBox 260">
                    <a:extLst>
                      <a:ext uri="{FF2B5EF4-FFF2-40B4-BE49-F238E27FC236}">
                        <a16:creationId xmlns:a16="http://schemas.microsoft.com/office/drawing/2014/main" id="{E1226E69-742D-43A9-A1CB-81A801369ABE}"/>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235" name="Group 234">
              <a:extLst>
                <a:ext uri="{FF2B5EF4-FFF2-40B4-BE49-F238E27FC236}">
                  <a16:creationId xmlns:a16="http://schemas.microsoft.com/office/drawing/2014/main" id="{D2BB76F9-DB95-42F7-8E53-172731940FCC}"/>
                </a:ext>
              </a:extLst>
            </xdr:cNvPr>
            <xdr:cNvGrpSpPr/>
          </xdr:nvGrpSpPr>
          <xdr:grpSpPr>
            <a:xfrm>
              <a:off x="3162300" y="4615142"/>
              <a:ext cx="1715220" cy="1495022"/>
              <a:chOff x="3162300" y="4615142"/>
              <a:chExt cx="1715220" cy="1495022"/>
            </a:xfrm>
          </xdr:grpSpPr>
          <xdr:grpSp>
            <xdr:nvGrpSpPr>
              <xdr:cNvPr id="236" name="Group 235">
                <a:extLst>
                  <a:ext uri="{FF2B5EF4-FFF2-40B4-BE49-F238E27FC236}">
                    <a16:creationId xmlns:a16="http://schemas.microsoft.com/office/drawing/2014/main" id="{82FBBBF2-CE1B-4218-80C0-6BB0A0D6D9DD}"/>
                  </a:ext>
                </a:extLst>
              </xdr:cNvPr>
              <xdr:cNvGrpSpPr/>
            </xdr:nvGrpSpPr>
            <xdr:grpSpPr>
              <a:xfrm>
                <a:off x="3162300" y="4615142"/>
                <a:ext cx="1714500" cy="294872"/>
                <a:chOff x="3162300" y="4596092"/>
                <a:chExt cx="1714500" cy="294872"/>
              </a:xfrm>
            </xdr:grpSpPr>
            <xdr:sp macro="" textlink="">
              <xdr:nvSpPr>
                <xdr:cNvPr id="253" name="TextBox 252">
                  <a:extLst>
                    <a:ext uri="{FF2B5EF4-FFF2-40B4-BE49-F238E27FC236}">
                      <a16:creationId xmlns:a16="http://schemas.microsoft.com/office/drawing/2014/main" id="{800CD082-7515-46AA-A58D-5ACA969F1F6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B1ms</a:t>
                  </a:r>
                </a:p>
              </xdr:txBody>
            </xdr:sp>
            <xdr:sp macro="" textlink="'Dashboard Workings'!F2">
              <xdr:nvSpPr>
                <xdr:cNvPr id="254" name="TextBox 253">
                  <a:extLst>
                    <a:ext uri="{FF2B5EF4-FFF2-40B4-BE49-F238E27FC236}">
                      <a16:creationId xmlns:a16="http://schemas.microsoft.com/office/drawing/2014/main" id="{FBFBDFE2-8643-41AA-B983-16D4C7F8928E}"/>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F64D144-0D55-4E07-9FA9-5ADC4C6EAE4C}"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
              <xdr:nvSpPr>
                <xdr:cNvPr id="255" name="TextBox 254">
                  <a:extLst>
                    <a:ext uri="{FF2B5EF4-FFF2-40B4-BE49-F238E27FC236}">
                      <a16:creationId xmlns:a16="http://schemas.microsoft.com/office/drawing/2014/main" id="{1774CC99-8779-42BA-8DEE-23170B85A93A}"/>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7B3CF0-A7C1-45F3-B654-EA24435665CC}"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37" name="Group 236">
                <a:extLst>
                  <a:ext uri="{FF2B5EF4-FFF2-40B4-BE49-F238E27FC236}">
                    <a16:creationId xmlns:a16="http://schemas.microsoft.com/office/drawing/2014/main" id="{8C8713E1-9936-4469-B1D7-0340FAE90ABA}"/>
                  </a:ext>
                </a:extLst>
              </xdr:cNvPr>
              <xdr:cNvGrpSpPr/>
            </xdr:nvGrpSpPr>
            <xdr:grpSpPr>
              <a:xfrm>
                <a:off x="3162300" y="4919942"/>
                <a:ext cx="1714500" cy="294872"/>
                <a:chOff x="3162300" y="4596092"/>
                <a:chExt cx="1714500" cy="294872"/>
              </a:xfrm>
            </xdr:grpSpPr>
            <xdr:sp macro="" textlink="">
              <xdr:nvSpPr>
                <xdr:cNvPr id="250" name="TextBox 249">
                  <a:extLst>
                    <a:ext uri="{FF2B5EF4-FFF2-40B4-BE49-F238E27FC236}">
                      <a16:creationId xmlns:a16="http://schemas.microsoft.com/office/drawing/2014/main" id="{E4F5DE45-374B-4FC4-9E40-9DF2CC214484}"/>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B2ms</a:t>
                  </a:r>
                </a:p>
              </xdr:txBody>
            </xdr:sp>
            <xdr:sp macro="" textlink="'Dashboard Workings'!F3">
              <xdr:nvSpPr>
                <xdr:cNvPr id="251" name="TextBox 250">
                  <a:extLst>
                    <a:ext uri="{FF2B5EF4-FFF2-40B4-BE49-F238E27FC236}">
                      <a16:creationId xmlns:a16="http://schemas.microsoft.com/office/drawing/2014/main" id="{C4A3538E-7E97-4B0B-96B5-A96D56AF196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A7121F3-CC49-4CDC-A74A-1044FD6888E4}" type="TxLink">
                    <a:rPr lang="en-US" sz="1100" b="1" i="0" u="none" strike="noStrike">
                      <a:solidFill>
                        <a:schemeClr val="bg1"/>
                      </a:solidFill>
                      <a:latin typeface="Arial" panose="020B0604020202020204" pitchFamily="34" charset="0"/>
                      <a:cs typeface="Arial" panose="020B0604020202020204" pitchFamily="34" charset="0"/>
                    </a:rPr>
                    <a:pPr algn="ctr"/>
                    <a:t>1</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
              <xdr:nvSpPr>
                <xdr:cNvPr id="252" name="TextBox 251">
                  <a:extLst>
                    <a:ext uri="{FF2B5EF4-FFF2-40B4-BE49-F238E27FC236}">
                      <a16:creationId xmlns:a16="http://schemas.microsoft.com/office/drawing/2014/main" id="{436CBEB1-7EBB-43FB-8B0E-EBF962DAA869}"/>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98C339A-2EA4-485F-8E1A-F166E4F6800C}" type="TxLink">
                    <a:rPr lang="en-US" sz="1100" b="1" i="0" u="none" strike="noStrike">
                      <a:solidFill>
                        <a:schemeClr val="bg1"/>
                      </a:solidFill>
                      <a:latin typeface="Arial" panose="020B0604020202020204" pitchFamily="34" charset="0"/>
                      <a:cs typeface="Arial" panose="020B0604020202020204" pitchFamily="34" charset="0"/>
                    </a:rPr>
                    <a:pPr algn="r"/>
                    <a:t> £30.56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38" name="Group 237">
                <a:extLst>
                  <a:ext uri="{FF2B5EF4-FFF2-40B4-BE49-F238E27FC236}">
                    <a16:creationId xmlns:a16="http://schemas.microsoft.com/office/drawing/2014/main" id="{E7FE1578-8858-4893-88B0-80F01420B7E3}"/>
                  </a:ext>
                </a:extLst>
              </xdr:cNvPr>
              <xdr:cNvGrpSpPr/>
            </xdr:nvGrpSpPr>
            <xdr:grpSpPr>
              <a:xfrm>
                <a:off x="3163020" y="5224742"/>
                <a:ext cx="1714500" cy="294872"/>
                <a:chOff x="3162300" y="4596092"/>
                <a:chExt cx="1714500" cy="294872"/>
              </a:xfrm>
            </xdr:grpSpPr>
            <xdr:sp macro="" textlink="">
              <xdr:nvSpPr>
                <xdr:cNvPr id="247" name="TextBox 246">
                  <a:extLst>
                    <a:ext uri="{FF2B5EF4-FFF2-40B4-BE49-F238E27FC236}">
                      <a16:creationId xmlns:a16="http://schemas.microsoft.com/office/drawing/2014/main" id="{D8CD454B-7733-4D1D-BB70-C1C1D197011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B4ms</a:t>
                  </a:r>
                </a:p>
              </xdr:txBody>
            </xdr:sp>
            <xdr:sp macro="" textlink="'Dashboard Workings'!F4">
              <xdr:nvSpPr>
                <xdr:cNvPr id="248" name="TextBox 247">
                  <a:extLst>
                    <a:ext uri="{FF2B5EF4-FFF2-40B4-BE49-F238E27FC236}">
                      <a16:creationId xmlns:a16="http://schemas.microsoft.com/office/drawing/2014/main" id="{C6748291-EB9F-42C5-AD7B-CE09096BD162}"/>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82BA26-C446-4924-ACB0-6469AFF898DF}" type="TxLink">
                    <a:rPr lang="en-US" sz="1100" b="1" i="0" u="none" strike="noStrike">
                      <a:solidFill>
                        <a:schemeClr val="bg1"/>
                      </a:solidFill>
                      <a:latin typeface="Arial" panose="020B0604020202020204" pitchFamily="34" charset="0"/>
                      <a:cs typeface="Arial" panose="020B0604020202020204" pitchFamily="34" charset="0"/>
                    </a:rPr>
                    <a:pPr algn="ctr"/>
                    <a:t>2</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
              <xdr:nvSpPr>
                <xdr:cNvPr id="249" name="TextBox 248">
                  <a:extLst>
                    <a:ext uri="{FF2B5EF4-FFF2-40B4-BE49-F238E27FC236}">
                      <a16:creationId xmlns:a16="http://schemas.microsoft.com/office/drawing/2014/main" id="{E339C48B-3130-4586-8C42-87BEC9BEA9B3}"/>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DAC567-56D9-4BA4-822B-CCA06538F63A}" type="TxLink">
                    <a:rPr lang="en-US" sz="1100" b="1" i="0" u="none" strike="noStrike">
                      <a:solidFill>
                        <a:schemeClr val="bg1"/>
                      </a:solidFill>
                      <a:latin typeface="Arial" panose="020B0604020202020204" pitchFamily="34" charset="0"/>
                      <a:cs typeface="Arial" panose="020B0604020202020204" pitchFamily="34" charset="0"/>
                    </a:rPr>
                    <a:pPr algn="r"/>
                    <a:t> £122.23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39" name="Group 238">
                <a:extLst>
                  <a:ext uri="{FF2B5EF4-FFF2-40B4-BE49-F238E27FC236}">
                    <a16:creationId xmlns:a16="http://schemas.microsoft.com/office/drawing/2014/main" id="{B563B8B8-F828-4B16-8983-8E1A30F47A39}"/>
                  </a:ext>
                </a:extLst>
              </xdr:cNvPr>
              <xdr:cNvGrpSpPr/>
            </xdr:nvGrpSpPr>
            <xdr:grpSpPr>
              <a:xfrm>
                <a:off x="3163020" y="5520017"/>
                <a:ext cx="1714500" cy="294872"/>
                <a:chOff x="3162300" y="4596092"/>
                <a:chExt cx="1714500" cy="294872"/>
              </a:xfrm>
            </xdr:grpSpPr>
            <xdr:sp macro="" textlink="">
              <xdr:nvSpPr>
                <xdr:cNvPr id="244" name="TextBox 243">
                  <a:extLst>
                    <a:ext uri="{FF2B5EF4-FFF2-40B4-BE49-F238E27FC236}">
                      <a16:creationId xmlns:a16="http://schemas.microsoft.com/office/drawing/2014/main" id="{CBED45E6-F0F2-4E5B-AF6A-F9B96FE2B66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B8ms</a:t>
                  </a:r>
                </a:p>
              </xdr:txBody>
            </xdr:sp>
            <xdr:sp macro="" textlink="'Dashboard Workings'!F5">
              <xdr:nvSpPr>
                <xdr:cNvPr id="245" name="TextBox 244">
                  <a:extLst>
                    <a:ext uri="{FF2B5EF4-FFF2-40B4-BE49-F238E27FC236}">
                      <a16:creationId xmlns:a16="http://schemas.microsoft.com/office/drawing/2014/main" id="{65F46419-6EB0-4DE7-BBC4-14F195B8852C}"/>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5763BA4-3240-4E92-A45E-1BA49992C21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5">
              <xdr:nvSpPr>
                <xdr:cNvPr id="246" name="TextBox 245">
                  <a:extLst>
                    <a:ext uri="{FF2B5EF4-FFF2-40B4-BE49-F238E27FC236}">
                      <a16:creationId xmlns:a16="http://schemas.microsoft.com/office/drawing/2014/main" id="{0D4BD92C-CE93-437D-B591-20333FE2C349}"/>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132F9BF-117E-4699-A0A7-B1833CB7ABC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40" name="Group 239">
                <a:extLst>
                  <a:ext uri="{FF2B5EF4-FFF2-40B4-BE49-F238E27FC236}">
                    <a16:creationId xmlns:a16="http://schemas.microsoft.com/office/drawing/2014/main" id="{6DE60A16-967E-4D13-8189-74CAF29E9A7A}"/>
                  </a:ext>
                </a:extLst>
              </xdr:cNvPr>
              <xdr:cNvGrpSpPr/>
            </xdr:nvGrpSpPr>
            <xdr:grpSpPr>
              <a:xfrm>
                <a:off x="3163020" y="5815292"/>
                <a:ext cx="1714500" cy="294872"/>
                <a:chOff x="3162300" y="4596092"/>
                <a:chExt cx="1714500" cy="294872"/>
              </a:xfrm>
            </xdr:grpSpPr>
            <xdr:sp macro="" textlink="">
              <xdr:nvSpPr>
                <xdr:cNvPr id="241" name="TextBox 240">
                  <a:extLst>
                    <a:ext uri="{FF2B5EF4-FFF2-40B4-BE49-F238E27FC236}">
                      <a16:creationId xmlns:a16="http://schemas.microsoft.com/office/drawing/2014/main" id="{55BB5A2F-6FFB-4086-B4B6-C5126ECBB38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B12ms</a:t>
                  </a:r>
                </a:p>
              </xdr:txBody>
            </xdr:sp>
            <xdr:sp macro="" textlink="'Dashboard Workings'!F6">
              <xdr:nvSpPr>
                <xdr:cNvPr id="242" name="TextBox 241">
                  <a:extLst>
                    <a:ext uri="{FF2B5EF4-FFF2-40B4-BE49-F238E27FC236}">
                      <a16:creationId xmlns:a16="http://schemas.microsoft.com/office/drawing/2014/main" id="{595DB520-9CE5-4698-86A7-E93B57DAEE8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E964E1-F41E-4196-88CF-14EC79A9C6D1}"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6">
              <xdr:nvSpPr>
                <xdr:cNvPr id="243" name="TextBox 242">
                  <a:extLst>
                    <a:ext uri="{FF2B5EF4-FFF2-40B4-BE49-F238E27FC236}">
                      <a16:creationId xmlns:a16="http://schemas.microsoft.com/office/drawing/2014/main" id="{9DD617BF-8100-41E1-B85B-28CAFA89F26C}"/>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8C9B475-E780-4F70-9339-433B7D0867D4}"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38" name="Group 37">
            <a:extLst>
              <a:ext uri="{FF2B5EF4-FFF2-40B4-BE49-F238E27FC236}">
                <a16:creationId xmlns:a16="http://schemas.microsoft.com/office/drawing/2014/main" id="{21C695D7-3F21-4F45-9FA2-AACB8023197A}"/>
              </a:ext>
            </a:extLst>
          </xdr:cNvPr>
          <xdr:cNvGrpSpPr/>
        </xdr:nvGrpSpPr>
        <xdr:grpSpPr>
          <a:xfrm>
            <a:off x="3104216" y="6396317"/>
            <a:ext cx="1744729" cy="294872"/>
            <a:chOff x="3104216" y="6396317"/>
            <a:chExt cx="1744729" cy="294872"/>
          </a:xfrm>
        </xdr:grpSpPr>
        <xdr:sp macro="" textlink="">
          <xdr:nvSpPr>
            <xdr:cNvPr id="230" name="Rectangle: Rounded Corners 229">
              <a:extLst>
                <a:ext uri="{FF2B5EF4-FFF2-40B4-BE49-F238E27FC236}">
                  <a16:creationId xmlns:a16="http://schemas.microsoft.com/office/drawing/2014/main" id="{881DAD2B-FF67-409B-9EB2-B194D14FA3C7}"/>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31" name="Group 230">
              <a:extLst>
                <a:ext uri="{FF2B5EF4-FFF2-40B4-BE49-F238E27FC236}">
                  <a16:creationId xmlns:a16="http://schemas.microsoft.com/office/drawing/2014/main" id="{6202F724-69FC-4FB9-B4EA-63DDE24D03FD}"/>
                </a:ext>
              </a:extLst>
            </xdr:cNvPr>
            <xdr:cNvGrpSpPr/>
          </xdr:nvGrpSpPr>
          <xdr:grpSpPr>
            <a:xfrm>
              <a:off x="3134445" y="6396317"/>
              <a:ext cx="1714500" cy="294872"/>
              <a:chOff x="3162300" y="4596092"/>
              <a:chExt cx="1714500" cy="294872"/>
            </a:xfrm>
          </xdr:grpSpPr>
          <xdr:sp macro="" textlink="">
            <xdr:nvSpPr>
              <xdr:cNvPr id="232" name="TextBox 231">
                <a:extLst>
                  <a:ext uri="{FF2B5EF4-FFF2-40B4-BE49-F238E27FC236}">
                    <a16:creationId xmlns:a16="http://schemas.microsoft.com/office/drawing/2014/main" id="{D473EB41-E3EF-4498-8770-0922864DD2E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2">
            <xdr:nvSpPr>
              <xdr:cNvPr id="233" name="TextBox 232">
                <a:extLst>
                  <a:ext uri="{FF2B5EF4-FFF2-40B4-BE49-F238E27FC236}">
                    <a16:creationId xmlns:a16="http://schemas.microsoft.com/office/drawing/2014/main" id="{5DA6A2C0-54D0-4AF4-9BA1-6BC20457A188}"/>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8B2915C-CA93-46AC-A162-F21A16D4E41B}" type="TxLink">
                  <a:rPr lang="en-US" sz="1200" b="1" i="0" u="none" strike="noStrike">
                    <a:solidFill>
                      <a:srgbClr val="000000"/>
                    </a:solidFill>
                    <a:latin typeface="Calibri"/>
                    <a:cs typeface="Calibri"/>
                  </a:rPr>
                  <a:pPr algn="r"/>
                  <a:t> £152.79 </a:t>
                </a:fld>
                <a:endParaRPr lang="en-ZA" sz="1200" b="1">
                  <a:solidFill>
                    <a:schemeClr val="tx1">
                      <a:lumMod val="85000"/>
                      <a:lumOff val="15000"/>
                    </a:schemeClr>
                  </a:solidFill>
                  <a:latin typeface="Arial" panose="020B0604020202020204" pitchFamily="34" charset="0"/>
                  <a:cs typeface="Arial" panose="020B0604020202020204" pitchFamily="34" charset="0"/>
                </a:endParaRPr>
              </a:p>
            </xdr:txBody>
          </xdr:sp>
        </xdr:grpSp>
      </xdr:grpSp>
      <xdr:grpSp>
        <xdr:nvGrpSpPr>
          <xdr:cNvPr id="39" name="Group 38">
            <a:extLst>
              <a:ext uri="{FF2B5EF4-FFF2-40B4-BE49-F238E27FC236}">
                <a16:creationId xmlns:a16="http://schemas.microsoft.com/office/drawing/2014/main" id="{286541D0-1F8B-40AD-BF99-6C44D9047758}"/>
              </a:ext>
            </a:extLst>
          </xdr:cNvPr>
          <xdr:cNvGrpSpPr/>
        </xdr:nvGrpSpPr>
        <xdr:grpSpPr>
          <a:xfrm>
            <a:off x="5018741" y="3857626"/>
            <a:ext cx="2055870" cy="2476500"/>
            <a:chOff x="3094691" y="3867151"/>
            <a:chExt cx="2055870" cy="2476500"/>
          </a:xfrm>
        </xdr:grpSpPr>
        <xdr:grpSp>
          <xdr:nvGrpSpPr>
            <xdr:cNvPr id="204" name="Group 203">
              <a:extLst>
                <a:ext uri="{FF2B5EF4-FFF2-40B4-BE49-F238E27FC236}">
                  <a16:creationId xmlns:a16="http://schemas.microsoft.com/office/drawing/2014/main" id="{983F1DC8-1666-4900-8C5E-17C2C88AC9AC}"/>
                </a:ext>
              </a:extLst>
            </xdr:cNvPr>
            <xdr:cNvGrpSpPr/>
          </xdr:nvGrpSpPr>
          <xdr:grpSpPr>
            <a:xfrm>
              <a:off x="3094691" y="3867151"/>
              <a:ext cx="2055870" cy="2476500"/>
              <a:chOff x="3094691" y="3867151"/>
              <a:chExt cx="2055870" cy="2476500"/>
            </a:xfrm>
          </xdr:grpSpPr>
          <xdr:grpSp>
            <xdr:nvGrpSpPr>
              <xdr:cNvPr id="222" name="Group 221">
                <a:extLst>
                  <a:ext uri="{FF2B5EF4-FFF2-40B4-BE49-F238E27FC236}">
                    <a16:creationId xmlns:a16="http://schemas.microsoft.com/office/drawing/2014/main" id="{B87A62DF-3D02-4DC9-ADB9-8767FCC3FD41}"/>
                  </a:ext>
                </a:extLst>
              </xdr:cNvPr>
              <xdr:cNvGrpSpPr/>
            </xdr:nvGrpSpPr>
            <xdr:grpSpPr>
              <a:xfrm>
                <a:off x="3094691" y="3867151"/>
                <a:ext cx="1734484" cy="2476500"/>
                <a:chOff x="3094691" y="3867151"/>
                <a:chExt cx="1734484" cy="2476500"/>
              </a:xfrm>
            </xdr:grpSpPr>
            <xdr:sp macro="" textlink="">
              <xdr:nvSpPr>
                <xdr:cNvPr id="228" name="Rectangle: Rounded Corners 227">
                  <a:extLst>
                    <a:ext uri="{FF2B5EF4-FFF2-40B4-BE49-F238E27FC236}">
                      <a16:creationId xmlns:a16="http://schemas.microsoft.com/office/drawing/2014/main" id="{25AAFCB1-9981-4F5C-9D49-4FAE8C71C462}"/>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9" name="TextBox 228">
                  <a:extLst>
                    <a:ext uri="{FF2B5EF4-FFF2-40B4-BE49-F238E27FC236}">
                      <a16:creationId xmlns:a16="http://schemas.microsoft.com/office/drawing/2014/main" id="{00E692B3-3CB7-4F1F-95ED-1D61E34DDD79}"/>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223" name="Group 222">
                <a:extLst>
                  <a:ext uri="{FF2B5EF4-FFF2-40B4-BE49-F238E27FC236}">
                    <a16:creationId xmlns:a16="http://schemas.microsoft.com/office/drawing/2014/main" id="{37AE1433-5A0C-416C-A1C4-D47FBF08119D}"/>
                  </a:ext>
                </a:extLst>
              </xdr:cNvPr>
              <xdr:cNvGrpSpPr/>
            </xdr:nvGrpSpPr>
            <xdr:grpSpPr>
              <a:xfrm>
                <a:off x="3095625" y="4276724"/>
                <a:ext cx="2054936" cy="304397"/>
                <a:chOff x="3095625" y="4229099"/>
                <a:chExt cx="2054936" cy="304397"/>
              </a:xfrm>
            </xdr:grpSpPr>
            <xdr:sp macro="" textlink="">
              <xdr:nvSpPr>
                <xdr:cNvPr id="224" name="Rectangle: Rounded Corners 223">
                  <a:extLst>
                    <a:ext uri="{FF2B5EF4-FFF2-40B4-BE49-F238E27FC236}">
                      <a16:creationId xmlns:a16="http://schemas.microsoft.com/office/drawing/2014/main" id="{43DF2277-C2A7-4AFC-873C-572521CE80FB}"/>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25" name="Group 224">
                  <a:extLst>
                    <a:ext uri="{FF2B5EF4-FFF2-40B4-BE49-F238E27FC236}">
                      <a16:creationId xmlns:a16="http://schemas.microsoft.com/office/drawing/2014/main" id="{BB1D593A-F260-47AE-B88B-4CB9A1FC9475}"/>
                    </a:ext>
                  </a:extLst>
                </xdr:cNvPr>
                <xdr:cNvGrpSpPr/>
              </xdr:nvGrpSpPr>
              <xdr:grpSpPr>
                <a:xfrm>
                  <a:off x="3152775" y="4238624"/>
                  <a:ext cx="1997786" cy="294872"/>
                  <a:chOff x="8410575" y="3800474"/>
                  <a:chExt cx="1997786" cy="294872"/>
                </a:xfrm>
              </xdr:grpSpPr>
              <xdr:sp macro="" textlink="">
                <xdr:nvSpPr>
                  <xdr:cNvPr id="226" name="TextBox 225">
                    <a:extLst>
                      <a:ext uri="{FF2B5EF4-FFF2-40B4-BE49-F238E27FC236}">
                        <a16:creationId xmlns:a16="http://schemas.microsoft.com/office/drawing/2014/main" id="{685F7851-426A-467F-ABD0-86300EEE5AC6}"/>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27" name="TextBox 226">
                    <a:extLst>
                      <a:ext uri="{FF2B5EF4-FFF2-40B4-BE49-F238E27FC236}">
                        <a16:creationId xmlns:a16="http://schemas.microsoft.com/office/drawing/2014/main" id="{7D2325C8-8305-4A0D-84B7-B67DA5AC99FB}"/>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205" name="Group 204">
              <a:extLst>
                <a:ext uri="{FF2B5EF4-FFF2-40B4-BE49-F238E27FC236}">
                  <a16:creationId xmlns:a16="http://schemas.microsoft.com/office/drawing/2014/main" id="{2181A13F-35D8-46E0-82BD-4A75AD334CCD}"/>
                </a:ext>
              </a:extLst>
            </xdr:cNvPr>
            <xdr:cNvGrpSpPr/>
          </xdr:nvGrpSpPr>
          <xdr:grpSpPr>
            <a:xfrm>
              <a:off x="3162300" y="4615142"/>
              <a:ext cx="1715220" cy="1199747"/>
              <a:chOff x="3162300" y="4615142"/>
              <a:chExt cx="1715220" cy="1199747"/>
            </a:xfrm>
          </xdr:grpSpPr>
          <xdr:grpSp>
            <xdr:nvGrpSpPr>
              <xdr:cNvPr id="206" name="Group 205">
                <a:extLst>
                  <a:ext uri="{FF2B5EF4-FFF2-40B4-BE49-F238E27FC236}">
                    <a16:creationId xmlns:a16="http://schemas.microsoft.com/office/drawing/2014/main" id="{D8D6201D-FFA4-44D8-86F1-08B15EDB297A}"/>
                  </a:ext>
                </a:extLst>
              </xdr:cNvPr>
              <xdr:cNvGrpSpPr/>
            </xdr:nvGrpSpPr>
            <xdr:grpSpPr>
              <a:xfrm>
                <a:off x="3162300" y="4615142"/>
                <a:ext cx="1714501" cy="294872"/>
                <a:chOff x="3162300" y="4596092"/>
                <a:chExt cx="1714501" cy="294872"/>
              </a:xfrm>
            </xdr:grpSpPr>
            <xdr:sp macro="" textlink="">
              <xdr:nvSpPr>
                <xdr:cNvPr id="219" name="TextBox 218">
                  <a:extLst>
                    <a:ext uri="{FF2B5EF4-FFF2-40B4-BE49-F238E27FC236}">
                      <a16:creationId xmlns:a16="http://schemas.microsoft.com/office/drawing/2014/main" id="{A520CF99-94D6-4E74-BC67-0C9B2FBD4AF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 v3</a:t>
                  </a:r>
                </a:p>
              </xdr:txBody>
            </xdr:sp>
            <xdr:sp macro="" textlink="'Dashboard Workings'!F9">
              <xdr:nvSpPr>
                <xdr:cNvPr id="220" name="TextBox 219">
                  <a:extLst>
                    <a:ext uri="{FF2B5EF4-FFF2-40B4-BE49-F238E27FC236}">
                      <a16:creationId xmlns:a16="http://schemas.microsoft.com/office/drawing/2014/main" id="{43D063E4-8414-496E-AE23-F655C106C0CC}"/>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9252403-D400-401B-AB60-6F1C345C93C6}"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9">
              <xdr:nvSpPr>
                <xdr:cNvPr id="221" name="TextBox 220">
                  <a:extLst>
                    <a:ext uri="{FF2B5EF4-FFF2-40B4-BE49-F238E27FC236}">
                      <a16:creationId xmlns:a16="http://schemas.microsoft.com/office/drawing/2014/main" id="{EDAF207C-E3BF-4ECC-A04B-0809E43D694B}"/>
                    </a:ext>
                  </a:extLst>
                </xdr:cNvPr>
                <xdr:cNvSpPr txBox="1"/>
              </xdr:nvSpPr>
              <xdr:spPr>
                <a:xfrm>
                  <a:off x="4114801" y="4596092"/>
                  <a:ext cx="76200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6150AA8-FFD1-485A-A0F1-ABA79613275F}"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07" name="Group 206">
                <a:extLst>
                  <a:ext uri="{FF2B5EF4-FFF2-40B4-BE49-F238E27FC236}">
                    <a16:creationId xmlns:a16="http://schemas.microsoft.com/office/drawing/2014/main" id="{76C9147F-CCF3-4320-AB7C-80D7D6FB4880}"/>
                  </a:ext>
                </a:extLst>
              </xdr:cNvPr>
              <xdr:cNvGrpSpPr/>
            </xdr:nvGrpSpPr>
            <xdr:grpSpPr>
              <a:xfrm>
                <a:off x="3162300" y="4919942"/>
                <a:ext cx="1714500" cy="294872"/>
                <a:chOff x="3162300" y="4596092"/>
                <a:chExt cx="1714500" cy="294872"/>
              </a:xfrm>
            </xdr:grpSpPr>
            <xdr:sp macro="" textlink="">
              <xdr:nvSpPr>
                <xdr:cNvPr id="216" name="TextBox 215">
                  <a:extLst>
                    <a:ext uri="{FF2B5EF4-FFF2-40B4-BE49-F238E27FC236}">
                      <a16:creationId xmlns:a16="http://schemas.microsoft.com/office/drawing/2014/main" id="{FFADF54E-AC20-456E-B874-05B90F3AFA74}"/>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 v3</a:t>
                  </a:r>
                </a:p>
              </xdr:txBody>
            </xdr:sp>
            <xdr:sp macro="" textlink="'Dashboard Workings'!F10">
              <xdr:nvSpPr>
                <xdr:cNvPr id="217" name="TextBox 216">
                  <a:extLst>
                    <a:ext uri="{FF2B5EF4-FFF2-40B4-BE49-F238E27FC236}">
                      <a16:creationId xmlns:a16="http://schemas.microsoft.com/office/drawing/2014/main" id="{88AF9068-3D56-4347-8C59-60371FEACC3C}"/>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355F10-EE49-4BB8-A787-655E61E5A99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0">
              <xdr:nvSpPr>
                <xdr:cNvPr id="218" name="TextBox 217">
                  <a:extLst>
                    <a:ext uri="{FF2B5EF4-FFF2-40B4-BE49-F238E27FC236}">
                      <a16:creationId xmlns:a16="http://schemas.microsoft.com/office/drawing/2014/main" id="{3A47A6CC-4D70-47D6-ACFA-4B877C471ED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C19E15A-7497-47FF-8250-AADC3BB5382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08" name="Group 207">
                <a:extLst>
                  <a:ext uri="{FF2B5EF4-FFF2-40B4-BE49-F238E27FC236}">
                    <a16:creationId xmlns:a16="http://schemas.microsoft.com/office/drawing/2014/main" id="{61833732-269A-468A-A05E-7BEF34E01A84}"/>
                  </a:ext>
                </a:extLst>
              </xdr:cNvPr>
              <xdr:cNvGrpSpPr/>
            </xdr:nvGrpSpPr>
            <xdr:grpSpPr>
              <a:xfrm>
                <a:off x="3163020" y="5224742"/>
                <a:ext cx="1714500" cy="294872"/>
                <a:chOff x="3162300" y="4596092"/>
                <a:chExt cx="1714500" cy="294872"/>
              </a:xfrm>
            </xdr:grpSpPr>
            <xdr:sp macro="" textlink="">
              <xdr:nvSpPr>
                <xdr:cNvPr id="213" name="TextBox 212">
                  <a:extLst>
                    <a:ext uri="{FF2B5EF4-FFF2-40B4-BE49-F238E27FC236}">
                      <a16:creationId xmlns:a16="http://schemas.microsoft.com/office/drawing/2014/main" id="{397063F5-C18A-4B8D-B1D9-1D1991C2074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D13</a:t>
                  </a:r>
                </a:p>
              </xdr:txBody>
            </xdr:sp>
            <xdr:sp macro="" textlink="'Dashboard Workings'!F11">
              <xdr:nvSpPr>
                <xdr:cNvPr id="214" name="TextBox 213">
                  <a:extLst>
                    <a:ext uri="{FF2B5EF4-FFF2-40B4-BE49-F238E27FC236}">
                      <a16:creationId xmlns:a16="http://schemas.microsoft.com/office/drawing/2014/main" id="{8662B8FE-8590-4786-83CD-B5228C6F4266}"/>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4E82507-7FB3-4C1D-9CAC-D6121093D59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1">
              <xdr:nvSpPr>
                <xdr:cNvPr id="215" name="TextBox 214">
                  <a:extLst>
                    <a:ext uri="{FF2B5EF4-FFF2-40B4-BE49-F238E27FC236}">
                      <a16:creationId xmlns:a16="http://schemas.microsoft.com/office/drawing/2014/main" id="{611A9765-1508-424E-B5F8-99DD2502AB8F}"/>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7BBB352-B1C6-493E-9EAB-B57904F45586}"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09" name="Group 208">
                <a:extLst>
                  <a:ext uri="{FF2B5EF4-FFF2-40B4-BE49-F238E27FC236}">
                    <a16:creationId xmlns:a16="http://schemas.microsoft.com/office/drawing/2014/main" id="{1D21EBAF-A409-421A-9B93-C093B49A0DB1}"/>
                  </a:ext>
                </a:extLst>
              </xdr:cNvPr>
              <xdr:cNvGrpSpPr/>
            </xdr:nvGrpSpPr>
            <xdr:grpSpPr>
              <a:xfrm>
                <a:off x="3163020" y="5520017"/>
                <a:ext cx="1714500" cy="294872"/>
                <a:chOff x="3162300" y="4596092"/>
                <a:chExt cx="1714500" cy="294872"/>
              </a:xfrm>
            </xdr:grpSpPr>
            <xdr:sp macro="" textlink="">
              <xdr:nvSpPr>
                <xdr:cNvPr id="210" name="TextBox 209">
                  <a:extLst>
                    <a:ext uri="{FF2B5EF4-FFF2-40B4-BE49-F238E27FC236}">
                      <a16:creationId xmlns:a16="http://schemas.microsoft.com/office/drawing/2014/main" id="{59126AAD-0224-4DFC-B191-0B892D65D284}"/>
                    </a:ext>
                  </a:extLst>
                </xdr:cNvPr>
                <xdr:cNvSpPr txBox="1"/>
              </xdr:nvSpPr>
              <xdr:spPr>
                <a:xfrm>
                  <a:off x="3162300"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DS13v2</a:t>
                  </a:r>
                </a:p>
              </xdr:txBody>
            </xdr:sp>
            <xdr:sp macro="" textlink="'Dashboard Workings'!F12">
              <xdr:nvSpPr>
                <xdr:cNvPr id="211" name="TextBox 210">
                  <a:extLst>
                    <a:ext uri="{FF2B5EF4-FFF2-40B4-BE49-F238E27FC236}">
                      <a16:creationId xmlns:a16="http://schemas.microsoft.com/office/drawing/2014/main" id="{F431C070-B51E-401E-8D63-E7024D8569E2}"/>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383CCC-68BD-470F-A4B4-5C9686AFD18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2">
              <xdr:nvSpPr>
                <xdr:cNvPr id="212" name="TextBox 211">
                  <a:extLst>
                    <a:ext uri="{FF2B5EF4-FFF2-40B4-BE49-F238E27FC236}">
                      <a16:creationId xmlns:a16="http://schemas.microsoft.com/office/drawing/2014/main" id="{DF8F366C-EEAB-4C45-BF60-4AA4D6B95BC1}"/>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CB5AFCC-7B39-4B7D-9C18-EC5FBF969D8C}"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40" name="Group 39">
            <a:extLst>
              <a:ext uri="{FF2B5EF4-FFF2-40B4-BE49-F238E27FC236}">
                <a16:creationId xmlns:a16="http://schemas.microsoft.com/office/drawing/2014/main" id="{53027F98-07E8-4541-A078-5EBFD9D28BEB}"/>
              </a:ext>
            </a:extLst>
          </xdr:cNvPr>
          <xdr:cNvGrpSpPr/>
        </xdr:nvGrpSpPr>
        <xdr:grpSpPr>
          <a:xfrm>
            <a:off x="6953250" y="3848100"/>
            <a:ext cx="2055870" cy="2476500"/>
            <a:chOff x="3094691" y="3867151"/>
            <a:chExt cx="2055870" cy="2476500"/>
          </a:xfrm>
        </xdr:grpSpPr>
        <xdr:grpSp>
          <xdr:nvGrpSpPr>
            <xdr:cNvPr id="174" name="Group 173">
              <a:extLst>
                <a:ext uri="{FF2B5EF4-FFF2-40B4-BE49-F238E27FC236}">
                  <a16:creationId xmlns:a16="http://schemas.microsoft.com/office/drawing/2014/main" id="{9C9D483B-BAF0-431A-B93A-0FB55A6B2119}"/>
                </a:ext>
              </a:extLst>
            </xdr:cNvPr>
            <xdr:cNvGrpSpPr/>
          </xdr:nvGrpSpPr>
          <xdr:grpSpPr>
            <a:xfrm>
              <a:off x="3094691" y="3867151"/>
              <a:ext cx="2055870" cy="2476500"/>
              <a:chOff x="3094691" y="3867151"/>
              <a:chExt cx="2055870" cy="2476500"/>
            </a:xfrm>
          </xdr:grpSpPr>
          <xdr:grpSp>
            <xdr:nvGrpSpPr>
              <xdr:cNvPr id="196" name="Group 195">
                <a:extLst>
                  <a:ext uri="{FF2B5EF4-FFF2-40B4-BE49-F238E27FC236}">
                    <a16:creationId xmlns:a16="http://schemas.microsoft.com/office/drawing/2014/main" id="{8FB05134-612E-4A54-AEA8-0ED547A418B3}"/>
                  </a:ext>
                </a:extLst>
              </xdr:cNvPr>
              <xdr:cNvGrpSpPr/>
            </xdr:nvGrpSpPr>
            <xdr:grpSpPr>
              <a:xfrm>
                <a:off x="3094691" y="3867151"/>
                <a:ext cx="1734484" cy="2476500"/>
                <a:chOff x="3094691" y="3867151"/>
                <a:chExt cx="1734484" cy="2476500"/>
              </a:xfrm>
            </xdr:grpSpPr>
            <xdr:sp macro="" textlink="">
              <xdr:nvSpPr>
                <xdr:cNvPr id="202" name="Rectangle: Rounded Corners 201">
                  <a:extLst>
                    <a:ext uri="{FF2B5EF4-FFF2-40B4-BE49-F238E27FC236}">
                      <a16:creationId xmlns:a16="http://schemas.microsoft.com/office/drawing/2014/main" id="{70E50639-9A2D-4CB6-9CB0-D2943FCB54C1}"/>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3" name="TextBox 202">
                  <a:extLst>
                    <a:ext uri="{FF2B5EF4-FFF2-40B4-BE49-F238E27FC236}">
                      <a16:creationId xmlns:a16="http://schemas.microsoft.com/office/drawing/2014/main" id="{0918A25F-5B3C-4AC9-8894-9D25D6999F9D}"/>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D'as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97" name="Group 196">
                <a:extLst>
                  <a:ext uri="{FF2B5EF4-FFF2-40B4-BE49-F238E27FC236}">
                    <a16:creationId xmlns:a16="http://schemas.microsoft.com/office/drawing/2014/main" id="{BA53735E-5D25-455E-9FBC-D46B463AECF1}"/>
                  </a:ext>
                </a:extLst>
              </xdr:cNvPr>
              <xdr:cNvGrpSpPr/>
            </xdr:nvGrpSpPr>
            <xdr:grpSpPr>
              <a:xfrm>
                <a:off x="3095625" y="4276724"/>
                <a:ext cx="2054936" cy="304397"/>
                <a:chOff x="3095625" y="4229099"/>
                <a:chExt cx="2054936" cy="304397"/>
              </a:xfrm>
            </xdr:grpSpPr>
            <xdr:sp macro="" textlink="">
              <xdr:nvSpPr>
                <xdr:cNvPr id="198" name="Rectangle: Rounded Corners 197">
                  <a:extLst>
                    <a:ext uri="{FF2B5EF4-FFF2-40B4-BE49-F238E27FC236}">
                      <a16:creationId xmlns:a16="http://schemas.microsoft.com/office/drawing/2014/main" id="{7A5CE978-2941-449C-8490-E17FCA8B4A51}"/>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99" name="Group 198">
                  <a:extLst>
                    <a:ext uri="{FF2B5EF4-FFF2-40B4-BE49-F238E27FC236}">
                      <a16:creationId xmlns:a16="http://schemas.microsoft.com/office/drawing/2014/main" id="{5C70F09A-F6DB-4431-A59B-B87AA2E33411}"/>
                    </a:ext>
                  </a:extLst>
                </xdr:cNvPr>
                <xdr:cNvGrpSpPr/>
              </xdr:nvGrpSpPr>
              <xdr:grpSpPr>
                <a:xfrm>
                  <a:off x="3152775" y="4238624"/>
                  <a:ext cx="1997786" cy="294872"/>
                  <a:chOff x="8410575" y="3800474"/>
                  <a:chExt cx="1997786" cy="294872"/>
                </a:xfrm>
              </xdr:grpSpPr>
              <xdr:sp macro="" textlink="">
                <xdr:nvSpPr>
                  <xdr:cNvPr id="200" name="TextBox 199">
                    <a:extLst>
                      <a:ext uri="{FF2B5EF4-FFF2-40B4-BE49-F238E27FC236}">
                        <a16:creationId xmlns:a16="http://schemas.microsoft.com/office/drawing/2014/main" id="{4F3BD5D1-3BC5-4B4E-8C7B-FB660210C5FE}"/>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01" name="TextBox 200">
                    <a:extLst>
                      <a:ext uri="{FF2B5EF4-FFF2-40B4-BE49-F238E27FC236}">
                        <a16:creationId xmlns:a16="http://schemas.microsoft.com/office/drawing/2014/main" id="{680A0BFE-AAAC-4E07-93EC-AF8D4F466A3E}"/>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75" name="Group 174">
              <a:extLst>
                <a:ext uri="{FF2B5EF4-FFF2-40B4-BE49-F238E27FC236}">
                  <a16:creationId xmlns:a16="http://schemas.microsoft.com/office/drawing/2014/main" id="{A45E0444-B99B-47DB-8593-C15FA679F32A}"/>
                </a:ext>
              </a:extLst>
            </xdr:cNvPr>
            <xdr:cNvGrpSpPr/>
          </xdr:nvGrpSpPr>
          <xdr:grpSpPr>
            <a:xfrm>
              <a:off x="3162300" y="4615142"/>
              <a:ext cx="1715220" cy="1495022"/>
              <a:chOff x="3162300" y="4615142"/>
              <a:chExt cx="1715220" cy="1495022"/>
            </a:xfrm>
          </xdr:grpSpPr>
          <xdr:grpSp>
            <xdr:nvGrpSpPr>
              <xdr:cNvPr id="176" name="Group 175">
                <a:extLst>
                  <a:ext uri="{FF2B5EF4-FFF2-40B4-BE49-F238E27FC236}">
                    <a16:creationId xmlns:a16="http://schemas.microsoft.com/office/drawing/2014/main" id="{0DA65C56-2271-4657-BC7B-F5D4D3259414}"/>
                  </a:ext>
                </a:extLst>
              </xdr:cNvPr>
              <xdr:cNvGrpSpPr/>
            </xdr:nvGrpSpPr>
            <xdr:grpSpPr>
              <a:xfrm>
                <a:off x="3162300" y="4615142"/>
                <a:ext cx="1714500" cy="294872"/>
                <a:chOff x="3162300" y="4596092"/>
                <a:chExt cx="1714500" cy="294872"/>
              </a:xfrm>
            </xdr:grpSpPr>
            <xdr:sp macro="" textlink="">
              <xdr:nvSpPr>
                <xdr:cNvPr id="193" name="TextBox 192">
                  <a:extLst>
                    <a:ext uri="{FF2B5EF4-FFF2-40B4-BE49-F238E27FC236}">
                      <a16:creationId xmlns:a16="http://schemas.microsoft.com/office/drawing/2014/main" id="{F67D469F-EBAE-462C-85D3-CAC250ECDF07}"/>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D2as</a:t>
                  </a:r>
                </a:p>
              </xdr:txBody>
            </xdr:sp>
            <xdr:sp macro="" textlink="'Dashboard Workings'!F13">
              <xdr:nvSpPr>
                <xdr:cNvPr id="194" name="TextBox 193">
                  <a:extLst>
                    <a:ext uri="{FF2B5EF4-FFF2-40B4-BE49-F238E27FC236}">
                      <a16:creationId xmlns:a16="http://schemas.microsoft.com/office/drawing/2014/main" id="{055D6109-C495-4816-8EA3-8F61EF05ACA1}"/>
                    </a:ext>
                  </a:extLst>
                </xdr:cNvPr>
                <xdr:cNvSpPr txBox="1"/>
              </xdr:nvSpPr>
              <xdr:spPr>
                <a:xfrm>
                  <a:off x="3743325"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C850D8A-20F2-4CFA-B214-06768515E2DA}"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3">
              <xdr:nvSpPr>
                <xdr:cNvPr id="195" name="TextBox 194">
                  <a:extLst>
                    <a:ext uri="{FF2B5EF4-FFF2-40B4-BE49-F238E27FC236}">
                      <a16:creationId xmlns:a16="http://schemas.microsoft.com/office/drawing/2014/main" id="{C9272B0E-28F1-4409-AF56-DFF3E22DD82A}"/>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C850CF-DD63-48BF-B3B7-66126B55ED92}"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77" name="Group 176">
                <a:extLst>
                  <a:ext uri="{FF2B5EF4-FFF2-40B4-BE49-F238E27FC236}">
                    <a16:creationId xmlns:a16="http://schemas.microsoft.com/office/drawing/2014/main" id="{81844DA0-36DB-4BB3-93DF-1F9E8C15CFB1}"/>
                  </a:ext>
                </a:extLst>
              </xdr:cNvPr>
              <xdr:cNvGrpSpPr/>
            </xdr:nvGrpSpPr>
            <xdr:grpSpPr>
              <a:xfrm>
                <a:off x="3162300" y="4919942"/>
                <a:ext cx="1714500" cy="294872"/>
                <a:chOff x="3162300" y="4596092"/>
                <a:chExt cx="1714500" cy="294872"/>
              </a:xfrm>
            </xdr:grpSpPr>
            <xdr:sp macro="" textlink="">
              <xdr:nvSpPr>
                <xdr:cNvPr id="190" name="TextBox 189">
                  <a:extLst>
                    <a:ext uri="{FF2B5EF4-FFF2-40B4-BE49-F238E27FC236}">
                      <a16:creationId xmlns:a16="http://schemas.microsoft.com/office/drawing/2014/main" id="{2BB812CC-FDD7-4A77-9372-12A06954570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D4as</a:t>
                  </a:r>
                </a:p>
              </xdr:txBody>
            </xdr:sp>
            <xdr:sp macro="" textlink="'Dashboard Workings'!F14">
              <xdr:nvSpPr>
                <xdr:cNvPr id="191" name="TextBox 190">
                  <a:extLst>
                    <a:ext uri="{FF2B5EF4-FFF2-40B4-BE49-F238E27FC236}">
                      <a16:creationId xmlns:a16="http://schemas.microsoft.com/office/drawing/2014/main" id="{224F87EF-6D4B-4504-A3A2-F4DCE2E90E7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B04ADE-F9D9-4D1B-A28A-5EA4D8918DA6}"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4">
              <xdr:nvSpPr>
                <xdr:cNvPr id="192" name="TextBox 191">
                  <a:extLst>
                    <a:ext uri="{FF2B5EF4-FFF2-40B4-BE49-F238E27FC236}">
                      <a16:creationId xmlns:a16="http://schemas.microsoft.com/office/drawing/2014/main" id="{5D3DF13F-08A3-4C3B-82BA-0F1FCB2F9C6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DD1BFAD-8097-4954-B7D5-12DC72D54FC7}"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78" name="Group 177">
                <a:extLst>
                  <a:ext uri="{FF2B5EF4-FFF2-40B4-BE49-F238E27FC236}">
                    <a16:creationId xmlns:a16="http://schemas.microsoft.com/office/drawing/2014/main" id="{0FAF663D-C628-4C42-912E-F92CC4F6BEC6}"/>
                  </a:ext>
                </a:extLst>
              </xdr:cNvPr>
              <xdr:cNvGrpSpPr/>
            </xdr:nvGrpSpPr>
            <xdr:grpSpPr>
              <a:xfrm>
                <a:off x="3163020" y="5224742"/>
                <a:ext cx="1714500" cy="294872"/>
                <a:chOff x="3162300" y="4596092"/>
                <a:chExt cx="1714500" cy="294872"/>
              </a:xfrm>
            </xdr:grpSpPr>
            <xdr:sp macro="" textlink="">
              <xdr:nvSpPr>
                <xdr:cNvPr id="187" name="TextBox 186">
                  <a:extLst>
                    <a:ext uri="{FF2B5EF4-FFF2-40B4-BE49-F238E27FC236}">
                      <a16:creationId xmlns:a16="http://schemas.microsoft.com/office/drawing/2014/main" id="{EAD9E4C2-3EEC-4F7B-926C-7135A925E422}"/>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D8as</a:t>
                  </a:r>
                </a:p>
              </xdr:txBody>
            </xdr:sp>
            <xdr:sp macro="" textlink="'Dashboard Workings'!F15">
              <xdr:nvSpPr>
                <xdr:cNvPr id="188" name="TextBox 187">
                  <a:extLst>
                    <a:ext uri="{FF2B5EF4-FFF2-40B4-BE49-F238E27FC236}">
                      <a16:creationId xmlns:a16="http://schemas.microsoft.com/office/drawing/2014/main" id="{5CD071B4-DC8B-48A5-B34C-4AD4D2D26E31}"/>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9EADAC-14C2-4450-987C-AB4DE8FF3C4D}"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5">
              <xdr:nvSpPr>
                <xdr:cNvPr id="189" name="TextBox 188">
                  <a:extLst>
                    <a:ext uri="{FF2B5EF4-FFF2-40B4-BE49-F238E27FC236}">
                      <a16:creationId xmlns:a16="http://schemas.microsoft.com/office/drawing/2014/main" id="{4A4285CC-B6E0-46F6-803D-94CDA96C0F99}"/>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D6A6BF8-520D-44B7-9EAE-3A065E70D25D}"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79" name="Group 178">
                <a:extLst>
                  <a:ext uri="{FF2B5EF4-FFF2-40B4-BE49-F238E27FC236}">
                    <a16:creationId xmlns:a16="http://schemas.microsoft.com/office/drawing/2014/main" id="{7134EC09-F429-4726-81C5-E39C1B4C68C2}"/>
                  </a:ext>
                </a:extLst>
              </xdr:cNvPr>
              <xdr:cNvGrpSpPr/>
            </xdr:nvGrpSpPr>
            <xdr:grpSpPr>
              <a:xfrm>
                <a:off x="3163020" y="5520017"/>
                <a:ext cx="1714500" cy="294872"/>
                <a:chOff x="3162300" y="4596092"/>
                <a:chExt cx="1714500" cy="294872"/>
              </a:xfrm>
            </xdr:grpSpPr>
            <xdr:sp macro="" textlink="">
              <xdr:nvSpPr>
                <xdr:cNvPr id="184" name="TextBox 183">
                  <a:extLst>
                    <a:ext uri="{FF2B5EF4-FFF2-40B4-BE49-F238E27FC236}">
                      <a16:creationId xmlns:a16="http://schemas.microsoft.com/office/drawing/2014/main" id="{1A62B5FC-1336-4CA1-8978-DAEC5976968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D16as</a:t>
                  </a:r>
                </a:p>
              </xdr:txBody>
            </xdr:sp>
            <xdr:sp macro="" textlink="'Dashboard Workings'!F16">
              <xdr:nvSpPr>
                <xdr:cNvPr id="185" name="TextBox 184">
                  <a:extLst>
                    <a:ext uri="{FF2B5EF4-FFF2-40B4-BE49-F238E27FC236}">
                      <a16:creationId xmlns:a16="http://schemas.microsoft.com/office/drawing/2014/main" id="{C951CB56-7E60-4DC3-A557-B9722991298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C1CACC2-4E51-4ACB-8E19-E7A0C44B962A}"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6">
              <xdr:nvSpPr>
                <xdr:cNvPr id="186" name="TextBox 185">
                  <a:extLst>
                    <a:ext uri="{FF2B5EF4-FFF2-40B4-BE49-F238E27FC236}">
                      <a16:creationId xmlns:a16="http://schemas.microsoft.com/office/drawing/2014/main" id="{D4277AF0-24FB-4E28-8A51-D4B19064A7E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80ECCEA-DD00-4B92-97D9-510B1891A549}"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80" name="Group 179">
                <a:extLst>
                  <a:ext uri="{FF2B5EF4-FFF2-40B4-BE49-F238E27FC236}">
                    <a16:creationId xmlns:a16="http://schemas.microsoft.com/office/drawing/2014/main" id="{B4CCBA49-4F58-4C28-9DD3-B5AA6D2C80D3}"/>
                  </a:ext>
                </a:extLst>
              </xdr:cNvPr>
              <xdr:cNvGrpSpPr/>
            </xdr:nvGrpSpPr>
            <xdr:grpSpPr>
              <a:xfrm>
                <a:off x="3163020" y="5815292"/>
                <a:ext cx="1714500" cy="294872"/>
                <a:chOff x="3162300" y="4596092"/>
                <a:chExt cx="1714500" cy="294872"/>
              </a:xfrm>
            </xdr:grpSpPr>
            <xdr:sp macro="" textlink="">
              <xdr:nvSpPr>
                <xdr:cNvPr id="181" name="TextBox 180">
                  <a:extLst>
                    <a:ext uri="{FF2B5EF4-FFF2-40B4-BE49-F238E27FC236}">
                      <a16:creationId xmlns:a16="http://schemas.microsoft.com/office/drawing/2014/main" id="{5D808C05-7365-4F52-A9A7-4DC9D891840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D32as</a:t>
                  </a:r>
                </a:p>
              </xdr:txBody>
            </xdr:sp>
            <xdr:sp macro="" textlink="'Dashboard Workings'!F17">
              <xdr:nvSpPr>
                <xdr:cNvPr id="182" name="TextBox 181">
                  <a:extLst>
                    <a:ext uri="{FF2B5EF4-FFF2-40B4-BE49-F238E27FC236}">
                      <a16:creationId xmlns:a16="http://schemas.microsoft.com/office/drawing/2014/main" id="{78E9971E-355E-4657-95D6-2BC149E1172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9D61B7E-A5F8-4968-8365-F429ECED6D72}"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7">
              <xdr:nvSpPr>
                <xdr:cNvPr id="183" name="TextBox 182">
                  <a:extLst>
                    <a:ext uri="{FF2B5EF4-FFF2-40B4-BE49-F238E27FC236}">
                      <a16:creationId xmlns:a16="http://schemas.microsoft.com/office/drawing/2014/main" id="{2608DBA4-D78F-46C6-8DE4-178A3E98B5D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FDA6E94-4B2F-448E-9D59-00B82155F1F0}"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41" name="TextBox 40">
            <a:extLst>
              <a:ext uri="{FF2B5EF4-FFF2-40B4-BE49-F238E27FC236}">
                <a16:creationId xmlns:a16="http://schemas.microsoft.com/office/drawing/2014/main" id="{4A68A4D7-A1F5-432F-8972-35A52C262EBC}"/>
              </a:ext>
            </a:extLst>
          </xdr:cNvPr>
          <xdr:cNvSpPr txBox="1"/>
        </xdr:nvSpPr>
        <xdr:spPr>
          <a:xfrm>
            <a:off x="6287220" y="40245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rgbClr val="D53B3B"/>
                </a:solidFill>
                <a:latin typeface="Arial" panose="020B0604020202020204" pitchFamily="34" charset="0"/>
                <a:cs typeface="Arial" panose="020B0604020202020204" pitchFamily="34" charset="0"/>
              </a:rPr>
              <a:t>Old</a:t>
            </a:r>
          </a:p>
        </xdr:txBody>
      </xdr:sp>
      <xdr:sp macro="" textlink="">
        <xdr:nvSpPr>
          <xdr:cNvPr id="42" name="TextBox 41">
            <a:extLst>
              <a:ext uri="{FF2B5EF4-FFF2-40B4-BE49-F238E27FC236}">
                <a16:creationId xmlns:a16="http://schemas.microsoft.com/office/drawing/2014/main" id="{2F39DE91-F561-4201-BAFA-EAC0D8F1CA82}"/>
              </a:ext>
            </a:extLst>
          </xdr:cNvPr>
          <xdr:cNvSpPr txBox="1"/>
        </xdr:nvSpPr>
        <xdr:spPr>
          <a:xfrm>
            <a:off x="8287470" y="404364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43" name="Group 42">
            <a:extLst>
              <a:ext uri="{FF2B5EF4-FFF2-40B4-BE49-F238E27FC236}">
                <a16:creationId xmlns:a16="http://schemas.microsoft.com/office/drawing/2014/main" id="{23F8293D-3D87-4CA9-B280-84DA0F1ACBA0}"/>
              </a:ext>
            </a:extLst>
          </xdr:cNvPr>
          <xdr:cNvGrpSpPr/>
        </xdr:nvGrpSpPr>
        <xdr:grpSpPr>
          <a:xfrm>
            <a:off x="8867775" y="3838575"/>
            <a:ext cx="2055870" cy="2495147"/>
            <a:chOff x="8867775" y="3838575"/>
            <a:chExt cx="2055870" cy="2495147"/>
          </a:xfrm>
        </xdr:grpSpPr>
        <xdr:grpSp>
          <xdr:nvGrpSpPr>
            <xdr:cNvPr id="140" name="Group 139">
              <a:extLst>
                <a:ext uri="{FF2B5EF4-FFF2-40B4-BE49-F238E27FC236}">
                  <a16:creationId xmlns:a16="http://schemas.microsoft.com/office/drawing/2014/main" id="{9695D18D-A64C-4B2E-BAD4-C462D16EB073}"/>
                </a:ext>
              </a:extLst>
            </xdr:cNvPr>
            <xdr:cNvGrpSpPr/>
          </xdr:nvGrpSpPr>
          <xdr:grpSpPr>
            <a:xfrm>
              <a:off x="8867775" y="3838575"/>
              <a:ext cx="2055870" cy="2476500"/>
              <a:chOff x="3094691" y="3867151"/>
              <a:chExt cx="2055870" cy="2476500"/>
            </a:xfrm>
          </xdr:grpSpPr>
          <xdr:grpSp>
            <xdr:nvGrpSpPr>
              <xdr:cNvPr id="144" name="Group 143">
                <a:extLst>
                  <a:ext uri="{FF2B5EF4-FFF2-40B4-BE49-F238E27FC236}">
                    <a16:creationId xmlns:a16="http://schemas.microsoft.com/office/drawing/2014/main" id="{21CA0FEC-87AB-490B-A132-920EEB37F1D9}"/>
                  </a:ext>
                </a:extLst>
              </xdr:cNvPr>
              <xdr:cNvGrpSpPr/>
            </xdr:nvGrpSpPr>
            <xdr:grpSpPr>
              <a:xfrm>
                <a:off x="3094691" y="3867151"/>
                <a:ext cx="2055870" cy="2476500"/>
                <a:chOff x="3094691" y="3867151"/>
                <a:chExt cx="2055870" cy="2476500"/>
              </a:xfrm>
            </xdr:grpSpPr>
            <xdr:grpSp>
              <xdr:nvGrpSpPr>
                <xdr:cNvPr id="166" name="Group 165">
                  <a:extLst>
                    <a:ext uri="{FF2B5EF4-FFF2-40B4-BE49-F238E27FC236}">
                      <a16:creationId xmlns:a16="http://schemas.microsoft.com/office/drawing/2014/main" id="{6385C145-B83E-48E5-8836-65A0FBC1B054}"/>
                    </a:ext>
                  </a:extLst>
                </xdr:cNvPr>
                <xdr:cNvGrpSpPr/>
              </xdr:nvGrpSpPr>
              <xdr:grpSpPr>
                <a:xfrm>
                  <a:off x="3094691" y="3867151"/>
                  <a:ext cx="1734484" cy="2476500"/>
                  <a:chOff x="3094691" y="3867151"/>
                  <a:chExt cx="1734484" cy="2476500"/>
                </a:xfrm>
              </xdr:grpSpPr>
              <xdr:sp macro="" textlink="">
                <xdr:nvSpPr>
                  <xdr:cNvPr id="172" name="Rectangle: Rounded Corners 171">
                    <a:extLst>
                      <a:ext uri="{FF2B5EF4-FFF2-40B4-BE49-F238E27FC236}">
                        <a16:creationId xmlns:a16="http://schemas.microsoft.com/office/drawing/2014/main" id="{4DEF76CC-A39F-4DED-8639-143D1CBC7884}"/>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3" name="TextBox 172">
                    <a:extLst>
                      <a:ext uri="{FF2B5EF4-FFF2-40B4-BE49-F238E27FC236}">
                        <a16:creationId xmlns:a16="http://schemas.microsoft.com/office/drawing/2014/main" id="{1F33F6A4-57BB-4AAD-9645-D28F69B1C7A6}"/>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D'ds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67" name="Group 166">
                  <a:extLst>
                    <a:ext uri="{FF2B5EF4-FFF2-40B4-BE49-F238E27FC236}">
                      <a16:creationId xmlns:a16="http://schemas.microsoft.com/office/drawing/2014/main" id="{19206FB3-4470-471C-8E1A-120FF8156D8A}"/>
                    </a:ext>
                  </a:extLst>
                </xdr:cNvPr>
                <xdr:cNvGrpSpPr/>
              </xdr:nvGrpSpPr>
              <xdr:grpSpPr>
                <a:xfrm>
                  <a:off x="3095625" y="4276724"/>
                  <a:ext cx="2054936" cy="304397"/>
                  <a:chOff x="3095625" y="4229099"/>
                  <a:chExt cx="2054936" cy="304397"/>
                </a:xfrm>
              </xdr:grpSpPr>
              <xdr:sp macro="" textlink="">
                <xdr:nvSpPr>
                  <xdr:cNvPr id="168" name="Rectangle: Rounded Corners 167">
                    <a:extLst>
                      <a:ext uri="{FF2B5EF4-FFF2-40B4-BE49-F238E27FC236}">
                        <a16:creationId xmlns:a16="http://schemas.microsoft.com/office/drawing/2014/main" id="{E821BEB9-3D59-4962-979E-318585C76B61}"/>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69" name="Group 168">
                    <a:extLst>
                      <a:ext uri="{FF2B5EF4-FFF2-40B4-BE49-F238E27FC236}">
                        <a16:creationId xmlns:a16="http://schemas.microsoft.com/office/drawing/2014/main" id="{38488CEC-F0EA-4B79-8C89-B45233922387}"/>
                      </a:ext>
                    </a:extLst>
                  </xdr:cNvPr>
                  <xdr:cNvGrpSpPr/>
                </xdr:nvGrpSpPr>
                <xdr:grpSpPr>
                  <a:xfrm>
                    <a:off x="3152775" y="4238624"/>
                    <a:ext cx="1997786" cy="294872"/>
                    <a:chOff x="8410575" y="3800474"/>
                    <a:chExt cx="1997786" cy="294872"/>
                  </a:xfrm>
                </xdr:grpSpPr>
                <xdr:sp macro="" textlink="">
                  <xdr:nvSpPr>
                    <xdr:cNvPr id="170" name="TextBox 169">
                      <a:extLst>
                        <a:ext uri="{FF2B5EF4-FFF2-40B4-BE49-F238E27FC236}">
                          <a16:creationId xmlns:a16="http://schemas.microsoft.com/office/drawing/2014/main" id="{749DEC5F-B8E5-4BA1-A29B-CB50D21058A0}"/>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71" name="TextBox 170">
                      <a:extLst>
                        <a:ext uri="{FF2B5EF4-FFF2-40B4-BE49-F238E27FC236}">
                          <a16:creationId xmlns:a16="http://schemas.microsoft.com/office/drawing/2014/main" id="{305A1DBA-C14C-4A7C-9B9F-770A0C747954}"/>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45" name="Group 144">
                <a:extLst>
                  <a:ext uri="{FF2B5EF4-FFF2-40B4-BE49-F238E27FC236}">
                    <a16:creationId xmlns:a16="http://schemas.microsoft.com/office/drawing/2014/main" id="{CCEC5719-6231-4BFE-A284-D612DDD5601D}"/>
                  </a:ext>
                </a:extLst>
              </xdr:cNvPr>
              <xdr:cNvGrpSpPr/>
            </xdr:nvGrpSpPr>
            <xdr:grpSpPr>
              <a:xfrm>
                <a:off x="3162300" y="4615142"/>
                <a:ext cx="1715220" cy="1495022"/>
                <a:chOff x="3162300" y="4615142"/>
                <a:chExt cx="1715220" cy="1495022"/>
              </a:xfrm>
            </xdr:grpSpPr>
            <xdr:grpSp>
              <xdr:nvGrpSpPr>
                <xdr:cNvPr id="146" name="Group 145">
                  <a:extLst>
                    <a:ext uri="{FF2B5EF4-FFF2-40B4-BE49-F238E27FC236}">
                      <a16:creationId xmlns:a16="http://schemas.microsoft.com/office/drawing/2014/main" id="{F5B33C63-6A6D-4EFC-A839-45F186B964BB}"/>
                    </a:ext>
                  </a:extLst>
                </xdr:cNvPr>
                <xdr:cNvGrpSpPr/>
              </xdr:nvGrpSpPr>
              <xdr:grpSpPr>
                <a:xfrm>
                  <a:off x="3162300" y="4615142"/>
                  <a:ext cx="1714500" cy="294872"/>
                  <a:chOff x="3162300" y="4596092"/>
                  <a:chExt cx="1714500" cy="294872"/>
                </a:xfrm>
              </xdr:grpSpPr>
              <xdr:sp macro="" textlink="">
                <xdr:nvSpPr>
                  <xdr:cNvPr id="163" name="TextBox 162">
                    <a:extLst>
                      <a:ext uri="{FF2B5EF4-FFF2-40B4-BE49-F238E27FC236}">
                        <a16:creationId xmlns:a16="http://schemas.microsoft.com/office/drawing/2014/main" id="{6056C3D0-2603-4159-835A-2923AE448F9B}"/>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D2ds</a:t>
                    </a:r>
                  </a:p>
                </xdr:txBody>
              </xdr:sp>
              <xdr:sp macro="" textlink="'Dashboard Workings'!F21">
                <xdr:nvSpPr>
                  <xdr:cNvPr id="164" name="TextBox 163">
                    <a:extLst>
                      <a:ext uri="{FF2B5EF4-FFF2-40B4-BE49-F238E27FC236}">
                        <a16:creationId xmlns:a16="http://schemas.microsoft.com/office/drawing/2014/main" id="{0AB75F6A-99B5-4579-93F2-906432FA2B00}"/>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40CC32-D1BF-445E-832E-D218C1B0831A}" type="TxLink">
                      <a:rPr lang="en-US" sz="1100" b="1" i="0" u="none" strike="noStrike">
                        <a:solidFill>
                          <a:schemeClr val="bg1"/>
                        </a:solidFill>
                        <a:latin typeface="Arial" panose="020B0604020202020204" pitchFamily="34" charset="0"/>
                        <a:cs typeface="Arial" panose="020B0604020202020204" pitchFamily="34" charset="0"/>
                      </a:rPr>
                      <a:pPr algn="ctr"/>
                      <a:t>14</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1">
                <xdr:nvSpPr>
                  <xdr:cNvPr id="165" name="TextBox 164">
                    <a:extLst>
                      <a:ext uri="{FF2B5EF4-FFF2-40B4-BE49-F238E27FC236}">
                        <a16:creationId xmlns:a16="http://schemas.microsoft.com/office/drawing/2014/main" id="{A98ED5BC-6E61-44E5-AC54-9E135F9862BF}"/>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212136C-FE10-4152-921E-415631C69E8B}" type="TxLink">
                      <a:rPr lang="en-US" sz="1100" b="1" i="0" u="none" strike="noStrike">
                        <a:solidFill>
                          <a:schemeClr val="bg1"/>
                        </a:solidFill>
                        <a:latin typeface="Arial" panose="020B0604020202020204" pitchFamily="34" charset="0"/>
                        <a:cs typeface="Arial" panose="020B0604020202020204" pitchFamily="34" charset="0"/>
                      </a:rPr>
                      <a:pPr algn="r"/>
                      <a:t> £611.27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47" name="Group 146">
                  <a:extLst>
                    <a:ext uri="{FF2B5EF4-FFF2-40B4-BE49-F238E27FC236}">
                      <a16:creationId xmlns:a16="http://schemas.microsoft.com/office/drawing/2014/main" id="{9D9A1600-EEBC-460D-B165-396F504F3053}"/>
                    </a:ext>
                  </a:extLst>
                </xdr:cNvPr>
                <xdr:cNvGrpSpPr/>
              </xdr:nvGrpSpPr>
              <xdr:grpSpPr>
                <a:xfrm>
                  <a:off x="3162300" y="4919942"/>
                  <a:ext cx="1714500" cy="294872"/>
                  <a:chOff x="3162300" y="4596092"/>
                  <a:chExt cx="1714500" cy="294872"/>
                </a:xfrm>
              </xdr:grpSpPr>
              <xdr:sp macro="" textlink="">
                <xdr:nvSpPr>
                  <xdr:cNvPr id="160" name="TextBox 159">
                    <a:extLst>
                      <a:ext uri="{FF2B5EF4-FFF2-40B4-BE49-F238E27FC236}">
                        <a16:creationId xmlns:a16="http://schemas.microsoft.com/office/drawing/2014/main" id="{A1129222-C0F5-4EF9-AFA4-85AC545C4FF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D4ds</a:t>
                    </a:r>
                  </a:p>
                </xdr:txBody>
              </xdr:sp>
              <xdr:sp macro="" textlink="'Dashboard Workings'!F22">
                <xdr:nvSpPr>
                  <xdr:cNvPr id="161" name="TextBox 160">
                    <a:extLst>
                      <a:ext uri="{FF2B5EF4-FFF2-40B4-BE49-F238E27FC236}">
                        <a16:creationId xmlns:a16="http://schemas.microsoft.com/office/drawing/2014/main" id="{70FA240A-A632-4B21-9D35-D1680029911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873AA38-E75C-46B3-A9D0-71826F608E42}" type="TxLink">
                      <a:rPr lang="en-US" sz="1100" b="1" i="0" u="none" strike="noStrike">
                        <a:solidFill>
                          <a:schemeClr val="bg1"/>
                        </a:solidFill>
                        <a:latin typeface="Arial" panose="020B0604020202020204" pitchFamily="34" charset="0"/>
                        <a:cs typeface="Arial" panose="020B0604020202020204" pitchFamily="34" charset="0"/>
                      </a:rPr>
                      <a:pPr algn="ctr"/>
                      <a:t>14</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2">
                <xdr:nvSpPr>
                  <xdr:cNvPr id="162" name="TextBox 161">
                    <a:extLst>
                      <a:ext uri="{FF2B5EF4-FFF2-40B4-BE49-F238E27FC236}">
                        <a16:creationId xmlns:a16="http://schemas.microsoft.com/office/drawing/2014/main" id="{01E3641A-E3E4-4108-851E-4FCEB7E77A8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8E29537-E31C-4BAC-90FA-A032B32B5EE3}" type="TxLink">
                      <a:rPr lang="en-US" sz="1100" b="1" i="0" u="none" strike="noStrike">
                        <a:solidFill>
                          <a:schemeClr val="bg1"/>
                        </a:solidFill>
                        <a:latin typeface="Arial" panose="020B0604020202020204" pitchFamily="34" charset="0"/>
                        <a:cs typeface="Arial" panose="020B0604020202020204" pitchFamily="34" charset="0"/>
                      </a:rPr>
                      <a:pPr algn="r"/>
                      <a:t> £1,222.54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48" name="Group 147">
                  <a:extLst>
                    <a:ext uri="{FF2B5EF4-FFF2-40B4-BE49-F238E27FC236}">
                      <a16:creationId xmlns:a16="http://schemas.microsoft.com/office/drawing/2014/main" id="{F881859F-8D27-41F0-A07F-C6206F49C124}"/>
                    </a:ext>
                  </a:extLst>
                </xdr:cNvPr>
                <xdr:cNvGrpSpPr/>
              </xdr:nvGrpSpPr>
              <xdr:grpSpPr>
                <a:xfrm>
                  <a:off x="3163020" y="5224742"/>
                  <a:ext cx="1714500" cy="294872"/>
                  <a:chOff x="3162300" y="4596092"/>
                  <a:chExt cx="1714500" cy="294872"/>
                </a:xfrm>
              </xdr:grpSpPr>
              <xdr:sp macro="" textlink="">
                <xdr:nvSpPr>
                  <xdr:cNvPr id="157" name="TextBox 156">
                    <a:extLst>
                      <a:ext uri="{FF2B5EF4-FFF2-40B4-BE49-F238E27FC236}">
                        <a16:creationId xmlns:a16="http://schemas.microsoft.com/office/drawing/2014/main" id="{C87E3D2F-F203-491D-8ADB-1160EE97CF7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D8ds</a:t>
                    </a:r>
                  </a:p>
                </xdr:txBody>
              </xdr:sp>
              <xdr:sp macro="" textlink="'Dashboard Workings'!F23">
                <xdr:nvSpPr>
                  <xdr:cNvPr id="158" name="TextBox 157">
                    <a:extLst>
                      <a:ext uri="{FF2B5EF4-FFF2-40B4-BE49-F238E27FC236}">
                        <a16:creationId xmlns:a16="http://schemas.microsoft.com/office/drawing/2014/main" id="{6A07BDFE-F3C5-411B-8C81-509882788A1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925AE1-8B43-488D-8EA9-BD31D283D64D}" type="TxLink">
                      <a:rPr lang="en-US" sz="1100" b="1" i="0" u="none" strike="noStrike">
                        <a:solidFill>
                          <a:schemeClr val="bg1"/>
                        </a:solidFill>
                        <a:latin typeface="Arial" panose="020B0604020202020204" pitchFamily="34" charset="0"/>
                        <a:cs typeface="Arial" panose="020B0604020202020204" pitchFamily="34" charset="0"/>
                      </a:rPr>
                      <a:pPr algn="ctr"/>
                      <a:t>6</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3">
                <xdr:nvSpPr>
                  <xdr:cNvPr id="159" name="TextBox 158">
                    <a:extLst>
                      <a:ext uri="{FF2B5EF4-FFF2-40B4-BE49-F238E27FC236}">
                        <a16:creationId xmlns:a16="http://schemas.microsoft.com/office/drawing/2014/main" id="{2BF6093E-4203-42FA-BB48-DA0795B6452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FFB443E-A0BA-4550-977C-DB03C214FDBD}" type="TxLink">
                      <a:rPr lang="en-US" sz="1100" b="1" i="0" u="none" strike="noStrike">
                        <a:solidFill>
                          <a:schemeClr val="bg1"/>
                        </a:solidFill>
                        <a:latin typeface="Arial" panose="020B0604020202020204" pitchFamily="34" charset="0"/>
                        <a:cs typeface="Arial" panose="020B0604020202020204" pitchFamily="34" charset="0"/>
                      </a:rPr>
                      <a:pPr algn="r"/>
                      <a:t> £1,047.89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49" name="Group 148">
                  <a:extLst>
                    <a:ext uri="{FF2B5EF4-FFF2-40B4-BE49-F238E27FC236}">
                      <a16:creationId xmlns:a16="http://schemas.microsoft.com/office/drawing/2014/main" id="{DD2C7624-97A0-47E9-8C8A-8C82DF59652E}"/>
                    </a:ext>
                  </a:extLst>
                </xdr:cNvPr>
                <xdr:cNvGrpSpPr/>
              </xdr:nvGrpSpPr>
              <xdr:grpSpPr>
                <a:xfrm>
                  <a:off x="3163020" y="5520017"/>
                  <a:ext cx="1714500" cy="294872"/>
                  <a:chOff x="3162300" y="4596092"/>
                  <a:chExt cx="1714500" cy="294872"/>
                </a:xfrm>
              </xdr:grpSpPr>
              <xdr:sp macro="" textlink="">
                <xdr:nvSpPr>
                  <xdr:cNvPr id="154" name="TextBox 153">
                    <a:extLst>
                      <a:ext uri="{FF2B5EF4-FFF2-40B4-BE49-F238E27FC236}">
                        <a16:creationId xmlns:a16="http://schemas.microsoft.com/office/drawing/2014/main" id="{BDB79044-6697-4124-BEAB-DB13F51B9C5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D16ds</a:t>
                    </a:r>
                  </a:p>
                </xdr:txBody>
              </xdr:sp>
              <xdr:sp macro="" textlink="'Dashboard Workings'!F24">
                <xdr:nvSpPr>
                  <xdr:cNvPr id="155" name="TextBox 154">
                    <a:extLst>
                      <a:ext uri="{FF2B5EF4-FFF2-40B4-BE49-F238E27FC236}">
                        <a16:creationId xmlns:a16="http://schemas.microsoft.com/office/drawing/2014/main" id="{CE0EF06C-B93A-4DAE-B817-F3C28CDCDC9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784854-1477-4EA5-9A14-5ABE65A509B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4">
                <xdr:nvSpPr>
                  <xdr:cNvPr id="156" name="TextBox 155">
                    <a:extLst>
                      <a:ext uri="{FF2B5EF4-FFF2-40B4-BE49-F238E27FC236}">
                        <a16:creationId xmlns:a16="http://schemas.microsoft.com/office/drawing/2014/main" id="{63FF4F43-B2B5-4401-9ABB-DCBC51293B0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F8894D3-2E2B-42C5-9F93-3C3EFA66F03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50" name="Group 149">
                  <a:extLst>
                    <a:ext uri="{FF2B5EF4-FFF2-40B4-BE49-F238E27FC236}">
                      <a16:creationId xmlns:a16="http://schemas.microsoft.com/office/drawing/2014/main" id="{9740A483-B1D9-4F69-9A0E-F54510B917A3}"/>
                    </a:ext>
                  </a:extLst>
                </xdr:cNvPr>
                <xdr:cNvGrpSpPr/>
              </xdr:nvGrpSpPr>
              <xdr:grpSpPr>
                <a:xfrm>
                  <a:off x="3163020" y="5815292"/>
                  <a:ext cx="1714500" cy="294872"/>
                  <a:chOff x="3162300" y="4596092"/>
                  <a:chExt cx="1714500" cy="294872"/>
                </a:xfrm>
              </xdr:grpSpPr>
              <xdr:sp macro="" textlink="">
                <xdr:nvSpPr>
                  <xdr:cNvPr id="151" name="TextBox 150">
                    <a:extLst>
                      <a:ext uri="{FF2B5EF4-FFF2-40B4-BE49-F238E27FC236}">
                        <a16:creationId xmlns:a16="http://schemas.microsoft.com/office/drawing/2014/main" id="{C1EBB7E2-28E5-4EA7-B668-DAD34A2E15B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D32ds</a:t>
                    </a:r>
                  </a:p>
                </xdr:txBody>
              </xdr:sp>
              <xdr:sp macro="" textlink="'Dashboard Workings'!F25">
                <xdr:nvSpPr>
                  <xdr:cNvPr id="152" name="TextBox 151">
                    <a:extLst>
                      <a:ext uri="{FF2B5EF4-FFF2-40B4-BE49-F238E27FC236}">
                        <a16:creationId xmlns:a16="http://schemas.microsoft.com/office/drawing/2014/main" id="{2C349136-2956-4BA3-BDDA-F04C5CE8E1C2}"/>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729DADC-0734-4870-BEA3-A87685A2205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5">
                <xdr:nvSpPr>
                  <xdr:cNvPr id="153" name="TextBox 152">
                    <a:extLst>
                      <a:ext uri="{FF2B5EF4-FFF2-40B4-BE49-F238E27FC236}">
                        <a16:creationId xmlns:a16="http://schemas.microsoft.com/office/drawing/2014/main" id="{AA4EB74F-4661-49E5-AA39-B73F53653D8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2849AD-215E-4D5B-BFA9-72BDEDFA7900}"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141" name="TextBox 140">
              <a:extLst>
                <a:ext uri="{FF2B5EF4-FFF2-40B4-BE49-F238E27FC236}">
                  <a16:creationId xmlns:a16="http://schemas.microsoft.com/office/drawing/2014/main" id="{76F8E73C-47DB-4F8A-93F2-8361A70C243D}"/>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D64ds</a:t>
              </a:r>
            </a:p>
          </xdr:txBody>
        </xdr:sp>
        <xdr:sp macro="" textlink="'Dashboard Workings'!F27">
          <xdr:nvSpPr>
            <xdr:cNvPr id="142" name="TextBox 141">
              <a:extLst>
                <a:ext uri="{FF2B5EF4-FFF2-40B4-BE49-F238E27FC236}">
                  <a16:creationId xmlns:a16="http://schemas.microsoft.com/office/drawing/2014/main" id="{12D079C5-BA74-48DD-92E7-B8164532CB60}"/>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1420DD8-81A9-47E3-8ED4-95EECB801BB8}"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7">
          <xdr:nvSpPr>
            <xdr:cNvPr id="143" name="TextBox 142">
              <a:extLst>
                <a:ext uri="{FF2B5EF4-FFF2-40B4-BE49-F238E27FC236}">
                  <a16:creationId xmlns:a16="http://schemas.microsoft.com/office/drawing/2014/main" id="{14808D0A-8E4F-4489-97E1-2E5F263AD02A}"/>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9DFE69F-CC76-4206-99AD-784E443EEE0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sp macro="" textlink="">
        <xdr:nvSpPr>
          <xdr:cNvPr id="44" name="TextBox 43">
            <a:extLst>
              <a:ext uri="{FF2B5EF4-FFF2-40B4-BE49-F238E27FC236}">
                <a16:creationId xmlns:a16="http://schemas.microsoft.com/office/drawing/2014/main" id="{259F6836-83D5-4FF1-A8C3-7A4ACCC0683D}"/>
              </a:ext>
            </a:extLst>
          </xdr:cNvPr>
          <xdr:cNvSpPr txBox="1"/>
        </xdr:nvSpPr>
        <xdr:spPr>
          <a:xfrm>
            <a:off x="10201994" y="4034116"/>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45" name="Group 44">
            <a:extLst>
              <a:ext uri="{FF2B5EF4-FFF2-40B4-BE49-F238E27FC236}">
                <a16:creationId xmlns:a16="http://schemas.microsoft.com/office/drawing/2014/main" id="{1205BAA7-3829-4346-973F-899C9EAE6C47}"/>
              </a:ext>
            </a:extLst>
          </xdr:cNvPr>
          <xdr:cNvGrpSpPr/>
        </xdr:nvGrpSpPr>
        <xdr:grpSpPr>
          <a:xfrm>
            <a:off x="10802070" y="3824567"/>
            <a:ext cx="2055870" cy="2495147"/>
            <a:chOff x="8867775" y="3838575"/>
            <a:chExt cx="2055870" cy="2495147"/>
          </a:xfrm>
        </xdr:grpSpPr>
        <xdr:grpSp>
          <xdr:nvGrpSpPr>
            <xdr:cNvPr id="106" name="Group 105">
              <a:extLst>
                <a:ext uri="{FF2B5EF4-FFF2-40B4-BE49-F238E27FC236}">
                  <a16:creationId xmlns:a16="http://schemas.microsoft.com/office/drawing/2014/main" id="{CF14D87C-3499-494C-A89D-F516CB3C1BEF}"/>
                </a:ext>
              </a:extLst>
            </xdr:cNvPr>
            <xdr:cNvGrpSpPr/>
          </xdr:nvGrpSpPr>
          <xdr:grpSpPr>
            <a:xfrm>
              <a:off x="8867775" y="3838575"/>
              <a:ext cx="2055870" cy="2476500"/>
              <a:chOff x="3094691" y="3867151"/>
              <a:chExt cx="2055870" cy="2476500"/>
            </a:xfrm>
          </xdr:grpSpPr>
          <xdr:grpSp>
            <xdr:nvGrpSpPr>
              <xdr:cNvPr id="110" name="Group 109">
                <a:extLst>
                  <a:ext uri="{FF2B5EF4-FFF2-40B4-BE49-F238E27FC236}">
                    <a16:creationId xmlns:a16="http://schemas.microsoft.com/office/drawing/2014/main" id="{71766FDF-997D-4AEA-929C-12CCEECA6B54}"/>
                  </a:ext>
                </a:extLst>
              </xdr:cNvPr>
              <xdr:cNvGrpSpPr/>
            </xdr:nvGrpSpPr>
            <xdr:grpSpPr>
              <a:xfrm>
                <a:off x="3094691" y="3867151"/>
                <a:ext cx="2055870" cy="2476500"/>
                <a:chOff x="3094691" y="3867151"/>
                <a:chExt cx="2055870" cy="2476500"/>
              </a:xfrm>
            </xdr:grpSpPr>
            <xdr:grpSp>
              <xdr:nvGrpSpPr>
                <xdr:cNvPr id="132" name="Group 131">
                  <a:extLst>
                    <a:ext uri="{FF2B5EF4-FFF2-40B4-BE49-F238E27FC236}">
                      <a16:creationId xmlns:a16="http://schemas.microsoft.com/office/drawing/2014/main" id="{545B6AC1-C6ED-4791-B02A-7C9B03BC1B1C}"/>
                    </a:ext>
                  </a:extLst>
                </xdr:cNvPr>
                <xdr:cNvGrpSpPr/>
              </xdr:nvGrpSpPr>
              <xdr:grpSpPr>
                <a:xfrm>
                  <a:off x="3094691" y="3867151"/>
                  <a:ext cx="1734484" cy="2476500"/>
                  <a:chOff x="3094691" y="3867151"/>
                  <a:chExt cx="1734484" cy="2476500"/>
                </a:xfrm>
              </xdr:grpSpPr>
              <xdr:sp macro="" textlink="">
                <xdr:nvSpPr>
                  <xdr:cNvPr id="138" name="Rectangle: Rounded Corners 137">
                    <a:extLst>
                      <a:ext uri="{FF2B5EF4-FFF2-40B4-BE49-F238E27FC236}">
                        <a16:creationId xmlns:a16="http://schemas.microsoft.com/office/drawing/2014/main" id="{CFEF5203-49EA-42AB-A47A-DEA35EDD32C1}"/>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9" name="TextBox 138">
                    <a:extLst>
                      <a:ext uri="{FF2B5EF4-FFF2-40B4-BE49-F238E27FC236}">
                        <a16:creationId xmlns:a16="http://schemas.microsoft.com/office/drawing/2014/main" id="{B8339F4A-CCD9-4749-8BB5-035813D983E0}"/>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E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33" name="Group 132">
                  <a:extLst>
                    <a:ext uri="{FF2B5EF4-FFF2-40B4-BE49-F238E27FC236}">
                      <a16:creationId xmlns:a16="http://schemas.microsoft.com/office/drawing/2014/main" id="{4E2A4D62-7B97-49BB-A7C3-2371E916E739}"/>
                    </a:ext>
                  </a:extLst>
                </xdr:cNvPr>
                <xdr:cNvGrpSpPr/>
              </xdr:nvGrpSpPr>
              <xdr:grpSpPr>
                <a:xfrm>
                  <a:off x="3095625" y="4276724"/>
                  <a:ext cx="2054936" cy="304397"/>
                  <a:chOff x="3095625" y="4229099"/>
                  <a:chExt cx="2054936" cy="304397"/>
                </a:xfrm>
              </xdr:grpSpPr>
              <xdr:sp macro="" textlink="">
                <xdr:nvSpPr>
                  <xdr:cNvPr id="134" name="Rectangle: Rounded Corners 133">
                    <a:extLst>
                      <a:ext uri="{FF2B5EF4-FFF2-40B4-BE49-F238E27FC236}">
                        <a16:creationId xmlns:a16="http://schemas.microsoft.com/office/drawing/2014/main" id="{44638E24-FCF6-4A99-8348-C61718E1ADD5}"/>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Group 134">
                    <a:extLst>
                      <a:ext uri="{FF2B5EF4-FFF2-40B4-BE49-F238E27FC236}">
                        <a16:creationId xmlns:a16="http://schemas.microsoft.com/office/drawing/2014/main" id="{93893D62-8EF7-48D4-99B4-A3A19FFAAE98}"/>
                      </a:ext>
                    </a:extLst>
                  </xdr:cNvPr>
                  <xdr:cNvGrpSpPr/>
                </xdr:nvGrpSpPr>
                <xdr:grpSpPr>
                  <a:xfrm>
                    <a:off x="3152775" y="4238624"/>
                    <a:ext cx="1997786" cy="294872"/>
                    <a:chOff x="8410575" y="3800474"/>
                    <a:chExt cx="1997786" cy="294872"/>
                  </a:xfrm>
                </xdr:grpSpPr>
                <xdr:sp macro="" textlink="">
                  <xdr:nvSpPr>
                    <xdr:cNvPr id="136" name="TextBox 135">
                      <a:extLst>
                        <a:ext uri="{FF2B5EF4-FFF2-40B4-BE49-F238E27FC236}">
                          <a16:creationId xmlns:a16="http://schemas.microsoft.com/office/drawing/2014/main" id="{48B34EC4-A91E-4B95-9252-24CCAC902845}"/>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37" name="TextBox 136">
                      <a:extLst>
                        <a:ext uri="{FF2B5EF4-FFF2-40B4-BE49-F238E27FC236}">
                          <a16:creationId xmlns:a16="http://schemas.microsoft.com/office/drawing/2014/main" id="{26E274D5-5797-4023-BA7F-B50F8A0D3252}"/>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11" name="Group 110">
                <a:extLst>
                  <a:ext uri="{FF2B5EF4-FFF2-40B4-BE49-F238E27FC236}">
                    <a16:creationId xmlns:a16="http://schemas.microsoft.com/office/drawing/2014/main" id="{26C59832-23F5-4460-BCF3-6A2EAC4209FF}"/>
                  </a:ext>
                </a:extLst>
              </xdr:cNvPr>
              <xdr:cNvGrpSpPr/>
            </xdr:nvGrpSpPr>
            <xdr:grpSpPr>
              <a:xfrm>
                <a:off x="3162300" y="4615142"/>
                <a:ext cx="1715220" cy="1495022"/>
                <a:chOff x="3162300" y="4615142"/>
                <a:chExt cx="1715220" cy="1495022"/>
              </a:xfrm>
            </xdr:grpSpPr>
            <xdr:grpSp>
              <xdr:nvGrpSpPr>
                <xdr:cNvPr id="112" name="Group 111">
                  <a:extLst>
                    <a:ext uri="{FF2B5EF4-FFF2-40B4-BE49-F238E27FC236}">
                      <a16:creationId xmlns:a16="http://schemas.microsoft.com/office/drawing/2014/main" id="{1387572E-3868-4B81-99C7-A6327725F82D}"/>
                    </a:ext>
                  </a:extLst>
                </xdr:cNvPr>
                <xdr:cNvGrpSpPr/>
              </xdr:nvGrpSpPr>
              <xdr:grpSpPr>
                <a:xfrm>
                  <a:off x="3162300" y="4615142"/>
                  <a:ext cx="1714500" cy="294872"/>
                  <a:chOff x="3162300" y="4596092"/>
                  <a:chExt cx="1714500" cy="294872"/>
                </a:xfrm>
              </xdr:grpSpPr>
              <xdr:sp macro="" textlink="">
                <xdr:nvSpPr>
                  <xdr:cNvPr id="129" name="TextBox 128">
                    <a:extLst>
                      <a:ext uri="{FF2B5EF4-FFF2-40B4-BE49-F238E27FC236}">
                        <a16:creationId xmlns:a16="http://schemas.microsoft.com/office/drawing/2014/main" id="{89FDA184-1B7E-4B24-9B4E-66FAC29FA04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E2ds</a:t>
                    </a:r>
                  </a:p>
                </xdr:txBody>
              </xdr:sp>
              <xdr:sp macro="" textlink="'Dashboard Workings'!F28">
                <xdr:nvSpPr>
                  <xdr:cNvPr id="130" name="TextBox 129">
                    <a:extLst>
                      <a:ext uri="{FF2B5EF4-FFF2-40B4-BE49-F238E27FC236}">
                        <a16:creationId xmlns:a16="http://schemas.microsoft.com/office/drawing/2014/main" id="{EA2F450E-EEA3-4DC4-B9FC-AFA6E15504B6}"/>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E0F4167-067A-4D18-ACBA-298B66D78BDB}" type="TxLink">
                      <a:rPr lang="en-US" sz="1100" b="1" i="0" u="none" strike="noStrike">
                        <a:solidFill>
                          <a:schemeClr val="bg1"/>
                        </a:solidFill>
                        <a:latin typeface="Arial" panose="020B0604020202020204" pitchFamily="34" charset="0"/>
                        <a:cs typeface="Arial" panose="020B0604020202020204" pitchFamily="34" charset="0"/>
                      </a:rPr>
                      <a:pPr algn="ctr"/>
                      <a:t>8</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8">
                <xdr:nvSpPr>
                  <xdr:cNvPr id="131" name="TextBox 130">
                    <a:extLst>
                      <a:ext uri="{FF2B5EF4-FFF2-40B4-BE49-F238E27FC236}">
                        <a16:creationId xmlns:a16="http://schemas.microsoft.com/office/drawing/2014/main" id="{24AAECAB-94FD-4209-8E8E-AB0B15DDA5B1}"/>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6B6548-0997-4B08-909F-CC95433D7C91}" type="TxLink">
                      <a:rPr lang="en-US" sz="1100" b="1" i="0" u="none" strike="noStrike">
                        <a:solidFill>
                          <a:schemeClr val="bg1"/>
                        </a:solidFill>
                        <a:latin typeface="Arial" panose="020B0604020202020204" pitchFamily="34" charset="0"/>
                        <a:cs typeface="Arial" panose="020B0604020202020204" pitchFamily="34" charset="0"/>
                      </a:rPr>
                      <a:pPr algn="r"/>
                      <a:t> £444.18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13" name="Group 112">
                  <a:extLst>
                    <a:ext uri="{FF2B5EF4-FFF2-40B4-BE49-F238E27FC236}">
                      <a16:creationId xmlns:a16="http://schemas.microsoft.com/office/drawing/2014/main" id="{25DAFBA2-36D5-4483-B7FD-4EF05074C239}"/>
                    </a:ext>
                  </a:extLst>
                </xdr:cNvPr>
                <xdr:cNvGrpSpPr/>
              </xdr:nvGrpSpPr>
              <xdr:grpSpPr>
                <a:xfrm>
                  <a:off x="3162300" y="4919942"/>
                  <a:ext cx="1714500" cy="294872"/>
                  <a:chOff x="3162300" y="4596092"/>
                  <a:chExt cx="1714500" cy="294872"/>
                </a:xfrm>
              </xdr:grpSpPr>
              <xdr:sp macro="" textlink="">
                <xdr:nvSpPr>
                  <xdr:cNvPr id="126" name="TextBox 125">
                    <a:extLst>
                      <a:ext uri="{FF2B5EF4-FFF2-40B4-BE49-F238E27FC236}">
                        <a16:creationId xmlns:a16="http://schemas.microsoft.com/office/drawing/2014/main" id="{1935FD0E-6B2C-4C6C-8240-B0B2A0C51A4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E4ds</a:t>
                    </a:r>
                  </a:p>
                </xdr:txBody>
              </xdr:sp>
              <xdr:sp macro="" textlink="'Dashboard Workings'!F29">
                <xdr:nvSpPr>
                  <xdr:cNvPr id="127" name="TextBox 126">
                    <a:extLst>
                      <a:ext uri="{FF2B5EF4-FFF2-40B4-BE49-F238E27FC236}">
                        <a16:creationId xmlns:a16="http://schemas.microsoft.com/office/drawing/2014/main" id="{5AB0E498-12A2-4686-B897-7820D2D83B0C}"/>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53D9D86-7F6E-4650-B99E-257A69FB34C1}" type="TxLink">
                      <a:rPr lang="en-US" sz="1100" b="1" i="0" u="none" strike="noStrike">
                        <a:solidFill>
                          <a:schemeClr val="bg1"/>
                        </a:solidFill>
                        <a:latin typeface="Arial" panose="020B0604020202020204" pitchFamily="34" charset="0"/>
                        <a:cs typeface="Arial" panose="020B0604020202020204" pitchFamily="34" charset="0"/>
                      </a:rPr>
                      <a:pPr algn="ctr"/>
                      <a:t>5</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9">
                <xdr:nvSpPr>
                  <xdr:cNvPr id="128" name="TextBox 127">
                    <a:extLst>
                      <a:ext uri="{FF2B5EF4-FFF2-40B4-BE49-F238E27FC236}">
                        <a16:creationId xmlns:a16="http://schemas.microsoft.com/office/drawing/2014/main" id="{3F450726-25E5-4003-9A98-AC0CFB8C1BC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5AB843B-9C36-4A97-8168-DE5E1C894E49}" type="TxLink">
                      <a:rPr lang="en-US" sz="1100" b="1" i="0" u="none" strike="noStrike">
                        <a:solidFill>
                          <a:schemeClr val="bg1"/>
                        </a:solidFill>
                        <a:latin typeface="Arial" panose="020B0604020202020204" pitchFamily="34" charset="0"/>
                        <a:cs typeface="Arial" panose="020B0604020202020204" pitchFamily="34" charset="0"/>
                      </a:rPr>
                      <a:pPr algn="r"/>
                      <a:t> £555.26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14" name="Group 113">
                  <a:extLst>
                    <a:ext uri="{FF2B5EF4-FFF2-40B4-BE49-F238E27FC236}">
                      <a16:creationId xmlns:a16="http://schemas.microsoft.com/office/drawing/2014/main" id="{90F113E4-68E6-4642-83A6-A157318F9C99}"/>
                    </a:ext>
                  </a:extLst>
                </xdr:cNvPr>
                <xdr:cNvGrpSpPr/>
              </xdr:nvGrpSpPr>
              <xdr:grpSpPr>
                <a:xfrm>
                  <a:off x="3163020" y="5224742"/>
                  <a:ext cx="1714500" cy="294872"/>
                  <a:chOff x="3162300" y="4596092"/>
                  <a:chExt cx="1714500" cy="294872"/>
                </a:xfrm>
              </xdr:grpSpPr>
              <xdr:sp macro="" textlink="">
                <xdr:nvSpPr>
                  <xdr:cNvPr id="123" name="TextBox 122">
                    <a:extLst>
                      <a:ext uri="{FF2B5EF4-FFF2-40B4-BE49-F238E27FC236}">
                        <a16:creationId xmlns:a16="http://schemas.microsoft.com/office/drawing/2014/main" id="{866375F9-B7F7-4333-BC05-015C4925E86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E8ds</a:t>
                    </a:r>
                  </a:p>
                </xdr:txBody>
              </xdr:sp>
              <xdr:sp macro="" textlink="'Dashboard Workings'!F33">
                <xdr:nvSpPr>
                  <xdr:cNvPr id="124" name="TextBox 123">
                    <a:extLst>
                      <a:ext uri="{FF2B5EF4-FFF2-40B4-BE49-F238E27FC236}">
                        <a16:creationId xmlns:a16="http://schemas.microsoft.com/office/drawing/2014/main" id="{865D2F52-6092-4ECC-ABEB-DA56E8CBC7E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7CD1D4-0B2B-44F8-A97F-243C562A7DF6}" type="TxLink">
                      <a:rPr lang="en-US" sz="1100" b="1" i="0" u="none" strike="noStrike">
                        <a:solidFill>
                          <a:schemeClr val="bg1"/>
                        </a:solidFill>
                        <a:latin typeface="Arial" panose="020B0604020202020204" pitchFamily="34" charset="0"/>
                        <a:cs typeface="Arial" panose="020B0604020202020204" pitchFamily="34" charset="0"/>
                      </a:rPr>
                      <a:pPr algn="ctr"/>
                      <a:t>1</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3">
                <xdr:nvSpPr>
                  <xdr:cNvPr id="125" name="TextBox 124">
                    <a:extLst>
                      <a:ext uri="{FF2B5EF4-FFF2-40B4-BE49-F238E27FC236}">
                        <a16:creationId xmlns:a16="http://schemas.microsoft.com/office/drawing/2014/main" id="{67905C54-BB0F-4F8B-8EF8-52C2D2A70A2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3B73A15-F93E-4F0C-A1CA-FB318702DA78}" type="TxLink">
                      <a:rPr lang="en-US" sz="1100" b="1" i="0" u="none" strike="noStrike">
                        <a:solidFill>
                          <a:schemeClr val="bg1"/>
                        </a:solidFill>
                        <a:latin typeface="Arial" panose="020B0604020202020204" pitchFamily="34" charset="0"/>
                        <a:cs typeface="Arial" panose="020B0604020202020204" pitchFamily="34" charset="0"/>
                      </a:rPr>
                      <a:pPr algn="r"/>
                      <a:t> £222.16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15" name="Group 114">
                  <a:extLst>
                    <a:ext uri="{FF2B5EF4-FFF2-40B4-BE49-F238E27FC236}">
                      <a16:creationId xmlns:a16="http://schemas.microsoft.com/office/drawing/2014/main" id="{EBA5D121-BF46-4796-A339-8B609A3F826C}"/>
                    </a:ext>
                  </a:extLst>
                </xdr:cNvPr>
                <xdr:cNvGrpSpPr/>
              </xdr:nvGrpSpPr>
              <xdr:grpSpPr>
                <a:xfrm>
                  <a:off x="3163020" y="5520017"/>
                  <a:ext cx="1714500" cy="294872"/>
                  <a:chOff x="3162300" y="4596092"/>
                  <a:chExt cx="1714500" cy="294872"/>
                </a:xfrm>
              </xdr:grpSpPr>
              <xdr:sp macro="" textlink="">
                <xdr:nvSpPr>
                  <xdr:cNvPr id="120" name="TextBox 119">
                    <a:extLst>
                      <a:ext uri="{FF2B5EF4-FFF2-40B4-BE49-F238E27FC236}">
                        <a16:creationId xmlns:a16="http://schemas.microsoft.com/office/drawing/2014/main" id="{03A2D06D-998A-437C-B5F6-D28DA6153F42}"/>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E16ds</a:t>
                    </a:r>
                  </a:p>
                </xdr:txBody>
              </xdr:sp>
              <xdr:sp macro="" textlink="'Dashboard Workings'!F36">
                <xdr:nvSpPr>
                  <xdr:cNvPr id="121" name="TextBox 120">
                    <a:extLst>
                      <a:ext uri="{FF2B5EF4-FFF2-40B4-BE49-F238E27FC236}">
                        <a16:creationId xmlns:a16="http://schemas.microsoft.com/office/drawing/2014/main" id="{9A587DC7-C28E-4309-8952-2AE7733C8736}"/>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0F95B19-8DF2-4E78-96E3-A586960A7719}"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6">
                <xdr:nvSpPr>
                  <xdr:cNvPr id="122" name="TextBox 121">
                    <a:extLst>
                      <a:ext uri="{FF2B5EF4-FFF2-40B4-BE49-F238E27FC236}">
                        <a16:creationId xmlns:a16="http://schemas.microsoft.com/office/drawing/2014/main" id="{D16A1394-1F0B-4DD9-96CF-18614CCFA1B7}"/>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5B5A79D-F4E9-4902-BB52-F5C0EBA0BA5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16" name="Group 115">
                  <a:extLst>
                    <a:ext uri="{FF2B5EF4-FFF2-40B4-BE49-F238E27FC236}">
                      <a16:creationId xmlns:a16="http://schemas.microsoft.com/office/drawing/2014/main" id="{7F2F50CA-7E0F-4C01-BB04-5F9C1C7A117A}"/>
                    </a:ext>
                  </a:extLst>
                </xdr:cNvPr>
                <xdr:cNvGrpSpPr/>
              </xdr:nvGrpSpPr>
              <xdr:grpSpPr>
                <a:xfrm>
                  <a:off x="3163020" y="5815292"/>
                  <a:ext cx="1714500" cy="294872"/>
                  <a:chOff x="3162300" y="4596092"/>
                  <a:chExt cx="1714500" cy="294872"/>
                </a:xfrm>
              </xdr:grpSpPr>
              <xdr:sp macro="" textlink="">
                <xdr:nvSpPr>
                  <xdr:cNvPr id="117" name="TextBox 116">
                    <a:extLst>
                      <a:ext uri="{FF2B5EF4-FFF2-40B4-BE49-F238E27FC236}">
                        <a16:creationId xmlns:a16="http://schemas.microsoft.com/office/drawing/2014/main" id="{4EC5F0AE-23A3-4367-8305-A38CE72457F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E20ds</a:t>
                    </a:r>
                  </a:p>
                </xdr:txBody>
              </xdr:sp>
              <xdr:sp macro="" textlink="'Dashboard Workings'!F37">
                <xdr:nvSpPr>
                  <xdr:cNvPr id="118" name="TextBox 117">
                    <a:extLst>
                      <a:ext uri="{FF2B5EF4-FFF2-40B4-BE49-F238E27FC236}">
                        <a16:creationId xmlns:a16="http://schemas.microsoft.com/office/drawing/2014/main" id="{C1723792-5E24-4FD4-A263-9FCA6B447E7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A811B-3C25-4ACC-9394-11A3966D456A}" type="TxLink">
                      <a:rPr lang="en-US" sz="1100" b="1" i="0" u="none" strike="noStrike">
                        <a:solidFill>
                          <a:schemeClr val="bg1"/>
                        </a:solidFill>
                        <a:latin typeface="Arial" panose="020B0604020202020204" pitchFamily="34" charset="0"/>
                        <a:cs typeface="Arial" panose="020B0604020202020204" pitchFamily="34" charset="0"/>
                      </a:rPr>
                      <a:pPr algn="ctr"/>
                      <a:t>5</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7">
                <xdr:nvSpPr>
                  <xdr:cNvPr id="119" name="TextBox 118">
                    <a:extLst>
                      <a:ext uri="{FF2B5EF4-FFF2-40B4-BE49-F238E27FC236}">
                        <a16:creationId xmlns:a16="http://schemas.microsoft.com/office/drawing/2014/main" id="{9DB90BAA-DC5B-43C2-98B1-ABEEF3F1CBF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66F3A3D-F480-4DEA-B76B-3E90195B8CC8}" type="TxLink">
                      <a:rPr lang="en-US" sz="1100" b="1" i="0" u="none" strike="noStrike">
                        <a:solidFill>
                          <a:schemeClr val="bg1"/>
                        </a:solidFill>
                        <a:latin typeface="Arial" panose="020B0604020202020204" pitchFamily="34" charset="0"/>
                        <a:cs typeface="Arial" panose="020B0604020202020204" pitchFamily="34" charset="0"/>
                      </a:rPr>
                      <a:pPr algn="r"/>
                      <a:t> £2,776.58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107" name="TextBox 106">
              <a:extLst>
                <a:ext uri="{FF2B5EF4-FFF2-40B4-BE49-F238E27FC236}">
                  <a16:creationId xmlns:a16="http://schemas.microsoft.com/office/drawing/2014/main" id="{BB169A9A-0A18-4182-8CDC-7A87963029E9}"/>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E32ds</a:t>
              </a:r>
            </a:p>
          </xdr:txBody>
        </xdr:sp>
        <xdr:sp macro="" textlink="'Dashboard Workings'!F39">
          <xdr:nvSpPr>
            <xdr:cNvPr id="108" name="TextBox 107">
              <a:extLst>
                <a:ext uri="{FF2B5EF4-FFF2-40B4-BE49-F238E27FC236}">
                  <a16:creationId xmlns:a16="http://schemas.microsoft.com/office/drawing/2014/main" id="{C9007F3A-A272-4E13-BEE5-BA8B94A41F9D}"/>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AF3CBB9-578F-439D-AE2A-996E821F6D7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9">
          <xdr:nvSpPr>
            <xdr:cNvPr id="109" name="TextBox 108">
              <a:extLst>
                <a:ext uri="{FF2B5EF4-FFF2-40B4-BE49-F238E27FC236}">
                  <a16:creationId xmlns:a16="http://schemas.microsoft.com/office/drawing/2014/main" id="{AB6F8A0E-7538-459F-97F5-A4CB81173D06}"/>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E06161-310C-46BD-ACB8-E991BA5CACD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6" name="Group 45">
            <a:extLst>
              <a:ext uri="{FF2B5EF4-FFF2-40B4-BE49-F238E27FC236}">
                <a16:creationId xmlns:a16="http://schemas.microsoft.com/office/drawing/2014/main" id="{73B66892-FEA2-4B9F-90DA-38C604F94BDB}"/>
              </a:ext>
            </a:extLst>
          </xdr:cNvPr>
          <xdr:cNvGrpSpPr/>
        </xdr:nvGrpSpPr>
        <xdr:grpSpPr>
          <a:xfrm>
            <a:off x="12697545" y="3824567"/>
            <a:ext cx="2055870" cy="2495147"/>
            <a:chOff x="8867775" y="3838575"/>
            <a:chExt cx="2055870" cy="2495147"/>
          </a:xfrm>
        </xdr:grpSpPr>
        <xdr:grpSp>
          <xdr:nvGrpSpPr>
            <xdr:cNvPr id="72" name="Group 71">
              <a:extLst>
                <a:ext uri="{FF2B5EF4-FFF2-40B4-BE49-F238E27FC236}">
                  <a16:creationId xmlns:a16="http://schemas.microsoft.com/office/drawing/2014/main" id="{5A8DA26F-E146-4208-A744-33B3ED94CE05}"/>
                </a:ext>
              </a:extLst>
            </xdr:cNvPr>
            <xdr:cNvGrpSpPr/>
          </xdr:nvGrpSpPr>
          <xdr:grpSpPr>
            <a:xfrm>
              <a:off x="8867775" y="3838575"/>
              <a:ext cx="2055870" cy="2476500"/>
              <a:chOff x="3094691" y="3867151"/>
              <a:chExt cx="2055870" cy="2476500"/>
            </a:xfrm>
          </xdr:grpSpPr>
          <xdr:grpSp>
            <xdr:nvGrpSpPr>
              <xdr:cNvPr id="76" name="Group 75">
                <a:extLst>
                  <a:ext uri="{FF2B5EF4-FFF2-40B4-BE49-F238E27FC236}">
                    <a16:creationId xmlns:a16="http://schemas.microsoft.com/office/drawing/2014/main" id="{F087BAC7-DC26-4C83-83EE-F64D3EA540FD}"/>
                  </a:ext>
                </a:extLst>
              </xdr:cNvPr>
              <xdr:cNvGrpSpPr/>
            </xdr:nvGrpSpPr>
            <xdr:grpSpPr>
              <a:xfrm>
                <a:off x="3094691" y="3867151"/>
                <a:ext cx="2055870" cy="2476500"/>
                <a:chOff x="3094691" y="3867151"/>
                <a:chExt cx="2055870" cy="2476500"/>
              </a:xfrm>
            </xdr:grpSpPr>
            <xdr:grpSp>
              <xdr:nvGrpSpPr>
                <xdr:cNvPr id="98" name="Group 97">
                  <a:extLst>
                    <a:ext uri="{FF2B5EF4-FFF2-40B4-BE49-F238E27FC236}">
                      <a16:creationId xmlns:a16="http://schemas.microsoft.com/office/drawing/2014/main" id="{4A2B7585-8510-48F6-A256-922DB2EF8C4A}"/>
                    </a:ext>
                  </a:extLst>
                </xdr:cNvPr>
                <xdr:cNvGrpSpPr/>
              </xdr:nvGrpSpPr>
              <xdr:grpSpPr>
                <a:xfrm>
                  <a:off x="3094691" y="3867151"/>
                  <a:ext cx="1734484" cy="2476500"/>
                  <a:chOff x="3094691" y="3867151"/>
                  <a:chExt cx="1734484" cy="2476500"/>
                </a:xfrm>
              </xdr:grpSpPr>
              <xdr:sp macro="" textlink="">
                <xdr:nvSpPr>
                  <xdr:cNvPr id="104" name="Rectangle: Rounded Corners 103">
                    <a:extLst>
                      <a:ext uri="{FF2B5EF4-FFF2-40B4-BE49-F238E27FC236}">
                        <a16:creationId xmlns:a16="http://schemas.microsoft.com/office/drawing/2014/main" id="{DF415C77-6C1E-4817-9F8C-F68A0F898161}"/>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TextBox 104">
                    <a:extLst>
                      <a:ext uri="{FF2B5EF4-FFF2-40B4-BE49-F238E27FC236}">
                        <a16:creationId xmlns:a16="http://schemas.microsoft.com/office/drawing/2014/main" id="{3B61E633-54F0-4A08-B2BA-FB48E3BE3484}"/>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F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99" name="Group 98">
                  <a:extLst>
                    <a:ext uri="{FF2B5EF4-FFF2-40B4-BE49-F238E27FC236}">
                      <a16:creationId xmlns:a16="http://schemas.microsoft.com/office/drawing/2014/main" id="{C0016BD1-17EB-466B-9780-E4F9349932CB}"/>
                    </a:ext>
                  </a:extLst>
                </xdr:cNvPr>
                <xdr:cNvGrpSpPr/>
              </xdr:nvGrpSpPr>
              <xdr:grpSpPr>
                <a:xfrm>
                  <a:off x="3095625" y="4276724"/>
                  <a:ext cx="2054936" cy="304397"/>
                  <a:chOff x="3095625" y="4229099"/>
                  <a:chExt cx="2054936" cy="304397"/>
                </a:xfrm>
              </xdr:grpSpPr>
              <xdr:sp macro="" textlink="">
                <xdr:nvSpPr>
                  <xdr:cNvPr id="100" name="Rectangle: Rounded Corners 99">
                    <a:extLst>
                      <a:ext uri="{FF2B5EF4-FFF2-40B4-BE49-F238E27FC236}">
                        <a16:creationId xmlns:a16="http://schemas.microsoft.com/office/drawing/2014/main" id="{E654AFF5-168C-4FEA-BEE3-125CA550E2AB}"/>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1" name="Group 100">
                    <a:extLst>
                      <a:ext uri="{FF2B5EF4-FFF2-40B4-BE49-F238E27FC236}">
                        <a16:creationId xmlns:a16="http://schemas.microsoft.com/office/drawing/2014/main" id="{6A9EAE2B-75FD-4412-B8D8-29DD8CCA146A}"/>
                      </a:ext>
                    </a:extLst>
                  </xdr:cNvPr>
                  <xdr:cNvGrpSpPr/>
                </xdr:nvGrpSpPr>
                <xdr:grpSpPr>
                  <a:xfrm>
                    <a:off x="3152775" y="4238624"/>
                    <a:ext cx="1997786" cy="294872"/>
                    <a:chOff x="8410575" y="3800474"/>
                    <a:chExt cx="1997786" cy="294872"/>
                  </a:xfrm>
                </xdr:grpSpPr>
                <xdr:sp macro="" textlink="">
                  <xdr:nvSpPr>
                    <xdr:cNvPr id="102" name="TextBox 101">
                      <a:extLst>
                        <a:ext uri="{FF2B5EF4-FFF2-40B4-BE49-F238E27FC236}">
                          <a16:creationId xmlns:a16="http://schemas.microsoft.com/office/drawing/2014/main" id="{053DABDD-9791-44B2-BD72-FEDD71DB4DEB}"/>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03" name="TextBox 102">
                      <a:extLst>
                        <a:ext uri="{FF2B5EF4-FFF2-40B4-BE49-F238E27FC236}">
                          <a16:creationId xmlns:a16="http://schemas.microsoft.com/office/drawing/2014/main" id="{2B49364F-73CC-497F-A3A5-3FC56BA88B5B}"/>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77" name="Group 76">
                <a:extLst>
                  <a:ext uri="{FF2B5EF4-FFF2-40B4-BE49-F238E27FC236}">
                    <a16:creationId xmlns:a16="http://schemas.microsoft.com/office/drawing/2014/main" id="{2CDCF689-2C34-478E-BF50-4A763AAB94CB}"/>
                  </a:ext>
                </a:extLst>
              </xdr:cNvPr>
              <xdr:cNvGrpSpPr/>
            </xdr:nvGrpSpPr>
            <xdr:grpSpPr>
              <a:xfrm>
                <a:off x="3162300" y="4615142"/>
                <a:ext cx="1715220" cy="1495022"/>
                <a:chOff x="3162300" y="4615142"/>
                <a:chExt cx="1715220" cy="1495022"/>
              </a:xfrm>
            </xdr:grpSpPr>
            <xdr:grpSp>
              <xdr:nvGrpSpPr>
                <xdr:cNvPr id="78" name="Group 77">
                  <a:extLst>
                    <a:ext uri="{FF2B5EF4-FFF2-40B4-BE49-F238E27FC236}">
                      <a16:creationId xmlns:a16="http://schemas.microsoft.com/office/drawing/2014/main" id="{2CC67E5C-EE25-416C-A70E-F96D98C1B262}"/>
                    </a:ext>
                  </a:extLst>
                </xdr:cNvPr>
                <xdr:cNvGrpSpPr/>
              </xdr:nvGrpSpPr>
              <xdr:grpSpPr>
                <a:xfrm>
                  <a:off x="3162300" y="4615142"/>
                  <a:ext cx="1714500" cy="294872"/>
                  <a:chOff x="3162300" y="4596092"/>
                  <a:chExt cx="1714500" cy="294872"/>
                </a:xfrm>
              </xdr:grpSpPr>
              <xdr:sp macro="" textlink="">
                <xdr:nvSpPr>
                  <xdr:cNvPr id="95" name="TextBox 94">
                    <a:extLst>
                      <a:ext uri="{FF2B5EF4-FFF2-40B4-BE49-F238E27FC236}">
                        <a16:creationId xmlns:a16="http://schemas.microsoft.com/office/drawing/2014/main" id="{9C939691-25E0-4930-BD9F-9B706306653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v2</a:t>
                    </a:r>
                  </a:p>
                </xdr:txBody>
              </xdr:sp>
              <xdr:sp macro="" textlink="'Dashboard Workings'!F42">
                <xdr:nvSpPr>
                  <xdr:cNvPr id="96" name="TextBox 95">
                    <a:extLst>
                      <a:ext uri="{FF2B5EF4-FFF2-40B4-BE49-F238E27FC236}">
                        <a16:creationId xmlns:a16="http://schemas.microsoft.com/office/drawing/2014/main" id="{307CBA5A-0854-4C58-9EFF-99A17C298C48}"/>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2215EB-742D-4B4D-A0AD-2AB926E0407A}" type="TxLink">
                      <a:rPr lang="en-US" sz="1100" b="1" i="0" u="none" strike="noStrike">
                        <a:solidFill>
                          <a:schemeClr val="bg1"/>
                        </a:solidFill>
                        <a:latin typeface="Arial" panose="020B0604020202020204" pitchFamily="34" charset="0"/>
                        <a:cs typeface="Arial" panose="020B0604020202020204" pitchFamily="34" charset="0"/>
                      </a:rPr>
                      <a:pPr algn="ctr"/>
                      <a:t>50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2">
                <xdr:nvSpPr>
                  <xdr:cNvPr id="97" name="TextBox 96">
                    <a:extLst>
                      <a:ext uri="{FF2B5EF4-FFF2-40B4-BE49-F238E27FC236}">
                        <a16:creationId xmlns:a16="http://schemas.microsoft.com/office/drawing/2014/main" id="{6127778F-6F3B-4AC1-9C52-00F4D1275277}"/>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728D79B-FC42-49BB-B3F3-44009377625C}" type="TxLink">
                      <a:rPr lang="en-US" sz="1100" b="1" i="0" u="none" strike="noStrike">
                        <a:solidFill>
                          <a:schemeClr val="bg1"/>
                        </a:solidFill>
                        <a:latin typeface="Arial" panose="020B0604020202020204" pitchFamily="34" charset="0"/>
                        <a:cs typeface="Arial" panose="020B0604020202020204" pitchFamily="34" charset="0"/>
                      </a:rPr>
                      <a:pPr algn="r"/>
                      <a:t> £1,562.05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79" name="Group 78">
                  <a:extLst>
                    <a:ext uri="{FF2B5EF4-FFF2-40B4-BE49-F238E27FC236}">
                      <a16:creationId xmlns:a16="http://schemas.microsoft.com/office/drawing/2014/main" id="{AB0BF037-3FD3-4F24-B300-D2F0FFF0AFA3}"/>
                    </a:ext>
                  </a:extLst>
                </xdr:cNvPr>
                <xdr:cNvGrpSpPr/>
              </xdr:nvGrpSpPr>
              <xdr:grpSpPr>
                <a:xfrm>
                  <a:off x="3162300" y="4919942"/>
                  <a:ext cx="1714500" cy="294872"/>
                  <a:chOff x="3162300" y="4596092"/>
                  <a:chExt cx="1714500" cy="294872"/>
                </a:xfrm>
              </xdr:grpSpPr>
              <xdr:sp macro="" textlink="">
                <xdr:nvSpPr>
                  <xdr:cNvPr id="92" name="TextBox 91">
                    <a:extLst>
                      <a:ext uri="{FF2B5EF4-FFF2-40B4-BE49-F238E27FC236}">
                        <a16:creationId xmlns:a16="http://schemas.microsoft.com/office/drawing/2014/main" id="{6110EC92-A767-468E-8FF4-B1193CD77BD3}"/>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F4s v2</a:t>
                    </a:r>
                  </a:p>
                </xdr:txBody>
              </xdr:sp>
              <xdr:sp macro="" textlink="'Dashboard Workings'!F43">
                <xdr:nvSpPr>
                  <xdr:cNvPr id="93" name="TextBox 92">
                    <a:extLst>
                      <a:ext uri="{FF2B5EF4-FFF2-40B4-BE49-F238E27FC236}">
                        <a16:creationId xmlns:a16="http://schemas.microsoft.com/office/drawing/2014/main" id="{D794A880-43B6-4F9F-88C4-809799D20A84}"/>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C8364D-63A7-41A0-979D-2688E09F02CF}" type="TxLink">
                      <a:rPr lang="en-US" sz="1100" b="1" i="0" u="none" strike="noStrike">
                        <a:solidFill>
                          <a:schemeClr val="bg1"/>
                        </a:solidFill>
                        <a:latin typeface="Arial" panose="020B0604020202020204" pitchFamily="34" charset="0"/>
                        <a:cs typeface="Arial" panose="020B0604020202020204" pitchFamily="34" charset="0"/>
                      </a:rPr>
                      <a:pPr algn="ctr"/>
                      <a:t>6</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3">
                <xdr:nvSpPr>
                  <xdr:cNvPr id="94" name="TextBox 93">
                    <a:extLst>
                      <a:ext uri="{FF2B5EF4-FFF2-40B4-BE49-F238E27FC236}">
                        <a16:creationId xmlns:a16="http://schemas.microsoft.com/office/drawing/2014/main" id="{343282FE-2595-4928-A4F1-6D79F363CB11}"/>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D93D41D-BAD0-42CC-BFF6-AD1C9E38840D}" type="TxLink">
                      <a:rPr lang="en-US" sz="1100" b="1" i="0" u="none" strike="noStrike">
                        <a:solidFill>
                          <a:schemeClr val="bg1"/>
                        </a:solidFill>
                        <a:latin typeface="Arial" panose="020B0604020202020204" pitchFamily="34" charset="0"/>
                        <a:cs typeface="Arial" panose="020B0604020202020204" pitchFamily="34" charset="0"/>
                      </a:rPr>
                      <a:pPr algn="r"/>
                      <a:t> £375.25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80" name="Group 79">
                  <a:extLst>
                    <a:ext uri="{FF2B5EF4-FFF2-40B4-BE49-F238E27FC236}">
                      <a16:creationId xmlns:a16="http://schemas.microsoft.com/office/drawing/2014/main" id="{9D68785A-5ED9-4B07-84AB-A1E3A63F03F9}"/>
                    </a:ext>
                  </a:extLst>
                </xdr:cNvPr>
                <xdr:cNvGrpSpPr/>
              </xdr:nvGrpSpPr>
              <xdr:grpSpPr>
                <a:xfrm>
                  <a:off x="3163020" y="5224742"/>
                  <a:ext cx="1714500" cy="294872"/>
                  <a:chOff x="3162300" y="4596092"/>
                  <a:chExt cx="1714500" cy="294872"/>
                </a:xfrm>
              </xdr:grpSpPr>
              <xdr:sp macro="" textlink="">
                <xdr:nvSpPr>
                  <xdr:cNvPr id="89" name="TextBox 88">
                    <a:extLst>
                      <a:ext uri="{FF2B5EF4-FFF2-40B4-BE49-F238E27FC236}">
                        <a16:creationId xmlns:a16="http://schemas.microsoft.com/office/drawing/2014/main" id="{3848C75E-C00C-417C-957E-89A7B19E2C5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F8s v2</a:t>
                    </a:r>
                  </a:p>
                </xdr:txBody>
              </xdr:sp>
              <xdr:sp macro="" textlink="'Dashboard Workings'!F44">
                <xdr:nvSpPr>
                  <xdr:cNvPr id="90" name="TextBox 89">
                    <a:extLst>
                      <a:ext uri="{FF2B5EF4-FFF2-40B4-BE49-F238E27FC236}">
                        <a16:creationId xmlns:a16="http://schemas.microsoft.com/office/drawing/2014/main" id="{F0A34295-B35E-4047-BED0-C4E13006DDA4}"/>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EF764D-020C-457D-A0BA-7C27FB5ECF3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4">
                <xdr:nvSpPr>
                  <xdr:cNvPr id="91" name="TextBox 90">
                    <a:extLst>
                      <a:ext uri="{FF2B5EF4-FFF2-40B4-BE49-F238E27FC236}">
                        <a16:creationId xmlns:a16="http://schemas.microsoft.com/office/drawing/2014/main" id="{F3B636E3-5FCF-4E06-8B61-1C13961F77A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B8C1CA3-0C12-45D5-90BB-863B1BFE7928}"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81" name="Group 80">
                  <a:extLst>
                    <a:ext uri="{FF2B5EF4-FFF2-40B4-BE49-F238E27FC236}">
                      <a16:creationId xmlns:a16="http://schemas.microsoft.com/office/drawing/2014/main" id="{46DE4F74-73F1-4730-95B5-9BDCCB631AD9}"/>
                    </a:ext>
                  </a:extLst>
                </xdr:cNvPr>
                <xdr:cNvGrpSpPr/>
              </xdr:nvGrpSpPr>
              <xdr:grpSpPr>
                <a:xfrm>
                  <a:off x="3163020" y="5520017"/>
                  <a:ext cx="1714500" cy="294872"/>
                  <a:chOff x="3162300" y="4596092"/>
                  <a:chExt cx="1714500" cy="294872"/>
                </a:xfrm>
              </xdr:grpSpPr>
              <xdr:sp macro="" textlink="">
                <xdr:nvSpPr>
                  <xdr:cNvPr id="86" name="TextBox 85">
                    <a:extLst>
                      <a:ext uri="{FF2B5EF4-FFF2-40B4-BE49-F238E27FC236}">
                        <a16:creationId xmlns:a16="http://schemas.microsoft.com/office/drawing/2014/main" id="{782B94B6-3D37-404B-8B37-8144F5E6C69B}"/>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F16s</a:t>
                    </a:r>
                  </a:p>
                </xdr:txBody>
              </xdr:sp>
              <xdr:sp macro="" textlink="'Dashboard Workings'!F45">
                <xdr:nvSpPr>
                  <xdr:cNvPr id="87" name="TextBox 86">
                    <a:extLst>
                      <a:ext uri="{FF2B5EF4-FFF2-40B4-BE49-F238E27FC236}">
                        <a16:creationId xmlns:a16="http://schemas.microsoft.com/office/drawing/2014/main" id="{3AD7E991-5DEB-40B1-91EF-2FECCFB70B35}"/>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BFC1F95-2286-4FA0-8324-58C9AE6A175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5">
                <xdr:nvSpPr>
                  <xdr:cNvPr id="88" name="TextBox 87">
                    <a:extLst>
                      <a:ext uri="{FF2B5EF4-FFF2-40B4-BE49-F238E27FC236}">
                        <a16:creationId xmlns:a16="http://schemas.microsoft.com/office/drawing/2014/main" id="{D2003DB1-D71D-4C0A-8569-F1198EA3FFB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638C980-82BE-4D1C-8714-627232B554DE}"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82" name="Group 81">
                  <a:extLst>
                    <a:ext uri="{FF2B5EF4-FFF2-40B4-BE49-F238E27FC236}">
                      <a16:creationId xmlns:a16="http://schemas.microsoft.com/office/drawing/2014/main" id="{9C12A57B-3005-453E-A3BB-1810AE7EA164}"/>
                    </a:ext>
                  </a:extLst>
                </xdr:cNvPr>
                <xdr:cNvGrpSpPr/>
              </xdr:nvGrpSpPr>
              <xdr:grpSpPr>
                <a:xfrm>
                  <a:off x="3163020" y="5815292"/>
                  <a:ext cx="1714500" cy="294872"/>
                  <a:chOff x="3162300" y="4596092"/>
                  <a:chExt cx="1714500" cy="294872"/>
                </a:xfrm>
              </xdr:grpSpPr>
              <xdr:sp macro="" textlink="">
                <xdr:nvSpPr>
                  <xdr:cNvPr id="83" name="TextBox 82">
                    <a:extLst>
                      <a:ext uri="{FF2B5EF4-FFF2-40B4-BE49-F238E27FC236}">
                        <a16:creationId xmlns:a16="http://schemas.microsoft.com/office/drawing/2014/main" id="{D8D877C7-4568-4C02-ADDC-D3B564182E3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F32s</a:t>
                    </a:r>
                  </a:p>
                </xdr:txBody>
              </xdr:sp>
              <xdr:sp macro="" textlink="'Dashboard Workings'!F46">
                <xdr:nvSpPr>
                  <xdr:cNvPr id="84" name="TextBox 83">
                    <a:extLst>
                      <a:ext uri="{FF2B5EF4-FFF2-40B4-BE49-F238E27FC236}">
                        <a16:creationId xmlns:a16="http://schemas.microsoft.com/office/drawing/2014/main" id="{9C7F7E87-6D8A-4F27-A05A-8A07C6B16C5F}"/>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AB43FA-4F8A-4E20-A1AB-50700A7EE6A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6">
                <xdr:nvSpPr>
                  <xdr:cNvPr id="85" name="TextBox 84">
                    <a:extLst>
                      <a:ext uri="{FF2B5EF4-FFF2-40B4-BE49-F238E27FC236}">
                        <a16:creationId xmlns:a16="http://schemas.microsoft.com/office/drawing/2014/main" id="{7A3CFA99-1C34-49D7-9572-AEECD57579B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29EDF5F-9876-47DC-B646-E0C55C65022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73" name="TextBox 72">
              <a:extLst>
                <a:ext uri="{FF2B5EF4-FFF2-40B4-BE49-F238E27FC236}">
                  <a16:creationId xmlns:a16="http://schemas.microsoft.com/office/drawing/2014/main" id="{F60B7149-4A5D-4CE0-8FCE-C6604A19E95B}"/>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v1</a:t>
              </a:r>
            </a:p>
          </xdr:txBody>
        </xdr:sp>
        <xdr:sp macro="" textlink="'Dashboard Workings'!F50">
          <xdr:nvSpPr>
            <xdr:cNvPr id="74" name="TextBox 73">
              <a:extLst>
                <a:ext uri="{FF2B5EF4-FFF2-40B4-BE49-F238E27FC236}">
                  <a16:creationId xmlns:a16="http://schemas.microsoft.com/office/drawing/2014/main" id="{440FACB0-6209-4D93-985C-5A9FCB8C4657}"/>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3C65E56-3275-4FBE-90CA-E79E309CE8E0}"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50">
          <xdr:nvSpPr>
            <xdr:cNvPr id="75" name="TextBox 74">
              <a:extLst>
                <a:ext uri="{FF2B5EF4-FFF2-40B4-BE49-F238E27FC236}">
                  <a16:creationId xmlns:a16="http://schemas.microsoft.com/office/drawing/2014/main" id="{8E738553-8FAF-4167-9E15-B37A08A3570D}"/>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444C4B5-7522-4264-A627-54D51239AEA8}"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7" name="Group 46">
            <a:extLst>
              <a:ext uri="{FF2B5EF4-FFF2-40B4-BE49-F238E27FC236}">
                <a16:creationId xmlns:a16="http://schemas.microsoft.com/office/drawing/2014/main" id="{1A363E3C-6D21-4750-8336-D7032F7A3851}"/>
              </a:ext>
            </a:extLst>
          </xdr:cNvPr>
          <xdr:cNvGrpSpPr/>
        </xdr:nvGrpSpPr>
        <xdr:grpSpPr>
          <a:xfrm>
            <a:off x="5029200" y="6381750"/>
            <a:ext cx="1744729" cy="294872"/>
            <a:chOff x="3104216" y="6396317"/>
            <a:chExt cx="1744729" cy="294872"/>
          </a:xfrm>
        </xdr:grpSpPr>
        <xdr:sp macro="" textlink="">
          <xdr:nvSpPr>
            <xdr:cNvPr id="68" name="Rectangle: Rounded Corners 67">
              <a:extLst>
                <a:ext uri="{FF2B5EF4-FFF2-40B4-BE49-F238E27FC236}">
                  <a16:creationId xmlns:a16="http://schemas.microsoft.com/office/drawing/2014/main" id="{8D938F67-9F92-4181-8476-B36F339FC9A3}"/>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9" name="Group 68">
              <a:extLst>
                <a:ext uri="{FF2B5EF4-FFF2-40B4-BE49-F238E27FC236}">
                  <a16:creationId xmlns:a16="http://schemas.microsoft.com/office/drawing/2014/main" id="{56C231B9-EEFC-4000-9FA1-E409E5471895}"/>
                </a:ext>
              </a:extLst>
            </xdr:cNvPr>
            <xdr:cNvGrpSpPr/>
          </xdr:nvGrpSpPr>
          <xdr:grpSpPr>
            <a:xfrm>
              <a:off x="3134445" y="6396317"/>
              <a:ext cx="1714500" cy="294872"/>
              <a:chOff x="3162300" y="4596092"/>
              <a:chExt cx="1714500" cy="294872"/>
            </a:xfrm>
          </xdr:grpSpPr>
          <xdr:sp macro="" textlink="">
            <xdr:nvSpPr>
              <xdr:cNvPr id="70" name="TextBox 69">
                <a:extLst>
                  <a:ext uri="{FF2B5EF4-FFF2-40B4-BE49-F238E27FC236}">
                    <a16:creationId xmlns:a16="http://schemas.microsoft.com/office/drawing/2014/main" id="{D8E4A017-4C10-4596-B9A3-B886F8AFFC0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3">
            <xdr:nvSpPr>
              <xdr:cNvPr id="71" name="TextBox 70">
                <a:extLst>
                  <a:ext uri="{FF2B5EF4-FFF2-40B4-BE49-F238E27FC236}">
                    <a16:creationId xmlns:a16="http://schemas.microsoft.com/office/drawing/2014/main" id="{0F18FB65-9E12-49F8-9BAD-360B571F75A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11D52B6-7567-4DDA-AD2F-747B3A79CED3}" type="TxLink">
                  <a:rPr lang="en-US" sz="1200" b="1" i="0" u="none" strike="noStrike">
                    <a:solidFill>
                      <a:srgbClr val="000000"/>
                    </a:solidFill>
                    <a:latin typeface="Calibri"/>
                    <a:cs typeface="Calibri"/>
                  </a:rPr>
                  <a:pPr algn="r"/>
                  <a:t> £-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48" name="Group 47">
            <a:extLst>
              <a:ext uri="{FF2B5EF4-FFF2-40B4-BE49-F238E27FC236}">
                <a16:creationId xmlns:a16="http://schemas.microsoft.com/office/drawing/2014/main" id="{13F05574-542F-41C8-93C0-0CC6E0BAAEDC}"/>
              </a:ext>
            </a:extLst>
          </xdr:cNvPr>
          <xdr:cNvGrpSpPr/>
        </xdr:nvGrpSpPr>
        <xdr:grpSpPr>
          <a:xfrm>
            <a:off x="6973019" y="6386791"/>
            <a:ext cx="1744729" cy="294872"/>
            <a:chOff x="3104216" y="6396317"/>
            <a:chExt cx="1744729" cy="294872"/>
          </a:xfrm>
        </xdr:grpSpPr>
        <xdr:sp macro="" textlink="">
          <xdr:nvSpPr>
            <xdr:cNvPr id="64" name="Rectangle: Rounded Corners 63">
              <a:extLst>
                <a:ext uri="{FF2B5EF4-FFF2-40B4-BE49-F238E27FC236}">
                  <a16:creationId xmlns:a16="http://schemas.microsoft.com/office/drawing/2014/main" id="{67E9115D-7387-447E-8707-3BD76EF8C226}"/>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5" name="Group 64">
              <a:extLst>
                <a:ext uri="{FF2B5EF4-FFF2-40B4-BE49-F238E27FC236}">
                  <a16:creationId xmlns:a16="http://schemas.microsoft.com/office/drawing/2014/main" id="{E5C691E7-928A-4BDE-8462-3B0FB671045E}"/>
                </a:ext>
              </a:extLst>
            </xdr:cNvPr>
            <xdr:cNvGrpSpPr/>
          </xdr:nvGrpSpPr>
          <xdr:grpSpPr>
            <a:xfrm>
              <a:off x="3134445" y="6396317"/>
              <a:ext cx="1714500" cy="294872"/>
              <a:chOff x="3162300" y="4596092"/>
              <a:chExt cx="1714500" cy="294872"/>
            </a:xfrm>
          </xdr:grpSpPr>
          <xdr:sp macro="" textlink="">
            <xdr:nvSpPr>
              <xdr:cNvPr id="66" name="TextBox 65">
                <a:extLst>
                  <a:ext uri="{FF2B5EF4-FFF2-40B4-BE49-F238E27FC236}">
                    <a16:creationId xmlns:a16="http://schemas.microsoft.com/office/drawing/2014/main" id="{E501FF99-3400-4EEA-B784-AD0B8E5B98F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4">
            <xdr:nvSpPr>
              <xdr:cNvPr id="67" name="TextBox 66">
                <a:extLst>
                  <a:ext uri="{FF2B5EF4-FFF2-40B4-BE49-F238E27FC236}">
                    <a16:creationId xmlns:a16="http://schemas.microsoft.com/office/drawing/2014/main" id="{30123E21-ED09-420A-8306-8892863D23F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9D3ECB7-CD02-4083-A7E2-066EEA8B8DC1}" type="TxLink">
                  <a:rPr lang="en-US" sz="1200" b="1" i="0" u="none" strike="noStrike">
                    <a:solidFill>
                      <a:srgbClr val="000000"/>
                    </a:solidFill>
                    <a:latin typeface="Calibri"/>
                    <a:cs typeface="Calibri"/>
                  </a:rPr>
                  <a:pPr algn="r"/>
                  <a:t> £-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49" name="Group 48">
            <a:extLst>
              <a:ext uri="{FF2B5EF4-FFF2-40B4-BE49-F238E27FC236}">
                <a16:creationId xmlns:a16="http://schemas.microsoft.com/office/drawing/2014/main" id="{03ACA5AB-7767-44CD-98DF-A4471CCD7103}"/>
              </a:ext>
            </a:extLst>
          </xdr:cNvPr>
          <xdr:cNvGrpSpPr/>
        </xdr:nvGrpSpPr>
        <xdr:grpSpPr>
          <a:xfrm>
            <a:off x="8878019" y="6386791"/>
            <a:ext cx="1744729" cy="294872"/>
            <a:chOff x="3104216" y="6396317"/>
            <a:chExt cx="1744729" cy="294872"/>
          </a:xfrm>
        </xdr:grpSpPr>
        <xdr:sp macro="" textlink="">
          <xdr:nvSpPr>
            <xdr:cNvPr id="60" name="Rectangle: Rounded Corners 59">
              <a:extLst>
                <a:ext uri="{FF2B5EF4-FFF2-40B4-BE49-F238E27FC236}">
                  <a16:creationId xmlns:a16="http://schemas.microsoft.com/office/drawing/2014/main" id="{6ADD5FDA-F79D-4A89-A90A-65677144C24F}"/>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1" name="Group 60">
              <a:extLst>
                <a:ext uri="{FF2B5EF4-FFF2-40B4-BE49-F238E27FC236}">
                  <a16:creationId xmlns:a16="http://schemas.microsoft.com/office/drawing/2014/main" id="{1998A6C8-7E5E-428A-B63D-78621BA3D2D1}"/>
                </a:ext>
              </a:extLst>
            </xdr:cNvPr>
            <xdr:cNvGrpSpPr/>
          </xdr:nvGrpSpPr>
          <xdr:grpSpPr>
            <a:xfrm>
              <a:off x="3134445" y="6396317"/>
              <a:ext cx="1714500" cy="294872"/>
              <a:chOff x="3162300" y="4596092"/>
              <a:chExt cx="1714500" cy="294872"/>
            </a:xfrm>
          </xdr:grpSpPr>
          <xdr:sp macro="" textlink="">
            <xdr:nvSpPr>
              <xdr:cNvPr id="62" name="TextBox 61">
                <a:extLst>
                  <a:ext uri="{FF2B5EF4-FFF2-40B4-BE49-F238E27FC236}">
                    <a16:creationId xmlns:a16="http://schemas.microsoft.com/office/drawing/2014/main" id="{BF576527-A9B2-4C6B-B9A1-84B692B44063}"/>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5">
            <xdr:nvSpPr>
              <xdr:cNvPr id="63" name="TextBox 62">
                <a:extLst>
                  <a:ext uri="{FF2B5EF4-FFF2-40B4-BE49-F238E27FC236}">
                    <a16:creationId xmlns:a16="http://schemas.microsoft.com/office/drawing/2014/main" id="{3C1F1F97-3D9E-4CAA-B6EB-683D69FB00D2}"/>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84BEF4-150F-483A-B840-C2E216C3DA72}" type="TxLink">
                  <a:rPr lang="en-US" sz="1200" b="1" i="0" u="none" strike="noStrike">
                    <a:solidFill>
                      <a:srgbClr val="000000"/>
                    </a:solidFill>
                    <a:latin typeface="Calibri"/>
                    <a:cs typeface="Calibri"/>
                  </a:rPr>
                  <a:pPr algn="r"/>
                  <a:t> £2,881.70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50" name="Group 49">
            <a:extLst>
              <a:ext uri="{FF2B5EF4-FFF2-40B4-BE49-F238E27FC236}">
                <a16:creationId xmlns:a16="http://schemas.microsoft.com/office/drawing/2014/main" id="{8012DE92-59FE-4400-A92B-EF59544D6628}"/>
              </a:ext>
            </a:extLst>
          </xdr:cNvPr>
          <xdr:cNvGrpSpPr/>
        </xdr:nvGrpSpPr>
        <xdr:grpSpPr>
          <a:xfrm>
            <a:off x="10811594" y="6386791"/>
            <a:ext cx="1744729" cy="294872"/>
            <a:chOff x="3104216" y="6396317"/>
            <a:chExt cx="1744729" cy="294872"/>
          </a:xfrm>
        </xdr:grpSpPr>
        <xdr:sp macro="" textlink="">
          <xdr:nvSpPr>
            <xdr:cNvPr id="56" name="Rectangle: Rounded Corners 55">
              <a:extLst>
                <a:ext uri="{FF2B5EF4-FFF2-40B4-BE49-F238E27FC236}">
                  <a16:creationId xmlns:a16="http://schemas.microsoft.com/office/drawing/2014/main" id="{076FBC1D-9421-4E0A-A28E-FA11CC5A56E9}"/>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7" name="Group 56">
              <a:extLst>
                <a:ext uri="{FF2B5EF4-FFF2-40B4-BE49-F238E27FC236}">
                  <a16:creationId xmlns:a16="http://schemas.microsoft.com/office/drawing/2014/main" id="{9A19A842-7D5D-41A3-B48A-CA98DAC9C187}"/>
                </a:ext>
              </a:extLst>
            </xdr:cNvPr>
            <xdr:cNvGrpSpPr/>
          </xdr:nvGrpSpPr>
          <xdr:grpSpPr>
            <a:xfrm>
              <a:off x="3134445" y="6396317"/>
              <a:ext cx="1714500" cy="294872"/>
              <a:chOff x="3162300" y="4596092"/>
              <a:chExt cx="1714500" cy="294872"/>
            </a:xfrm>
          </xdr:grpSpPr>
          <xdr:sp macro="" textlink="">
            <xdr:nvSpPr>
              <xdr:cNvPr id="58" name="TextBox 57">
                <a:extLst>
                  <a:ext uri="{FF2B5EF4-FFF2-40B4-BE49-F238E27FC236}">
                    <a16:creationId xmlns:a16="http://schemas.microsoft.com/office/drawing/2014/main" id="{04360099-6F06-4A7F-AFBC-ECF5FA689D6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6">
            <xdr:nvSpPr>
              <xdr:cNvPr id="59" name="TextBox 58">
                <a:extLst>
                  <a:ext uri="{FF2B5EF4-FFF2-40B4-BE49-F238E27FC236}">
                    <a16:creationId xmlns:a16="http://schemas.microsoft.com/office/drawing/2014/main" id="{9086B6EC-DA1E-4011-9BEB-FE705DF50C0F}"/>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00C41AA-1B90-4CAD-AF66-F977A591683E}" type="TxLink">
                  <a:rPr lang="en-US" sz="1200" b="1" i="0" u="none" strike="noStrike">
                    <a:solidFill>
                      <a:srgbClr val="000000"/>
                    </a:solidFill>
                    <a:latin typeface="Calibri"/>
                    <a:cs typeface="Calibri"/>
                  </a:rPr>
                  <a:pPr algn="r"/>
                  <a:t> £7,441.26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51" name="Group 50">
            <a:extLst>
              <a:ext uri="{FF2B5EF4-FFF2-40B4-BE49-F238E27FC236}">
                <a16:creationId xmlns:a16="http://schemas.microsoft.com/office/drawing/2014/main" id="{F37D371B-B257-42B2-81B9-4E2F47253A3E}"/>
              </a:ext>
            </a:extLst>
          </xdr:cNvPr>
          <xdr:cNvGrpSpPr/>
        </xdr:nvGrpSpPr>
        <xdr:grpSpPr>
          <a:xfrm>
            <a:off x="12707069" y="6377266"/>
            <a:ext cx="1744729" cy="294872"/>
            <a:chOff x="3104216" y="6396317"/>
            <a:chExt cx="1744729" cy="294872"/>
          </a:xfrm>
        </xdr:grpSpPr>
        <xdr:sp macro="" textlink="">
          <xdr:nvSpPr>
            <xdr:cNvPr id="52" name="Rectangle: Rounded Corners 51">
              <a:extLst>
                <a:ext uri="{FF2B5EF4-FFF2-40B4-BE49-F238E27FC236}">
                  <a16:creationId xmlns:a16="http://schemas.microsoft.com/office/drawing/2014/main" id="{38020210-F19B-49DC-B8B4-DEE9C5BAF7C1}"/>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3" name="Group 52">
              <a:extLst>
                <a:ext uri="{FF2B5EF4-FFF2-40B4-BE49-F238E27FC236}">
                  <a16:creationId xmlns:a16="http://schemas.microsoft.com/office/drawing/2014/main" id="{2F418926-3F0C-468B-BDCC-C288A17E95F0}"/>
                </a:ext>
              </a:extLst>
            </xdr:cNvPr>
            <xdr:cNvGrpSpPr/>
          </xdr:nvGrpSpPr>
          <xdr:grpSpPr>
            <a:xfrm>
              <a:off x="3134445" y="6396317"/>
              <a:ext cx="1714500" cy="294872"/>
              <a:chOff x="3162300" y="4596092"/>
              <a:chExt cx="1714500" cy="294872"/>
            </a:xfrm>
          </xdr:grpSpPr>
          <xdr:sp macro="" textlink="">
            <xdr:nvSpPr>
              <xdr:cNvPr id="54" name="TextBox 53">
                <a:extLst>
                  <a:ext uri="{FF2B5EF4-FFF2-40B4-BE49-F238E27FC236}">
                    <a16:creationId xmlns:a16="http://schemas.microsoft.com/office/drawing/2014/main" id="{C8D57A39-0A96-4854-8BD6-F500034139C7}"/>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7">
            <xdr:nvSpPr>
              <xdr:cNvPr id="55" name="TextBox 54">
                <a:extLst>
                  <a:ext uri="{FF2B5EF4-FFF2-40B4-BE49-F238E27FC236}">
                    <a16:creationId xmlns:a16="http://schemas.microsoft.com/office/drawing/2014/main" id="{2E0B5DDA-BC17-4DF7-A40C-C2B441BDF55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5D6D47C-7CAB-429A-B055-E1D4C32B761B}" type="TxLink">
                  <a:rPr lang="en-US" sz="1200" b="1" i="0" u="none" strike="noStrike">
                    <a:solidFill>
                      <a:srgbClr val="000000"/>
                    </a:solidFill>
                    <a:latin typeface="Calibri"/>
                    <a:cs typeface="Calibri"/>
                  </a:rPr>
                  <a:pPr algn="r"/>
                  <a:t> £1,937.29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clientData/>
  </xdr:twoCellAnchor>
  <xdr:twoCellAnchor>
    <xdr:from>
      <xdr:col>20</xdr:col>
      <xdr:colOff>304800</xdr:colOff>
      <xdr:row>4</xdr:row>
      <xdr:rowOff>171450</xdr:rowOff>
    </xdr:from>
    <xdr:to>
      <xdr:col>21</xdr:col>
      <xdr:colOff>419100</xdr:colOff>
      <xdr:row>6</xdr:row>
      <xdr:rowOff>66675</xdr:rowOff>
    </xdr:to>
    <xdr:grpSp>
      <xdr:nvGrpSpPr>
        <xdr:cNvPr id="264" name="Group 263">
          <a:hlinkClick xmlns:r="http://schemas.openxmlformats.org/officeDocument/2006/relationships" r:id="rId2"/>
          <a:extLst>
            <a:ext uri="{FF2B5EF4-FFF2-40B4-BE49-F238E27FC236}">
              <a16:creationId xmlns:a16="http://schemas.microsoft.com/office/drawing/2014/main" id="{0D89C2E0-6A92-47DF-A441-5D4B8F315E97}"/>
            </a:ext>
          </a:extLst>
        </xdr:cNvPr>
        <xdr:cNvGrpSpPr/>
      </xdr:nvGrpSpPr>
      <xdr:grpSpPr>
        <a:xfrm>
          <a:off x="13092386" y="907174"/>
          <a:ext cx="753680" cy="263087"/>
          <a:chOff x="1123950" y="2124075"/>
          <a:chExt cx="723900" cy="276225"/>
        </a:xfrm>
      </xdr:grpSpPr>
      <xdr:sp macro="" textlink="">
        <xdr:nvSpPr>
          <xdr:cNvPr id="265" name="Rectangle: Rounded Corners 264">
            <a:extLst>
              <a:ext uri="{FF2B5EF4-FFF2-40B4-BE49-F238E27FC236}">
                <a16:creationId xmlns:a16="http://schemas.microsoft.com/office/drawing/2014/main" id="{E56AB07B-93FA-4884-AB83-307CE02C3FBF}"/>
              </a:ext>
            </a:extLst>
          </xdr:cNvPr>
          <xdr:cNvSpPr/>
        </xdr:nvSpPr>
        <xdr:spPr>
          <a:xfrm>
            <a:off x="1123950" y="2124075"/>
            <a:ext cx="723900" cy="2762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sp macro="" textlink="">
        <xdr:nvSpPr>
          <xdr:cNvPr id="266" name="Rectangle: Rounded Corners 265">
            <a:extLst>
              <a:ext uri="{FF2B5EF4-FFF2-40B4-BE49-F238E27FC236}">
                <a16:creationId xmlns:a16="http://schemas.microsoft.com/office/drawing/2014/main" id="{559B78D7-00C5-4DF7-AE55-CCD84F4ED6E8}"/>
              </a:ext>
            </a:extLst>
          </xdr:cNvPr>
          <xdr:cNvSpPr/>
        </xdr:nvSpPr>
        <xdr:spPr>
          <a:xfrm>
            <a:off x="1152524" y="2152650"/>
            <a:ext cx="238125" cy="219075"/>
          </a:xfrm>
          <a:prstGeom prst="roundRect">
            <a:avLst/>
          </a:prstGeom>
          <a:gradFill>
            <a:gsLst>
              <a:gs pos="0">
                <a:schemeClr val="accent2"/>
              </a:gs>
              <a:gs pos="30000">
                <a:schemeClr val="accent2"/>
              </a:gs>
              <a:gs pos="100000">
                <a:schemeClr val="accent4"/>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grpSp>
    <xdr:clientData/>
  </xdr:twoCellAnchor>
  <xdr:twoCellAnchor>
    <xdr:from>
      <xdr:col>18</xdr:col>
      <xdr:colOff>51707</xdr:colOff>
      <xdr:row>4</xdr:row>
      <xdr:rowOff>76202</xdr:rowOff>
    </xdr:from>
    <xdr:to>
      <xdr:col>20</xdr:col>
      <xdr:colOff>247650</xdr:colOff>
      <xdr:row>7</xdr:row>
      <xdr:rowOff>35380</xdr:rowOff>
    </xdr:to>
    <xdr:sp macro="" textlink="">
      <xdr:nvSpPr>
        <xdr:cNvPr id="267" name="TextBox 266">
          <a:extLst>
            <a:ext uri="{FF2B5EF4-FFF2-40B4-BE49-F238E27FC236}">
              <a16:creationId xmlns:a16="http://schemas.microsoft.com/office/drawing/2014/main" id="{79AB38AE-CD8D-40F6-A355-02C14315C9B2}"/>
            </a:ext>
          </a:extLst>
        </xdr:cNvPr>
        <xdr:cNvSpPr txBox="1"/>
      </xdr:nvSpPr>
      <xdr:spPr>
        <a:xfrm>
          <a:off x="11024507" y="838202"/>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flip="none" rotWithShape="1">
                <a:gsLst>
                  <a:gs pos="0">
                    <a:schemeClr val="accent2"/>
                  </a:gs>
                  <a:gs pos="17000">
                    <a:schemeClr val="accent2">
                      <a:lumMod val="75000"/>
                    </a:schemeClr>
                  </a:gs>
                  <a:gs pos="100000">
                    <a:schemeClr val="accent4"/>
                  </a:gs>
                </a:gsLst>
                <a:lin ang="2700000" scaled="1"/>
                <a:tileRect/>
              </a:gradFill>
              <a:latin typeface="Arial" panose="020B0604020202020204" pitchFamily="34" charset="0"/>
              <a:cs typeface="Arial" panose="020B0604020202020204" pitchFamily="34" charset="0"/>
            </a:rPr>
            <a:t>Current</a:t>
          </a:r>
        </a:p>
      </xdr:txBody>
    </xdr:sp>
    <xdr:clientData/>
  </xdr:twoCellAnchor>
  <xdr:twoCellAnchor>
    <xdr:from>
      <xdr:col>21</xdr:col>
      <xdr:colOff>594632</xdr:colOff>
      <xdr:row>4</xdr:row>
      <xdr:rowOff>66677</xdr:rowOff>
    </xdr:from>
    <xdr:to>
      <xdr:col>24</xdr:col>
      <xdr:colOff>180975</xdr:colOff>
      <xdr:row>7</xdr:row>
      <xdr:rowOff>25855</xdr:rowOff>
    </xdr:to>
    <xdr:sp macro="" textlink="">
      <xdr:nvSpPr>
        <xdr:cNvPr id="268" name="TextBox 267">
          <a:extLst>
            <a:ext uri="{FF2B5EF4-FFF2-40B4-BE49-F238E27FC236}">
              <a16:creationId xmlns:a16="http://schemas.microsoft.com/office/drawing/2014/main" id="{6ADD7E92-CA49-437D-9E07-3F512F447241}"/>
            </a:ext>
          </a:extLst>
        </xdr:cNvPr>
        <xdr:cNvSpPr txBox="1"/>
      </xdr:nvSpPr>
      <xdr:spPr>
        <a:xfrm>
          <a:off x="13396232" y="828677"/>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solidFill>
                <a:schemeClr val="bg1"/>
              </a:solidFill>
              <a:latin typeface="Arial" panose="020B0604020202020204" pitchFamily="34" charset="0"/>
              <a:cs typeface="Arial" panose="020B0604020202020204" pitchFamily="34" charset="0"/>
            </a:rPr>
            <a:t>New</a:t>
          </a:r>
        </a:p>
      </xdr:txBody>
    </xdr:sp>
    <xdr:clientData/>
  </xdr:twoCellAnchor>
  <xdr:twoCellAnchor>
    <xdr:from>
      <xdr:col>24</xdr:col>
      <xdr:colOff>166007</xdr:colOff>
      <xdr:row>4</xdr:row>
      <xdr:rowOff>76202</xdr:rowOff>
    </xdr:from>
    <xdr:to>
      <xdr:col>26</xdr:col>
      <xdr:colOff>361950</xdr:colOff>
      <xdr:row>7</xdr:row>
      <xdr:rowOff>35380</xdr:rowOff>
    </xdr:to>
    <xdr:sp macro="" textlink="">
      <xdr:nvSpPr>
        <xdr:cNvPr id="269" name="TextBox 268">
          <a:extLst>
            <a:ext uri="{FF2B5EF4-FFF2-40B4-BE49-F238E27FC236}">
              <a16:creationId xmlns:a16="http://schemas.microsoft.com/office/drawing/2014/main" id="{9D40B698-1141-4204-AA0D-42A1A959DBBC}"/>
            </a:ext>
          </a:extLst>
        </xdr:cNvPr>
        <xdr:cNvSpPr txBox="1"/>
      </xdr:nvSpPr>
      <xdr:spPr>
        <a:xfrm>
          <a:off x="14796407" y="838202"/>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RI VM's:</a:t>
          </a:r>
          <a:r>
            <a:rPr lang="en-ZA" sz="2400" b="1" baseline="0">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 </a:t>
          </a:r>
          <a:endPar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endParaRPr>
        </a:p>
      </xdr:txBody>
    </xdr:sp>
    <xdr:clientData/>
  </xdr:twoCellAnchor>
  <xdr:twoCellAnchor>
    <xdr:from>
      <xdr:col>26</xdr:col>
      <xdr:colOff>299358</xdr:colOff>
      <xdr:row>4</xdr:row>
      <xdr:rowOff>76202</xdr:rowOff>
    </xdr:from>
    <xdr:to>
      <xdr:col>28</xdr:col>
      <xdr:colOff>200026</xdr:colOff>
      <xdr:row>7</xdr:row>
      <xdr:rowOff>35380</xdr:rowOff>
    </xdr:to>
    <xdr:sp macro="" textlink="'Dashboard Workings'!D67">
      <xdr:nvSpPr>
        <xdr:cNvPr id="270" name="TextBox 269">
          <a:extLst>
            <a:ext uri="{FF2B5EF4-FFF2-40B4-BE49-F238E27FC236}">
              <a16:creationId xmlns:a16="http://schemas.microsoft.com/office/drawing/2014/main" id="{68948887-2736-4C58-93EC-CF06F1F43D16}"/>
            </a:ext>
          </a:extLst>
        </xdr:cNvPr>
        <xdr:cNvSpPr txBox="1"/>
      </xdr:nvSpPr>
      <xdr:spPr>
        <a:xfrm>
          <a:off x="16148958" y="838202"/>
          <a:ext cx="1119868"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B16A502-1A07-4683-8160-A1007E965118}" type="TxLink">
            <a:rPr lang="en-US" sz="2400" b="1" i="0" u="none" strike="noStrike">
              <a:solidFill>
                <a:schemeClr val="bg1"/>
              </a:solidFill>
              <a:latin typeface="Calibri"/>
              <a:cs typeface="Calibri"/>
            </a:rPr>
            <a:pPr algn="l"/>
            <a:t>123</a:t>
          </a:fld>
          <a:endParaRPr lang="en-ZA" sz="4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581025</xdr:colOff>
      <xdr:row>10</xdr:row>
      <xdr:rowOff>19049</xdr:rowOff>
    </xdr:from>
    <xdr:to>
      <xdr:col>7</xdr:col>
      <xdr:colOff>38100</xdr:colOff>
      <xdr:row>12</xdr:row>
      <xdr:rowOff>38099</xdr:rowOff>
    </xdr:to>
    <xdr:sp macro="" textlink="">
      <xdr:nvSpPr>
        <xdr:cNvPr id="271" name="Rectangle: Rounded Corners 270">
          <a:extLst>
            <a:ext uri="{FF2B5EF4-FFF2-40B4-BE49-F238E27FC236}">
              <a16:creationId xmlns:a16="http://schemas.microsoft.com/office/drawing/2014/main" id="{6FBDD146-6A0E-496F-AD81-A03BB3870C30}"/>
            </a:ext>
          </a:extLst>
        </xdr:cNvPr>
        <xdr:cNvSpPr/>
      </xdr:nvSpPr>
      <xdr:spPr>
        <a:xfrm>
          <a:off x="581025" y="1924049"/>
          <a:ext cx="3724275" cy="400050"/>
        </a:xfrm>
        <a:prstGeom prst="roundRect">
          <a:avLst>
            <a:gd name="adj" fmla="val 10606"/>
          </a:avLst>
        </a:prstGeom>
        <a:gradFill flip="none" rotWithShape="1">
          <a:gsLst>
            <a:gs pos="4000">
              <a:schemeClr val="accent6">
                <a:alpha val="91000"/>
              </a:schemeClr>
            </a:gs>
            <a:gs pos="39000">
              <a:schemeClr val="accent6">
                <a:lumMod val="75000"/>
              </a:schemeClr>
            </a:gs>
            <a:gs pos="100000">
              <a:schemeClr val="tx1">
                <a:lumMod val="75000"/>
                <a:lumOff val="2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85725</xdr:colOff>
      <xdr:row>9</xdr:row>
      <xdr:rowOff>161925</xdr:rowOff>
    </xdr:from>
    <xdr:to>
      <xdr:col>6</xdr:col>
      <xdr:colOff>304801</xdr:colOff>
      <xdr:row>12</xdr:row>
      <xdr:rowOff>121103</xdr:rowOff>
    </xdr:to>
    <xdr:sp macro="" textlink="">
      <xdr:nvSpPr>
        <xdr:cNvPr id="272" name="TextBox 271">
          <a:extLst>
            <a:ext uri="{FF2B5EF4-FFF2-40B4-BE49-F238E27FC236}">
              <a16:creationId xmlns:a16="http://schemas.microsoft.com/office/drawing/2014/main" id="{E77C8CC5-485A-4478-BC3F-D56461C6BC2C}"/>
            </a:ext>
          </a:extLst>
        </xdr:cNvPr>
        <xdr:cNvSpPr txBox="1"/>
      </xdr:nvSpPr>
      <xdr:spPr>
        <a:xfrm>
          <a:off x="1304925" y="1876425"/>
          <a:ext cx="265747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ea typeface="+mn-ea"/>
              <a:cs typeface="Arial" panose="020B0604020202020204" pitchFamily="34" charset="0"/>
            </a:rPr>
            <a:t>VM RI</a:t>
          </a:r>
          <a:r>
            <a:rPr lang="en-ZA" sz="2400" b="1">
              <a:solidFill>
                <a:schemeClr val="bg1"/>
              </a:solidFill>
              <a:latin typeface="Arial" panose="020B0604020202020204" pitchFamily="34" charset="0"/>
              <a:cs typeface="Arial" panose="020B0604020202020204" pitchFamily="34" charset="0"/>
            </a:rPr>
            <a:t> </a:t>
          </a:r>
          <a:r>
            <a:rPr lang="en-ZA" sz="2400" b="1">
              <a:solidFill>
                <a:schemeClr val="bg1"/>
              </a:solidFill>
              <a:latin typeface="Arial" panose="020B0604020202020204" pitchFamily="34" charset="0"/>
              <a:ea typeface="+mn-ea"/>
              <a:cs typeface="Arial" panose="020B0604020202020204" pitchFamily="34" charset="0"/>
            </a:rPr>
            <a:t>Costs</a:t>
          </a:r>
        </a:p>
      </xdr:txBody>
    </xdr:sp>
    <xdr:clientData/>
  </xdr:twoCellAnchor>
  <xdr:twoCellAnchor>
    <xdr:from>
      <xdr:col>2</xdr:col>
      <xdr:colOff>95250</xdr:colOff>
      <xdr:row>13</xdr:row>
      <xdr:rowOff>28575</xdr:rowOff>
    </xdr:from>
    <xdr:to>
      <xdr:col>6</xdr:col>
      <xdr:colOff>295276</xdr:colOff>
      <xdr:row>15</xdr:row>
      <xdr:rowOff>178253</xdr:rowOff>
    </xdr:to>
    <xdr:sp macro="" textlink="">
      <xdr:nvSpPr>
        <xdr:cNvPr id="273" name="TextBox 272">
          <a:extLst>
            <a:ext uri="{FF2B5EF4-FFF2-40B4-BE49-F238E27FC236}">
              <a16:creationId xmlns:a16="http://schemas.microsoft.com/office/drawing/2014/main" id="{13BA248B-BA9E-49E3-9F30-E87D02461361}"/>
            </a:ext>
          </a:extLst>
        </xdr:cNvPr>
        <xdr:cNvSpPr txBox="1"/>
      </xdr:nvSpPr>
      <xdr:spPr>
        <a:xfrm>
          <a:off x="1314450" y="2505075"/>
          <a:ext cx="263842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cs typeface="Arial" panose="020B0604020202020204" pitchFamily="34" charset="0"/>
            </a:rPr>
            <a:t>RI</a:t>
          </a:r>
          <a:r>
            <a:rPr lang="en-ZA" sz="2400" b="1" baseline="0">
              <a:solidFill>
                <a:schemeClr val="bg1"/>
              </a:solidFill>
              <a:latin typeface="Arial" panose="020B0604020202020204" pitchFamily="34" charset="0"/>
              <a:cs typeface="Arial" panose="020B0604020202020204" pitchFamily="34" charset="0"/>
            </a:rPr>
            <a:t> Details</a:t>
          </a:r>
          <a:endParaRPr lang="en-ZA" sz="2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42182</xdr:colOff>
      <xdr:row>8</xdr:row>
      <xdr:rowOff>180977</xdr:rowOff>
    </xdr:from>
    <xdr:to>
      <xdr:col>23</xdr:col>
      <xdr:colOff>393888</xdr:colOff>
      <xdr:row>18</xdr:row>
      <xdr:rowOff>90210</xdr:rowOff>
    </xdr:to>
    <xdr:grpSp>
      <xdr:nvGrpSpPr>
        <xdr:cNvPr id="274" name="Group 273">
          <a:extLst>
            <a:ext uri="{FF2B5EF4-FFF2-40B4-BE49-F238E27FC236}">
              <a16:creationId xmlns:a16="http://schemas.microsoft.com/office/drawing/2014/main" id="{85C35A49-E475-4A1C-9AFA-2DBEC33AB339}"/>
            </a:ext>
          </a:extLst>
        </xdr:cNvPr>
        <xdr:cNvGrpSpPr/>
      </xdr:nvGrpSpPr>
      <xdr:grpSpPr>
        <a:xfrm>
          <a:off x="8993492" y="1652425"/>
          <a:ext cx="6106120" cy="1748544"/>
          <a:chOff x="5839545" y="1710017"/>
          <a:chExt cx="5838106" cy="1814233"/>
        </a:xfrm>
      </xdr:grpSpPr>
      <xdr:sp macro="" textlink="">
        <xdr:nvSpPr>
          <xdr:cNvPr id="275" name="Rectangle: Rounded Corners 274">
            <a:extLst>
              <a:ext uri="{FF2B5EF4-FFF2-40B4-BE49-F238E27FC236}">
                <a16:creationId xmlns:a16="http://schemas.microsoft.com/office/drawing/2014/main" id="{1944B432-9F3B-4659-9339-CB49A5B826F5}"/>
              </a:ext>
            </a:extLst>
          </xdr:cNvPr>
          <xdr:cNvSpPr/>
        </xdr:nvSpPr>
        <xdr:spPr>
          <a:xfrm>
            <a:off x="5839545" y="1710017"/>
            <a:ext cx="5838106" cy="1795184"/>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76" name="Chart 275">
            <a:extLst>
              <a:ext uri="{FF2B5EF4-FFF2-40B4-BE49-F238E27FC236}">
                <a16:creationId xmlns:a16="http://schemas.microsoft.com/office/drawing/2014/main" id="{C32FA7DA-044F-4378-B62C-E2DA0E199E29}"/>
              </a:ext>
            </a:extLst>
          </xdr:cNvPr>
          <xdr:cNvGraphicFramePr>
            <a:graphicFrameLocks/>
          </xdr:cNvGraphicFramePr>
        </xdr:nvGraphicFramePr>
        <xdr:xfrm>
          <a:off x="5867400" y="1714500"/>
          <a:ext cx="5753100" cy="180975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419100</xdr:colOff>
      <xdr:row>21</xdr:row>
      <xdr:rowOff>28575</xdr:rowOff>
    </xdr:from>
    <xdr:to>
      <xdr:col>9</xdr:col>
      <xdr:colOff>152400</xdr:colOff>
      <xdr:row>23</xdr:row>
      <xdr:rowOff>178253</xdr:rowOff>
    </xdr:to>
    <xdr:sp macro="" textlink="'Dashboard Workings'!D72">
      <xdr:nvSpPr>
        <xdr:cNvPr id="277" name="TextBox 276">
          <a:extLst>
            <a:ext uri="{FF2B5EF4-FFF2-40B4-BE49-F238E27FC236}">
              <a16:creationId xmlns:a16="http://schemas.microsoft.com/office/drawing/2014/main" id="{98C4A77A-065E-4E1C-ABE1-B437F252760C}"/>
            </a:ext>
          </a:extLst>
        </xdr:cNvPr>
        <xdr:cNvSpPr txBox="1"/>
      </xdr:nvSpPr>
      <xdr:spPr>
        <a:xfrm>
          <a:off x="3467100" y="4029075"/>
          <a:ext cx="2171700"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1C593A1-BA0F-4F4D-B6D2-2E3B9FA68F1B}" type="TxLink">
            <a:rPr lang="en-US" sz="1800" b="1" i="0" u="none" strike="noStrike">
              <a:solidFill>
                <a:schemeClr val="bg1"/>
              </a:solidFill>
              <a:latin typeface="Calibri"/>
              <a:cs typeface="Calibri"/>
            </a:rPr>
            <a:pPr algn="r"/>
            <a:t>£ 123.53 / £ 135.95</a:t>
          </a:fld>
          <a:endParaRPr lang="en-ZA" sz="2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523875</xdr:colOff>
      <xdr:row>21</xdr:row>
      <xdr:rowOff>9525</xdr:rowOff>
    </xdr:from>
    <xdr:to>
      <xdr:col>5</xdr:col>
      <xdr:colOff>409575</xdr:colOff>
      <xdr:row>23</xdr:row>
      <xdr:rowOff>159203</xdr:rowOff>
    </xdr:to>
    <xdr:grpSp>
      <xdr:nvGrpSpPr>
        <xdr:cNvPr id="6" name="Group 5">
          <a:extLst>
            <a:ext uri="{FF2B5EF4-FFF2-40B4-BE49-F238E27FC236}">
              <a16:creationId xmlns:a16="http://schemas.microsoft.com/office/drawing/2014/main" id="{087103A8-C60E-4B87-99F4-24883FD8D9E2}"/>
            </a:ext>
          </a:extLst>
        </xdr:cNvPr>
        <xdr:cNvGrpSpPr/>
      </xdr:nvGrpSpPr>
      <xdr:grpSpPr>
        <a:xfrm>
          <a:off x="523875" y="3872077"/>
          <a:ext cx="3082597" cy="517540"/>
          <a:chOff x="514350" y="4010025"/>
          <a:chExt cx="2933700" cy="530678"/>
        </a:xfrm>
      </xdr:grpSpPr>
      <xdr:sp macro="" textlink="">
        <xdr:nvSpPr>
          <xdr:cNvPr id="278" name="Rectangle: Rounded Corners 277">
            <a:extLst>
              <a:ext uri="{FF2B5EF4-FFF2-40B4-BE49-F238E27FC236}">
                <a16:creationId xmlns:a16="http://schemas.microsoft.com/office/drawing/2014/main" id="{77F21BA4-BAA8-4649-AA58-A7077F10B2E2}"/>
              </a:ext>
            </a:extLst>
          </xdr:cNvPr>
          <xdr:cNvSpPr/>
        </xdr:nvSpPr>
        <xdr:spPr>
          <a:xfrm>
            <a:off x="619125" y="4038599"/>
            <a:ext cx="2828925" cy="400050"/>
          </a:xfrm>
          <a:prstGeom prst="roundRect">
            <a:avLst>
              <a:gd name="adj" fmla="val 10606"/>
            </a:avLst>
          </a:prstGeom>
          <a:gradFill flip="none" rotWithShape="1">
            <a:gsLst>
              <a:gs pos="4000">
                <a:schemeClr val="accent2"/>
              </a:gs>
              <a:gs pos="65000">
                <a:schemeClr val="accent2">
                  <a:lumMod val="75000"/>
                </a:schemeClr>
              </a:gs>
              <a:gs pos="100000">
                <a:schemeClr val="accent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9" name="TextBox 278">
            <a:extLst>
              <a:ext uri="{FF2B5EF4-FFF2-40B4-BE49-F238E27FC236}">
                <a16:creationId xmlns:a16="http://schemas.microsoft.com/office/drawing/2014/main" id="{70C26B31-B62B-430B-AA86-52F9DF020E26}"/>
              </a:ext>
            </a:extLst>
          </xdr:cNvPr>
          <xdr:cNvSpPr txBox="1"/>
        </xdr:nvSpPr>
        <xdr:spPr>
          <a:xfrm>
            <a:off x="514350" y="4010025"/>
            <a:ext cx="265747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ea typeface="+mn-ea"/>
                <a:cs typeface="Arial" panose="020B0604020202020204" pitchFamily="34" charset="0"/>
              </a:rPr>
              <a:t>APPS_EU_TEST</a:t>
            </a:r>
          </a:p>
        </xdr:txBody>
      </xdr:sp>
    </xdr:grpSp>
    <xdr:clientData/>
  </xdr:twoCellAnchor>
  <xdr:twoCellAnchor>
    <xdr:from>
      <xdr:col>0</xdr:col>
      <xdr:colOff>523875</xdr:colOff>
      <xdr:row>24</xdr:row>
      <xdr:rowOff>104775</xdr:rowOff>
    </xdr:from>
    <xdr:to>
      <xdr:col>5</xdr:col>
      <xdr:colOff>409575</xdr:colOff>
      <xdr:row>27</xdr:row>
      <xdr:rowOff>63953</xdr:rowOff>
    </xdr:to>
    <xdr:grpSp>
      <xdr:nvGrpSpPr>
        <xdr:cNvPr id="280" name="Group 279">
          <a:extLst>
            <a:ext uri="{FF2B5EF4-FFF2-40B4-BE49-F238E27FC236}">
              <a16:creationId xmlns:a16="http://schemas.microsoft.com/office/drawing/2014/main" id="{3A3AE1D8-146B-4911-BE33-DD8325F9475D}"/>
            </a:ext>
          </a:extLst>
        </xdr:cNvPr>
        <xdr:cNvGrpSpPr/>
      </xdr:nvGrpSpPr>
      <xdr:grpSpPr>
        <a:xfrm>
          <a:off x="523875" y="4519120"/>
          <a:ext cx="3082597" cy="510971"/>
          <a:chOff x="514350" y="4010025"/>
          <a:chExt cx="2933700" cy="530678"/>
        </a:xfrm>
      </xdr:grpSpPr>
      <xdr:sp macro="" textlink="">
        <xdr:nvSpPr>
          <xdr:cNvPr id="281" name="Rectangle: Rounded Corners 280">
            <a:extLst>
              <a:ext uri="{FF2B5EF4-FFF2-40B4-BE49-F238E27FC236}">
                <a16:creationId xmlns:a16="http://schemas.microsoft.com/office/drawing/2014/main" id="{00975964-1CC0-41E1-95D0-0A4B1A29C497}"/>
              </a:ext>
            </a:extLst>
          </xdr:cNvPr>
          <xdr:cNvSpPr/>
        </xdr:nvSpPr>
        <xdr:spPr>
          <a:xfrm>
            <a:off x="619125" y="4038599"/>
            <a:ext cx="2828925" cy="400050"/>
          </a:xfrm>
          <a:prstGeom prst="roundRect">
            <a:avLst>
              <a:gd name="adj" fmla="val 10606"/>
            </a:avLst>
          </a:prstGeom>
          <a:gradFill flip="none" rotWithShape="1">
            <a:gsLst>
              <a:gs pos="4000">
                <a:schemeClr val="accent2"/>
              </a:gs>
              <a:gs pos="65000">
                <a:schemeClr val="accent2">
                  <a:lumMod val="75000"/>
                </a:schemeClr>
              </a:gs>
              <a:gs pos="100000">
                <a:schemeClr val="accent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2" name="TextBox 281">
            <a:extLst>
              <a:ext uri="{FF2B5EF4-FFF2-40B4-BE49-F238E27FC236}">
                <a16:creationId xmlns:a16="http://schemas.microsoft.com/office/drawing/2014/main" id="{E3534773-1F33-4B48-A07B-80C248792F2B}"/>
              </a:ext>
            </a:extLst>
          </xdr:cNvPr>
          <xdr:cNvSpPr txBox="1"/>
        </xdr:nvSpPr>
        <xdr:spPr>
          <a:xfrm>
            <a:off x="514350" y="4010025"/>
            <a:ext cx="265747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ea typeface="+mn-ea"/>
                <a:cs typeface="Arial" panose="020B0604020202020204" pitchFamily="34" charset="0"/>
              </a:rPr>
              <a:t>APPS_EU_UAT</a:t>
            </a:r>
          </a:p>
        </xdr:txBody>
      </xdr:sp>
    </xdr:grpSp>
    <xdr:clientData/>
  </xdr:twoCellAnchor>
  <xdr:twoCellAnchor>
    <xdr:from>
      <xdr:col>0</xdr:col>
      <xdr:colOff>523875</xdr:colOff>
      <xdr:row>28</xdr:row>
      <xdr:rowOff>9525</xdr:rowOff>
    </xdr:from>
    <xdr:to>
      <xdr:col>5</xdr:col>
      <xdr:colOff>409575</xdr:colOff>
      <xdr:row>30</xdr:row>
      <xdr:rowOff>159203</xdr:rowOff>
    </xdr:to>
    <xdr:grpSp>
      <xdr:nvGrpSpPr>
        <xdr:cNvPr id="283" name="Group 282">
          <a:extLst>
            <a:ext uri="{FF2B5EF4-FFF2-40B4-BE49-F238E27FC236}">
              <a16:creationId xmlns:a16="http://schemas.microsoft.com/office/drawing/2014/main" id="{D483977B-217B-4C2D-84AE-B64E86BE2E5A}"/>
            </a:ext>
          </a:extLst>
        </xdr:cNvPr>
        <xdr:cNvGrpSpPr/>
      </xdr:nvGrpSpPr>
      <xdr:grpSpPr>
        <a:xfrm>
          <a:off x="523875" y="5159594"/>
          <a:ext cx="3082597" cy="517540"/>
          <a:chOff x="514350" y="4010025"/>
          <a:chExt cx="2933700" cy="530678"/>
        </a:xfrm>
      </xdr:grpSpPr>
      <xdr:sp macro="" textlink="">
        <xdr:nvSpPr>
          <xdr:cNvPr id="284" name="Rectangle: Rounded Corners 283">
            <a:extLst>
              <a:ext uri="{FF2B5EF4-FFF2-40B4-BE49-F238E27FC236}">
                <a16:creationId xmlns:a16="http://schemas.microsoft.com/office/drawing/2014/main" id="{2AF55C34-48DF-49E8-BFB5-E80C504BD165}"/>
              </a:ext>
            </a:extLst>
          </xdr:cNvPr>
          <xdr:cNvSpPr/>
        </xdr:nvSpPr>
        <xdr:spPr>
          <a:xfrm>
            <a:off x="619125" y="4038599"/>
            <a:ext cx="2828925" cy="400050"/>
          </a:xfrm>
          <a:prstGeom prst="roundRect">
            <a:avLst>
              <a:gd name="adj" fmla="val 10606"/>
            </a:avLst>
          </a:prstGeom>
          <a:gradFill flip="none" rotWithShape="1">
            <a:gsLst>
              <a:gs pos="4000">
                <a:schemeClr val="accent2"/>
              </a:gs>
              <a:gs pos="65000">
                <a:schemeClr val="accent2">
                  <a:lumMod val="75000"/>
                </a:schemeClr>
              </a:gs>
              <a:gs pos="100000">
                <a:schemeClr val="accent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5" name="TextBox 284">
            <a:extLst>
              <a:ext uri="{FF2B5EF4-FFF2-40B4-BE49-F238E27FC236}">
                <a16:creationId xmlns:a16="http://schemas.microsoft.com/office/drawing/2014/main" id="{185176A3-40E6-4D46-9B06-EC4755167041}"/>
              </a:ext>
            </a:extLst>
          </xdr:cNvPr>
          <xdr:cNvSpPr txBox="1"/>
        </xdr:nvSpPr>
        <xdr:spPr>
          <a:xfrm>
            <a:off x="514350" y="4010025"/>
            <a:ext cx="265747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ea typeface="+mn-ea"/>
                <a:cs typeface="Arial" panose="020B0604020202020204" pitchFamily="34" charset="0"/>
              </a:rPr>
              <a:t>APPS_EU_PROD</a:t>
            </a:r>
          </a:p>
        </xdr:txBody>
      </xdr:sp>
    </xdr:grpSp>
    <xdr:clientData/>
  </xdr:twoCellAnchor>
  <xdr:twoCellAnchor>
    <xdr:from>
      <xdr:col>5</xdr:col>
      <xdr:colOff>342900</xdr:colOff>
      <xdr:row>24</xdr:row>
      <xdr:rowOff>119342</xdr:rowOff>
    </xdr:from>
    <xdr:to>
      <xdr:col>9</xdr:col>
      <xdr:colOff>209550</xdr:colOff>
      <xdr:row>27</xdr:row>
      <xdr:rowOff>78520</xdr:rowOff>
    </xdr:to>
    <xdr:sp macro="" textlink="'Dashboard Workings'!D73">
      <xdr:nvSpPr>
        <xdr:cNvPr id="286" name="TextBox 285">
          <a:extLst>
            <a:ext uri="{FF2B5EF4-FFF2-40B4-BE49-F238E27FC236}">
              <a16:creationId xmlns:a16="http://schemas.microsoft.com/office/drawing/2014/main" id="{1DF2958E-A63D-4997-B8BD-75F8C4D8D2E5}"/>
            </a:ext>
          </a:extLst>
        </xdr:cNvPr>
        <xdr:cNvSpPr txBox="1"/>
      </xdr:nvSpPr>
      <xdr:spPr>
        <a:xfrm>
          <a:off x="3390900" y="4691342"/>
          <a:ext cx="2305050"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AAA371-9A70-4B70-BA7B-9BE417D0E515}" type="TxLink">
            <a:rPr lang="en-US" sz="1800" b="1" i="0" u="none" strike="noStrike">
              <a:solidFill>
                <a:schemeClr val="bg1"/>
              </a:solidFill>
              <a:latin typeface="Calibri"/>
              <a:cs typeface="Calibri"/>
            </a:rPr>
            <a:pPr algn="r"/>
            <a:t>£ 228.61 / £ 757.41</a:t>
          </a:fld>
          <a:endParaRPr lang="en-ZA" sz="3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400050</xdr:colOff>
      <xdr:row>28</xdr:row>
      <xdr:rowOff>24092</xdr:rowOff>
    </xdr:from>
    <xdr:to>
      <xdr:col>9</xdr:col>
      <xdr:colOff>152400</xdr:colOff>
      <xdr:row>30</xdr:row>
      <xdr:rowOff>173770</xdr:rowOff>
    </xdr:to>
    <xdr:sp macro="" textlink="'Dashboard Workings'!D74">
      <xdr:nvSpPr>
        <xdr:cNvPr id="287" name="TextBox 286">
          <a:extLst>
            <a:ext uri="{FF2B5EF4-FFF2-40B4-BE49-F238E27FC236}">
              <a16:creationId xmlns:a16="http://schemas.microsoft.com/office/drawing/2014/main" id="{04F92CC6-1E76-4A43-8B88-4A7849394519}"/>
            </a:ext>
          </a:extLst>
        </xdr:cNvPr>
        <xdr:cNvSpPr txBox="1"/>
      </xdr:nvSpPr>
      <xdr:spPr>
        <a:xfrm>
          <a:off x="3448050" y="5358092"/>
          <a:ext cx="2190750"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7AFC94F-14B2-47F4-BCE9-F02649955B3B}" type="TxLink">
            <a:rPr lang="en-US" sz="1800" b="1" i="0" u="none" strike="noStrike">
              <a:solidFill>
                <a:schemeClr val="bg1"/>
              </a:solidFill>
              <a:latin typeface="Calibri"/>
              <a:cs typeface="Calibri"/>
            </a:rPr>
            <a:pPr algn="r"/>
            <a:t>£ 0.00 / £  4702.65</a:t>
          </a:fld>
          <a:endParaRPr lang="en-ZA"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523875</xdr:colOff>
      <xdr:row>31</xdr:row>
      <xdr:rowOff>142875</xdr:rowOff>
    </xdr:from>
    <xdr:to>
      <xdr:col>5</xdr:col>
      <xdr:colOff>409575</xdr:colOff>
      <xdr:row>34</xdr:row>
      <xdr:rowOff>102053</xdr:rowOff>
    </xdr:to>
    <xdr:grpSp>
      <xdr:nvGrpSpPr>
        <xdr:cNvPr id="288" name="Group 287">
          <a:extLst>
            <a:ext uri="{FF2B5EF4-FFF2-40B4-BE49-F238E27FC236}">
              <a16:creationId xmlns:a16="http://schemas.microsoft.com/office/drawing/2014/main" id="{CA6F41DC-EA19-44AF-978C-A3EA4B5FC2C6}"/>
            </a:ext>
          </a:extLst>
        </xdr:cNvPr>
        <xdr:cNvGrpSpPr/>
      </xdr:nvGrpSpPr>
      <xdr:grpSpPr>
        <a:xfrm>
          <a:off x="523875" y="5844737"/>
          <a:ext cx="3082597" cy="510971"/>
          <a:chOff x="514350" y="4010025"/>
          <a:chExt cx="2933700" cy="530678"/>
        </a:xfrm>
      </xdr:grpSpPr>
      <xdr:sp macro="" textlink="">
        <xdr:nvSpPr>
          <xdr:cNvPr id="289" name="Rectangle: Rounded Corners 288">
            <a:extLst>
              <a:ext uri="{FF2B5EF4-FFF2-40B4-BE49-F238E27FC236}">
                <a16:creationId xmlns:a16="http://schemas.microsoft.com/office/drawing/2014/main" id="{AE4B9B70-5B0A-4D6F-860B-9B6634C9DDBB}"/>
              </a:ext>
            </a:extLst>
          </xdr:cNvPr>
          <xdr:cNvSpPr/>
        </xdr:nvSpPr>
        <xdr:spPr>
          <a:xfrm>
            <a:off x="619125" y="4038599"/>
            <a:ext cx="2828925" cy="400050"/>
          </a:xfrm>
          <a:prstGeom prst="roundRect">
            <a:avLst>
              <a:gd name="adj" fmla="val 10606"/>
            </a:avLst>
          </a:prstGeom>
          <a:gradFill flip="none" rotWithShape="1">
            <a:gsLst>
              <a:gs pos="4000">
                <a:schemeClr val="accent2"/>
              </a:gs>
              <a:gs pos="65000">
                <a:schemeClr val="accent2">
                  <a:lumMod val="75000"/>
                </a:schemeClr>
              </a:gs>
              <a:gs pos="100000">
                <a:schemeClr val="accent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0" name="TextBox 289">
            <a:extLst>
              <a:ext uri="{FF2B5EF4-FFF2-40B4-BE49-F238E27FC236}">
                <a16:creationId xmlns:a16="http://schemas.microsoft.com/office/drawing/2014/main" id="{98E3D4E7-EAC0-4A04-BC0C-C5808FE87005}"/>
              </a:ext>
            </a:extLst>
          </xdr:cNvPr>
          <xdr:cNvSpPr txBox="1"/>
        </xdr:nvSpPr>
        <xdr:spPr>
          <a:xfrm>
            <a:off x="514350" y="4010025"/>
            <a:ext cx="265747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ea typeface="+mn-ea"/>
                <a:cs typeface="Arial" panose="020B0604020202020204" pitchFamily="34" charset="0"/>
              </a:rPr>
              <a:t>INFRA</a:t>
            </a:r>
          </a:p>
        </xdr:txBody>
      </xdr:sp>
    </xdr:grpSp>
    <xdr:clientData/>
  </xdr:twoCellAnchor>
  <xdr:twoCellAnchor>
    <xdr:from>
      <xdr:col>5</xdr:col>
      <xdr:colOff>381000</xdr:colOff>
      <xdr:row>31</xdr:row>
      <xdr:rowOff>166967</xdr:rowOff>
    </xdr:from>
    <xdr:to>
      <xdr:col>9</xdr:col>
      <xdr:colOff>133350</xdr:colOff>
      <xdr:row>34</xdr:row>
      <xdr:rowOff>126145</xdr:rowOff>
    </xdr:to>
    <xdr:sp macro="" textlink="'Dashboard Workings'!D75">
      <xdr:nvSpPr>
        <xdr:cNvPr id="291" name="TextBox 290">
          <a:extLst>
            <a:ext uri="{FF2B5EF4-FFF2-40B4-BE49-F238E27FC236}">
              <a16:creationId xmlns:a16="http://schemas.microsoft.com/office/drawing/2014/main" id="{3B78DB61-C5D5-4FBF-B308-7B3AB4E57384}"/>
            </a:ext>
          </a:extLst>
        </xdr:cNvPr>
        <xdr:cNvSpPr txBox="1"/>
      </xdr:nvSpPr>
      <xdr:spPr>
        <a:xfrm>
          <a:off x="3429000" y="6072467"/>
          <a:ext cx="2190750"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2AD0909-B7F8-4332-BE8B-56F2B8A2D21A}" type="TxLink">
            <a:rPr lang="en-US" sz="1800" b="1" i="0" u="none" strike="noStrike">
              <a:solidFill>
                <a:schemeClr val="bg1"/>
              </a:solidFill>
              <a:latin typeface="Calibri"/>
              <a:cs typeface="Calibri"/>
            </a:rPr>
            <a:pPr algn="r"/>
            <a:t>£ 0.00 / £ 468.97</a:t>
          </a:fld>
          <a:endParaRPr lang="en-ZA" sz="18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581025</xdr:colOff>
      <xdr:row>2</xdr:row>
      <xdr:rowOff>47625</xdr:rowOff>
    </xdr:from>
    <xdr:to>
      <xdr:col>28</xdr:col>
      <xdr:colOff>495300</xdr:colOff>
      <xdr:row>36</xdr:row>
      <xdr:rowOff>171450</xdr:rowOff>
    </xdr:to>
    <xdr:sp macro="" textlink="">
      <xdr:nvSpPr>
        <xdr:cNvPr id="2" name="Rectangle: Rounded Corners 1">
          <a:extLst>
            <a:ext uri="{FF2B5EF4-FFF2-40B4-BE49-F238E27FC236}">
              <a16:creationId xmlns:a16="http://schemas.microsoft.com/office/drawing/2014/main" id="{7D34369D-C606-4297-94D7-8C952ABA86FF}"/>
            </a:ext>
          </a:extLst>
        </xdr:cNvPr>
        <xdr:cNvSpPr/>
      </xdr:nvSpPr>
      <xdr:spPr>
        <a:xfrm>
          <a:off x="581025" y="428625"/>
          <a:ext cx="16983075" cy="6600825"/>
        </a:xfrm>
        <a:prstGeom prst="roundRect">
          <a:avLst>
            <a:gd name="adj" fmla="val 10606"/>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19770</xdr:colOff>
      <xdr:row>2</xdr:row>
      <xdr:rowOff>33617</xdr:rowOff>
    </xdr:from>
    <xdr:to>
      <xdr:col>28</xdr:col>
      <xdr:colOff>546366</xdr:colOff>
      <xdr:row>36</xdr:row>
      <xdr:rowOff>169768</xdr:rowOff>
    </xdr:to>
    <xdr:sp macro="" textlink="">
      <xdr:nvSpPr>
        <xdr:cNvPr id="3" name="Rectangle: Rounded Corners 2">
          <a:extLst>
            <a:ext uri="{FF2B5EF4-FFF2-40B4-BE49-F238E27FC236}">
              <a16:creationId xmlns:a16="http://schemas.microsoft.com/office/drawing/2014/main" id="{0681384C-01E2-4C82-9471-808E3C02577A}"/>
            </a:ext>
          </a:extLst>
        </xdr:cNvPr>
        <xdr:cNvSpPr/>
      </xdr:nvSpPr>
      <xdr:spPr>
        <a:xfrm>
          <a:off x="629370" y="414617"/>
          <a:ext cx="16985796" cy="6613151"/>
        </a:xfrm>
        <a:prstGeom prst="roundRect">
          <a:avLst>
            <a:gd name="adj" fmla="val 10606"/>
          </a:avLst>
        </a:prstGeom>
        <a:gradFill>
          <a:gsLst>
            <a:gs pos="0">
              <a:srgbClr val="1E2D31"/>
            </a:gs>
            <a:gs pos="30000">
              <a:srgbClr val="232227"/>
            </a:gs>
            <a:gs pos="100000">
              <a:srgbClr val="2F292D"/>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xdr:col>
      <xdr:colOff>19071</xdr:colOff>
      <xdr:row>0</xdr:row>
      <xdr:rowOff>176894</xdr:rowOff>
    </xdr:from>
    <xdr:to>
      <xdr:col>7</xdr:col>
      <xdr:colOff>40822</xdr:colOff>
      <xdr:row>10</xdr:row>
      <xdr:rowOff>109199</xdr:rowOff>
    </xdr:to>
    <xdr:pic>
      <xdr:nvPicPr>
        <xdr:cNvPr id="4" name="Picture 3">
          <a:extLst>
            <a:ext uri="{FF2B5EF4-FFF2-40B4-BE49-F238E27FC236}">
              <a16:creationId xmlns:a16="http://schemas.microsoft.com/office/drawing/2014/main" id="{2CEE6BBA-DEFA-4354-83FC-22A6D3E43AD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28671" y="176894"/>
          <a:ext cx="3679351" cy="1837305"/>
        </a:xfrm>
        <a:prstGeom prst="rect">
          <a:avLst/>
        </a:prstGeom>
      </xdr:spPr>
    </xdr:pic>
    <xdr:clientData/>
  </xdr:twoCellAnchor>
  <xdr:twoCellAnchor>
    <xdr:from>
      <xdr:col>9</xdr:col>
      <xdr:colOff>251732</xdr:colOff>
      <xdr:row>4</xdr:row>
      <xdr:rowOff>38102</xdr:rowOff>
    </xdr:from>
    <xdr:to>
      <xdr:col>18</xdr:col>
      <xdr:colOff>159203</xdr:colOff>
      <xdr:row>6</xdr:row>
      <xdr:rowOff>187780</xdr:rowOff>
    </xdr:to>
    <xdr:sp macro="" textlink="">
      <xdr:nvSpPr>
        <xdr:cNvPr id="5" name="TextBox 4">
          <a:extLst>
            <a:ext uri="{FF2B5EF4-FFF2-40B4-BE49-F238E27FC236}">
              <a16:creationId xmlns:a16="http://schemas.microsoft.com/office/drawing/2014/main" id="{051B2DE0-8D52-4669-8884-8904F7DC100B}"/>
            </a:ext>
          </a:extLst>
        </xdr:cNvPr>
        <xdr:cNvSpPr txBox="1"/>
      </xdr:nvSpPr>
      <xdr:spPr>
        <a:xfrm>
          <a:off x="5738132" y="800102"/>
          <a:ext cx="539387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800" b="1">
              <a:solidFill>
                <a:schemeClr val="bg1"/>
              </a:solidFill>
              <a:latin typeface="Arial" panose="020B0604020202020204" pitchFamily="34" charset="0"/>
              <a:cs typeface="Arial" panose="020B0604020202020204" pitchFamily="34" charset="0"/>
            </a:rPr>
            <a:t>Comparisson of VM Costs</a:t>
          </a:r>
        </a:p>
      </xdr:txBody>
    </xdr:sp>
    <xdr:clientData/>
  </xdr:twoCellAnchor>
  <xdr:twoCellAnchor>
    <xdr:from>
      <xdr:col>23</xdr:col>
      <xdr:colOff>457920</xdr:colOff>
      <xdr:row>7</xdr:row>
      <xdr:rowOff>90767</xdr:rowOff>
    </xdr:from>
    <xdr:to>
      <xdr:col>28</xdr:col>
      <xdr:colOff>287908</xdr:colOff>
      <xdr:row>19</xdr:row>
      <xdr:rowOff>148115</xdr:rowOff>
    </xdr:to>
    <xdr:grpSp>
      <xdr:nvGrpSpPr>
        <xdr:cNvPr id="6" name="Group 5">
          <a:extLst>
            <a:ext uri="{FF2B5EF4-FFF2-40B4-BE49-F238E27FC236}">
              <a16:creationId xmlns:a16="http://schemas.microsoft.com/office/drawing/2014/main" id="{DC431C7F-A795-4246-959D-ECD96EFF7616}"/>
            </a:ext>
          </a:extLst>
        </xdr:cNvPr>
        <xdr:cNvGrpSpPr/>
      </xdr:nvGrpSpPr>
      <xdr:grpSpPr>
        <a:xfrm>
          <a:off x="15208970" y="1379817"/>
          <a:ext cx="3036738" cy="2267148"/>
          <a:chOff x="4620986" y="1469572"/>
          <a:chExt cx="2877988" cy="2343348"/>
        </a:xfrm>
      </xdr:grpSpPr>
      <xdr:grpSp>
        <xdr:nvGrpSpPr>
          <xdr:cNvPr id="7" name="Group 6">
            <a:extLst>
              <a:ext uri="{FF2B5EF4-FFF2-40B4-BE49-F238E27FC236}">
                <a16:creationId xmlns:a16="http://schemas.microsoft.com/office/drawing/2014/main" id="{72B52455-EF3C-4F69-B8AD-0EBE261D3649}"/>
              </a:ext>
            </a:extLst>
          </xdr:cNvPr>
          <xdr:cNvGrpSpPr/>
        </xdr:nvGrpSpPr>
        <xdr:grpSpPr>
          <a:xfrm>
            <a:off x="4620986" y="1469572"/>
            <a:ext cx="2877988" cy="2343348"/>
            <a:chOff x="4620986" y="1469572"/>
            <a:chExt cx="2877988" cy="2343348"/>
          </a:xfrm>
        </xdr:grpSpPr>
        <xdr:grpSp>
          <xdr:nvGrpSpPr>
            <xdr:cNvPr id="9" name="Group 8">
              <a:extLst>
                <a:ext uri="{FF2B5EF4-FFF2-40B4-BE49-F238E27FC236}">
                  <a16:creationId xmlns:a16="http://schemas.microsoft.com/office/drawing/2014/main" id="{0E148E2A-0200-4569-9AFD-707CD88AC7B8}"/>
                </a:ext>
              </a:extLst>
            </xdr:cNvPr>
            <xdr:cNvGrpSpPr/>
          </xdr:nvGrpSpPr>
          <xdr:grpSpPr>
            <a:xfrm>
              <a:off x="4620986" y="1469572"/>
              <a:ext cx="2877988" cy="2343348"/>
              <a:chOff x="18369643" y="2286000"/>
              <a:chExt cx="2891595" cy="2343348"/>
            </a:xfrm>
          </xdr:grpSpPr>
          <xdr:sp macro="" textlink="">
            <xdr:nvSpPr>
              <xdr:cNvPr id="11" name="Freeform: Shape 10">
                <a:extLst>
                  <a:ext uri="{FF2B5EF4-FFF2-40B4-BE49-F238E27FC236}">
                    <a16:creationId xmlns:a16="http://schemas.microsoft.com/office/drawing/2014/main" id="{A556A085-60A4-45D6-8904-76284DC591B8}"/>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gradFill>
                    <a:gsLst>
                      <a:gs pos="0">
                        <a:schemeClr val="accent2"/>
                      </a:gs>
                      <a:gs pos="17000">
                        <a:schemeClr val="accent2">
                          <a:lumMod val="75000"/>
                        </a:schemeClr>
                      </a:gs>
                      <a:gs pos="100000">
                        <a:schemeClr val="accent4"/>
                      </a:gs>
                    </a:gsLst>
                    <a:lin ang="2700000" scaled="1"/>
                  </a:gradFill>
                </a:endParaRPr>
              </a:p>
            </xdr:txBody>
          </xdr:sp>
          <xdr:sp macro="" textlink="">
            <xdr:nvSpPr>
              <xdr:cNvPr id="12" name="Freeform: Shape 11">
                <a:extLst>
                  <a:ext uri="{FF2B5EF4-FFF2-40B4-BE49-F238E27FC236}">
                    <a16:creationId xmlns:a16="http://schemas.microsoft.com/office/drawing/2014/main" id="{CF7F6FD9-D1C9-4AED-9B6C-59D737973AEA}"/>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10" name="TextBox 9">
              <a:extLst>
                <a:ext uri="{FF2B5EF4-FFF2-40B4-BE49-F238E27FC236}">
                  <a16:creationId xmlns:a16="http://schemas.microsoft.com/office/drawing/2014/main" id="{7BAC09D5-A3EE-4851-8B1B-0E13C4A36377}"/>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Savings</a:t>
              </a:r>
            </a:p>
          </xdr:txBody>
        </xdr:sp>
      </xdr:grpSp>
      <xdr:sp macro="" textlink="'Dashboard Workings'!D65">
        <xdr:nvSpPr>
          <xdr:cNvPr id="8" name="TextBox 7">
            <a:extLst>
              <a:ext uri="{FF2B5EF4-FFF2-40B4-BE49-F238E27FC236}">
                <a16:creationId xmlns:a16="http://schemas.microsoft.com/office/drawing/2014/main" id="{D4823573-F828-468A-8F4D-A541934293D4}"/>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3E3A04-E3FC-47EA-8FFC-3499D9C692D3}" type="TxLink">
              <a:rPr lang="en-US" sz="1600" b="1" i="0" u="none" strike="noStrike">
                <a:solidFill>
                  <a:schemeClr val="bg1"/>
                </a:solidFill>
                <a:latin typeface="Calibri"/>
                <a:cs typeface="Calibri"/>
              </a:rPr>
              <a:pPr algn="r"/>
              <a:t>£ -19888.39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9</xdr:col>
      <xdr:colOff>182336</xdr:colOff>
      <xdr:row>7</xdr:row>
      <xdr:rowOff>90767</xdr:rowOff>
    </xdr:from>
    <xdr:to>
      <xdr:col>14</xdr:col>
      <xdr:colOff>12324</xdr:colOff>
      <xdr:row>19</xdr:row>
      <xdr:rowOff>148115</xdr:rowOff>
    </xdr:to>
    <xdr:grpSp>
      <xdr:nvGrpSpPr>
        <xdr:cNvPr id="13" name="Group 12">
          <a:extLst>
            <a:ext uri="{FF2B5EF4-FFF2-40B4-BE49-F238E27FC236}">
              <a16:creationId xmlns:a16="http://schemas.microsoft.com/office/drawing/2014/main" id="{03720197-9030-4D80-8BE0-DEC6C72005DA}"/>
            </a:ext>
          </a:extLst>
        </xdr:cNvPr>
        <xdr:cNvGrpSpPr/>
      </xdr:nvGrpSpPr>
      <xdr:grpSpPr>
        <a:xfrm>
          <a:off x="5954486" y="1379817"/>
          <a:ext cx="3036738" cy="2267148"/>
          <a:chOff x="4620986" y="1469572"/>
          <a:chExt cx="2877988" cy="2343348"/>
        </a:xfrm>
      </xdr:grpSpPr>
      <xdr:grpSp>
        <xdr:nvGrpSpPr>
          <xdr:cNvPr id="14" name="Group 13">
            <a:extLst>
              <a:ext uri="{FF2B5EF4-FFF2-40B4-BE49-F238E27FC236}">
                <a16:creationId xmlns:a16="http://schemas.microsoft.com/office/drawing/2014/main" id="{B7692303-C363-44B1-B389-EC74E0EB0BE8}"/>
              </a:ext>
            </a:extLst>
          </xdr:cNvPr>
          <xdr:cNvGrpSpPr/>
        </xdr:nvGrpSpPr>
        <xdr:grpSpPr>
          <a:xfrm>
            <a:off x="4620986" y="1469572"/>
            <a:ext cx="2877988" cy="2343348"/>
            <a:chOff x="4620986" y="1469572"/>
            <a:chExt cx="2877988" cy="2343348"/>
          </a:xfrm>
        </xdr:grpSpPr>
        <xdr:grpSp>
          <xdr:nvGrpSpPr>
            <xdr:cNvPr id="16" name="Group 15">
              <a:extLst>
                <a:ext uri="{FF2B5EF4-FFF2-40B4-BE49-F238E27FC236}">
                  <a16:creationId xmlns:a16="http://schemas.microsoft.com/office/drawing/2014/main" id="{EBA38F19-155E-47B7-B385-9AC47861DDD2}"/>
                </a:ext>
              </a:extLst>
            </xdr:cNvPr>
            <xdr:cNvGrpSpPr/>
          </xdr:nvGrpSpPr>
          <xdr:grpSpPr>
            <a:xfrm>
              <a:off x="4620986" y="1469572"/>
              <a:ext cx="2877988" cy="2343348"/>
              <a:chOff x="18369643" y="2286000"/>
              <a:chExt cx="2891595" cy="2343348"/>
            </a:xfrm>
          </xdr:grpSpPr>
          <xdr:sp macro="" textlink="">
            <xdr:nvSpPr>
              <xdr:cNvPr id="18" name="Freeform: Shape 17">
                <a:extLst>
                  <a:ext uri="{FF2B5EF4-FFF2-40B4-BE49-F238E27FC236}">
                    <a16:creationId xmlns:a16="http://schemas.microsoft.com/office/drawing/2014/main" id="{3676A7C7-F404-4906-A38D-0A6165BBBF82}"/>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sp macro="" textlink="">
            <xdr:nvSpPr>
              <xdr:cNvPr id="19" name="Freeform: Shape 18">
                <a:extLst>
                  <a:ext uri="{FF2B5EF4-FFF2-40B4-BE49-F238E27FC236}">
                    <a16:creationId xmlns:a16="http://schemas.microsoft.com/office/drawing/2014/main" id="{A3DB679F-E247-42F7-9E72-0E882109F96A}"/>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17" name="TextBox 16">
              <a:extLst>
                <a:ext uri="{FF2B5EF4-FFF2-40B4-BE49-F238E27FC236}">
                  <a16:creationId xmlns:a16="http://schemas.microsoft.com/office/drawing/2014/main" id="{9521979F-E4E2-44F4-8317-E1AE276D4663}"/>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RI</a:t>
              </a:r>
              <a:r>
                <a:rPr lang="en-ZA" sz="1600" b="1" baseline="0">
                  <a:solidFill>
                    <a:schemeClr val="bg1"/>
                  </a:solidFill>
                  <a:latin typeface="Arial" panose="020B0604020202020204" pitchFamily="34" charset="0"/>
                  <a:cs typeface="Arial" panose="020B0604020202020204" pitchFamily="34" charset="0"/>
                </a:rPr>
                <a:t> Monthly Cost</a:t>
              </a:r>
              <a:endParaRPr lang="en-ZA" sz="1600" b="1">
                <a:solidFill>
                  <a:schemeClr val="bg1"/>
                </a:solidFill>
                <a:latin typeface="Arial" panose="020B0604020202020204" pitchFamily="34" charset="0"/>
                <a:cs typeface="Arial" panose="020B0604020202020204" pitchFamily="34" charset="0"/>
              </a:endParaRPr>
            </a:p>
          </xdr:txBody>
        </xdr:sp>
      </xdr:grpSp>
      <xdr:sp macro="" textlink="'Dashboard Workings'!D66">
        <xdr:nvSpPr>
          <xdr:cNvPr id="15" name="TextBox 14">
            <a:extLst>
              <a:ext uri="{FF2B5EF4-FFF2-40B4-BE49-F238E27FC236}">
                <a16:creationId xmlns:a16="http://schemas.microsoft.com/office/drawing/2014/main" id="{4EB239FE-6E3E-4527-A114-66D6D1594846}"/>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961CB0B-D7D1-47E6-80CE-33B05F6DBFB3}" type="TxLink">
              <a:rPr lang="en-US" sz="1600" b="1" i="0" u="none" strike="noStrike">
                <a:solidFill>
                  <a:schemeClr val="bg1"/>
                </a:solidFill>
                <a:latin typeface="Calibri"/>
                <a:cs typeface="Calibri"/>
              </a:rPr>
              <a:pPr algn="r"/>
              <a:t>£ 12413.04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9</xdr:col>
      <xdr:colOff>229319</xdr:colOff>
      <xdr:row>19</xdr:row>
      <xdr:rowOff>166966</xdr:rowOff>
    </xdr:from>
    <xdr:to>
      <xdr:col>28</xdr:col>
      <xdr:colOff>408765</xdr:colOff>
      <xdr:row>35</xdr:row>
      <xdr:rowOff>190499</xdr:rowOff>
    </xdr:to>
    <xdr:grpSp>
      <xdr:nvGrpSpPr>
        <xdr:cNvPr id="20" name="Group 19">
          <a:extLst>
            <a:ext uri="{FF2B5EF4-FFF2-40B4-BE49-F238E27FC236}">
              <a16:creationId xmlns:a16="http://schemas.microsoft.com/office/drawing/2014/main" id="{59B6B192-189B-4E5F-A5AA-9F6AF0570913}"/>
            </a:ext>
          </a:extLst>
        </xdr:cNvPr>
        <xdr:cNvGrpSpPr/>
      </xdr:nvGrpSpPr>
      <xdr:grpSpPr>
        <a:xfrm>
          <a:off x="6001469" y="3665816"/>
          <a:ext cx="12365096" cy="2963583"/>
          <a:chOff x="2991569" y="3767416"/>
          <a:chExt cx="11761846" cy="3071533"/>
        </a:xfrm>
      </xdr:grpSpPr>
      <xdr:sp macro="" textlink="">
        <xdr:nvSpPr>
          <xdr:cNvPr id="21" name="Rectangle: Rounded Corners 20">
            <a:extLst>
              <a:ext uri="{FF2B5EF4-FFF2-40B4-BE49-F238E27FC236}">
                <a16:creationId xmlns:a16="http://schemas.microsoft.com/office/drawing/2014/main" id="{BDD564CF-60EA-401A-B9A7-6F4A83ECD90A}"/>
              </a:ext>
            </a:extLst>
          </xdr:cNvPr>
          <xdr:cNvSpPr/>
        </xdr:nvSpPr>
        <xdr:spPr>
          <a:xfrm>
            <a:off x="2991569" y="3767416"/>
            <a:ext cx="11543581" cy="3071533"/>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D8F8CC8C-39F7-4300-AF7D-8BA5061A11A4}"/>
              </a:ext>
            </a:extLst>
          </xdr:cNvPr>
          <xdr:cNvGrpSpPr/>
        </xdr:nvGrpSpPr>
        <xdr:grpSpPr>
          <a:xfrm>
            <a:off x="3094691" y="3867151"/>
            <a:ext cx="2055870" cy="2476500"/>
            <a:chOff x="3094691" y="3867151"/>
            <a:chExt cx="2055870" cy="2476500"/>
          </a:xfrm>
        </xdr:grpSpPr>
        <xdr:grpSp>
          <xdr:nvGrpSpPr>
            <xdr:cNvPr id="219" name="Group 218">
              <a:extLst>
                <a:ext uri="{FF2B5EF4-FFF2-40B4-BE49-F238E27FC236}">
                  <a16:creationId xmlns:a16="http://schemas.microsoft.com/office/drawing/2014/main" id="{A9FCFAF4-2C36-4F41-8D21-E6B23EFB7568}"/>
                </a:ext>
              </a:extLst>
            </xdr:cNvPr>
            <xdr:cNvGrpSpPr/>
          </xdr:nvGrpSpPr>
          <xdr:grpSpPr>
            <a:xfrm>
              <a:off x="3094691" y="3867151"/>
              <a:ext cx="2055870" cy="2476500"/>
              <a:chOff x="3094691" y="3867151"/>
              <a:chExt cx="2055870" cy="2476500"/>
            </a:xfrm>
          </xdr:grpSpPr>
          <xdr:grpSp>
            <xdr:nvGrpSpPr>
              <xdr:cNvPr id="241" name="Group 240">
                <a:extLst>
                  <a:ext uri="{FF2B5EF4-FFF2-40B4-BE49-F238E27FC236}">
                    <a16:creationId xmlns:a16="http://schemas.microsoft.com/office/drawing/2014/main" id="{E991C3CF-43ED-4E3E-8941-BE26BCC55D1C}"/>
                  </a:ext>
                </a:extLst>
              </xdr:cNvPr>
              <xdr:cNvGrpSpPr/>
            </xdr:nvGrpSpPr>
            <xdr:grpSpPr>
              <a:xfrm>
                <a:off x="3094691" y="3867151"/>
                <a:ext cx="1734484" cy="2476500"/>
                <a:chOff x="3094691" y="3867151"/>
                <a:chExt cx="1734484" cy="2476500"/>
              </a:xfrm>
            </xdr:grpSpPr>
            <xdr:sp macro="" textlink="">
              <xdr:nvSpPr>
                <xdr:cNvPr id="247" name="Rectangle: Rounded Corners 246">
                  <a:extLst>
                    <a:ext uri="{FF2B5EF4-FFF2-40B4-BE49-F238E27FC236}">
                      <a16:creationId xmlns:a16="http://schemas.microsoft.com/office/drawing/2014/main" id="{59D05672-7D9D-4232-A11D-6AA3ABAF3493}"/>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8" name="TextBox 247">
                  <a:extLst>
                    <a:ext uri="{FF2B5EF4-FFF2-40B4-BE49-F238E27FC236}">
                      <a16:creationId xmlns:a16="http://schemas.microsoft.com/office/drawing/2014/main" id="{E5F670B6-723C-43C7-B0FD-1AD36F82C045}"/>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B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242" name="Group 241">
                <a:extLst>
                  <a:ext uri="{FF2B5EF4-FFF2-40B4-BE49-F238E27FC236}">
                    <a16:creationId xmlns:a16="http://schemas.microsoft.com/office/drawing/2014/main" id="{69AD9B5E-8FC7-4F8B-B674-ADB7B586509A}"/>
                  </a:ext>
                </a:extLst>
              </xdr:cNvPr>
              <xdr:cNvGrpSpPr/>
            </xdr:nvGrpSpPr>
            <xdr:grpSpPr>
              <a:xfrm>
                <a:off x="3095625" y="4276724"/>
                <a:ext cx="2054936" cy="304397"/>
                <a:chOff x="3095625" y="4229099"/>
                <a:chExt cx="2054936" cy="304397"/>
              </a:xfrm>
            </xdr:grpSpPr>
            <xdr:sp macro="" textlink="">
              <xdr:nvSpPr>
                <xdr:cNvPr id="243" name="Rectangle: Rounded Corners 242">
                  <a:extLst>
                    <a:ext uri="{FF2B5EF4-FFF2-40B4-BE49-F238E27FC236}">
                      <a16:creationId xmlns:a16="http://schemas.microsoft.com/office/drawing/2014/main" id="{B44D666D-3F9E-48ED-9FDE-2C2951B07F35}"/>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44" name="Group 243">
                  <a:extLst>
                    <a:ext uri="{FF2B5EF4-FFF2-40B4-BE49-F238E27FC236}">
                      <a16:creationId xmlns:a16="http://schemas.microsoft.com/office/drawing/2014/main" id="{9EDBA4DE-D3F2-402A-BBB2-104C442234DC}"/>
                    </a:ext>
                  </a:extLst>
                </xdr:cNvPr>
                <xdr:cNvGrpSpPr/>
              </xdr:nvGrpSpPr>
              <xdr:grpSpPr>
                <a:xfrm>
                  <a:off x="3152775" y="4238624"/>
                  <a:ext cx="1997786" cy="294872"/>
                  <a:chOff x="8410575" y="3800474"/>
                  <a:chExt cx="1997786" cy="294872"/>
                </a:xfrm>
              </xdr:grpSpPr>
              <xdr:sp macro="" textlink="">
                <xdr:nvSpPr>
                  <xdr:cNvPr id="245" name="TextBox 244">
                    <a:extLst>
                      <a:ext uri="{FF2B5EF4-FFF2-40B4-BE49-F238E27FC236}">
                        <a16:creationId xmlns:a16="http://schemas.microsoft.com/office/drawing/2014/main" id="{56434A84-3DA0-4940-8A90-7B26A7FDCA88}"/>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46" name="TextBox 245">
                    <a:extLst>
                      <a:ext uri="{FF2B5EF4-FFF2-40B4-BE49-F238E27FC236}">
                        <a16:creationId xmlns:a16="http://schemas.microsoft.com/office/drawing/2014/main" id="{FA986B93-3E97-4417-B008-5060DF13037A}"/>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220" name="Group 219">
              <a:extLst>
                <a:ext uri="{FF2B5EF4-FFF2-40B4-BE49-F238E27FC236}">
                  <a16:creationId xmlns:a16="http://schemas.microsoft.com/office/drawing/2014/main" id="{4611C1B1-A941-4E0F-A0E5-6B9FB9FFABB9}"/>
                </a:ext>
              </a:extLst>
            </xdr:cNvPr>
            <xdr:cNvGrpSpPr/>
          </xdr:nvGrpSpPr>
          <xdr:grpSpPr>
            <a:xfrm>
              <a:off x="3162300" y="4615142"/>
              <a:ext cx="1715220" cy="1495022"/>
              <a:chOff x="3162300" y="4615142"/>
              <a:chExt cx="1715220" cy="1495022"/>
            </a:xfrm>
          </xdr:grpSpPr>
          <xdr:grpSp>
            <xdr:nvGrpSpPr>
              <xdr:cNvPr id="221" name="Group 220">
                <a:extLst>
                  <a:ext uri="{FF2B5EF4-FFF2-40B4-BE49-F238E27FC236}">
                    <a16:creationId xmlns:a16="http://schemas.microsoft.com/office/drawing/2014/main" id="{00C42C42-664D-477B-BBAB-AA592A6F0C4A}"/>
                  </a:ext>
                </a:extLst>
              </xdr:cNvPr>
              <xdr:cNvGrpSpPr/>
            </xdr:nvGrpSpPr>
            <xdr:grpSpPr>
              <a:xfrm>
                <a:off x="3162300" y="4615142"/>
                <a:ext cx="1714500" cy="294872"/>
                <a:chOff x="3162300" y="4596092"/>
                <a:chExt cx="1714500" cy="294872"/>
              </a:xfrm>
            </xdr:grpSpPr>
            <xdr:sp macro="" textlink="">
              <xdr:nvSpPr>
                <xdr:cNvPr id="238" name="TextBox 237">
                  <a:extLst>
                    <a:ext uri="{FF2B5EF4-FFF2-40B4-BE49-F238E27FC236}">
                      <a16:creationId xmlns:a16="http://schemas.microsoft.com/office/drawing/2014/main" id="{1F609521-40DF-402B-8279-8DFE8CC959C6}"/>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B1ms</a:t>
                  </a:r>
                </a:p>
              </xdr:txBody>
            </xdr:sp>
            <xdr:sp macro="" textlink="'Dashboard Workings'!F2">
              <xdr:nvSpPr>
                <xdr:cNvPr id="239" name="TextBox 238">
                  <a:extLst>
                    <a:ext uri="{FF2B5EF4-FFF2-40B4-BE49-F238E27FC236}">
                      <a16:creationId xmlns:a16="http://schemas.microsoft.com/office/drawing/2014/main" id="{B7F8C6CA-12CC-403E-8FA0-931FC9014409}"/>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F64D144-0D55-4E07-9FA9-5ADC4C6EAE4C}"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
              <xdr:nvSpPr>
                <xdr:cNvPr id="240" name="TextBox 239">
                  <a:extLst>
                    <a:ext uri="{FF2B5EF4-FFF2-40B4-BE49-F238E27FC236}">
                      <a16:creationId xmlns:a16="http://schemas.microsoft.com/office/drawing/2014/main" id="{63B497B6-0E6A-4AB8-BFCD-7EEE25633FF0}"/>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7B3CF0-A7C1-45F3-B654-EA24435665CC}"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2" name="Group 221">
                <a:extLst>
                  <a:ext uri="{FF2B5EF4-FFF2-40B4-BE49-F238E27FC236}">
                    <a16:creationId xmlns:a16="http://schemas.microsoft.com/office/drawing/2014/main" id="{C8804EED-9A00-4D0B-9EE9-6DE9E8877AC2}"/>
                  </a:ext>
                </a:extLst>
              </xdr:cNvPr>
              <xdr:cNvGrpSpPr/>
            </xdr:nvGrpSpPr>
            <xdr:grpSpPr>
              <a:xfrm>
                <a:off x="3162300" y="4919942"/>
                <a:ext cx="1714500" cy="294872"/>
                <a:chOff x="3162300" y="4596092"/>
                <a:chExt cx="1714500" cy="294872"/>
              </a:xfrm>
            </xdr:grpSpPr>
            <xdr:sp macro="" textlink="">
              <xdr:nvSpPr>
                <xdr:cNvPr id="235" name="TextBox 234">
                  <a:extLst>
                    <a:ext uri="{FF2B5EF4-FFF2-40B4-BE49-F238E27FC236}">
                      <a16:creationId xmlns:a16="http://schemas.microsoft.com/office/drawing/2014/main" id="{EFDE2062-6C7C-4D91-A675-7A66BEB83494}"/>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B2ms</a:t>
                  </a:r>
                </a:p>
              </xdr:txBody>
            </xdr:sp>
            <xdr:sp macro="" textlink="'Dashboard Workings'!F3">
              <xdr:nvSpPr>
                <xdr:cNvPr id="236" name="TextBox 235">
                  <a:extLst>
                    <a:ext uri="{FF2B5EF4-FFF2-40B4-BE49-F238E27FC236}">
                      <a16:creationId xmlns:a16="http://schemas.microsoft.com/office/drawing/2014/main" id="{1D0B344F-5FBB-49E6-948C-88F8CDC7B3F5}"/>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A7121F3-CC49-4CDC-A74A-1044FD6888E4}" type="TxLink">
                    <a:rPr lang="en-US" sz="1100" b="1" i="0" u="none" strike="noStrike">
                      <a:solidFill>
                        <a:schemeClr val="bg1"/>
                      </a:solidFill>
                      <a:latin typeface="Arial" panose="020B0604020202020204" pitchFamily="34" charset="0"/>
                      <a:cs typeface="Arial" panose="020B0604020202020204" pitchFamily="34" charset="0"/>
                    </a:rPr>
                    <a:pPr algn="ctr"/>
                    <a:t>1</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
              <xdr:nvSpPr>
                <xdr:cNvPr id="237" name="TextBox 236">
                  <a:extLst>
                    <a:ext uri="{FF2B5EF4-FFF2-40B4-BE49-F238E27FC236}">
                      <a16:creationId xmlns:a16="http://schemas.microsoft.com/office/drawing/2014/main" id="{60EA9430-6079-43C5-9178-CA0A6AE5E74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98C339A-2EA4-485F-8E1A-F166E4F6800C}" type="TxLink">
                    <a:rPr lang="en-US" sz="1100" b="1" i="0" u="none" strike="noStrike">
                      <a:solidFill>
                        <a:schemeClr val="bg1"/>
                      </a:solidFill>
                      <a:latin typeface="Arial" panose="020B0604020202020204" pitchFamily="34" charset="0"/>
                      <a:cs typeface="Arial" panose="020B0604020202020204" pitchFamily="34" charset="0"/>
                    </a:rPr>
                    <a:pPr algn="r"/>
                    <a:t> £30.56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3" name="Group 222">
                <a:extLst>
                  <a:ext uri="{FF2B5EF4-FFF2-40B4-BE49-F238E27FC236}">
                    <a16:creationId xmlns:a16="http://schemas.microsoft.com/office/drawing/2014/main" id="{5EDA031C-D9C4-43B7-ADF5-475F43E71618}"/>
                  </a:ext>
                </a:extLst>
              </xdr:cNvPr>
              <xdr:cNvGrpSpPr/>
            </xdr:nvGrpSpPr>
            <xdr:grpSpPr>
              <a:xfrm>
                <a:off x="3163020" y="5224742"/>
                <a:ext cx="1714500" cy="294872"/>
                <a:chOff x="3162300" y="4596092"/>
                <a:chExt cx="1714500" cy="294872"/>
              </a:xfrm>
            </xdr:grpSpPr>
            <xdr:sp macro="" textlink="">
              <xdr:nvSpPr>
                <xdr:cNvPr id="232" name="TextBox 231">
                  <a:extLst>
                    <a:ext uri="{FF2B5EF4-FFF2-40B4-BE49-F238E27FC236}">
                      <a16:creationId xmlns:a16="http://schemas.microsoft.com/office/drawing/2014/main" id="{7D1BBE3E-196A-4803-ACB4-39CBE14CE19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B4ms</a:t>
                  </a:r>
                </a:p>
              </xdr:txBody>
            </xdr:sp>
            <xdr:sp macro="" textlink="'Dashboard Workings'!F4">
              <xdr:nvSpPr>
                <xdr:cNvPr id="233" name="TextBox 232">
                  <a:extLst>
                    <a:ext uri="{FF2B5EF4-FFF2-40B4-BE49-F238E27FC236}">
                      <a16:creationId xmlns:a16="http://schemas.microsoft.com/office/drawing/2014/main" id="{93F01440-FEB3-40EA-AEE8-0E80960128A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82BA26-C446-4924-ACB0-6469AFF898DF}" type="TxLink">
                    <a:rPr lang="en-US" sz="1100" b="1" i="0" u="none" strike="noStrike">
                      <a:solidFill>
                        <a:schemeClr val="bg1"/>
                      </a:solidFill>
                      <a:latin typeface="Arial" panose="020B0604020202020204" pitchFamily="34" charset="0"/>
                      <a:cs typeface="Arial" panose="020B0604020202020204" pitchFamily="34" charset="0"/>
                    </a:rPr>
                    <a:pPr algn="ctr"/>
                    <a:t>2</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
              <xdr:nvSpPr>
                <xdr:cNvPr id="234" name="TextBox 233">
                  <a:extLst>
                    <a:ext uri="{FF2B5EF4-FFF2-40B4-BE49-F238E27FC236}">
                      <a16:creationId xmlns:a16="http://schemas.microsoft.com/office/drawing/2014/main" id="{D8D7221A-5ACB-4BD3-A7E1-0D1EF0AD592F}"/>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DAC567-56D9-4BA4-822B-CCA06538F63A}" type="TxLink">
                    <a:rPr lang="en-US" sz="1100" b="1" i="0" u="none" strike="noStrike">
                      <a:solidFill>
                        <a:schemeClr val="bg1"/>
                      </a:solidFill>
                      <a:latin typeface="Arial" panose="020B0604020202020204" pitchFamily="34" charset="0"/>
                      <a:cs typeface="Arial" panose="020B0604020202020204" pitchFamily="34" charset="0"/>
                    </a:rPr>
                    <a:pPr algn="r"/>
                    <a:t> £122.23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4" name="Group 223">
                <a:extLst>
                  <a:ext uri="{FF2B5EF4-FFF2-40B4-BE49-F238E27FC236}">
                    <a16:creationId xmlns:a16="http://schemas.microsoft.com/office/drawing/2014/main" id="{6DB7FDB8-3913-4B09-A21A-A7CDAFEC920A}"/>
                  </a:ext>
                </a:extLst>
              </xdr:cNvPr>
              <xdr:cNvGrpSpPr/>
            </xdr:nvGrpSpPr>
            <xdr:grpSpPr>
              <a:xfrm>
                <a:off x="3163020" y="5520017"/>
                <a:ext cx="1714500" cy="294872"/>
                <a:chOff x="3162300" y="4596092"/>
                <a:chExt cx="1714500" cy="294872"/>
              </a:xfrm>
            </xdr:grpSpPr>
            <xdr:sp macro="" textlink="">
              <xdr:nvSpPr>
                <xdr:cNvPr id="229" name="TextBox 228">
                  <a:extLst>
                    <a:ext uri="{FF2B5EF4-FFF2-40B4-BE49-F238E27FC236}">
                      <a16:creationId xmlns:a16="http://schemas.microsoft.com/office/drawing/2014/main" id="{D1F78670-D3B4-442D-859A-CE8D980AAA8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B8ms</a:t>
                  </a:r>
                </a:p>
              </xdr:txBody>
            </xdr:sp>
            <xdr:sp macro="" textlink="'Dashboard Workings'!F5">
              <xdr:nvSpPr>
                <xdr:cNvPr id="230" name="TextBox 229">
                  <a:extLst>
                    <a:ext uri="{FF2B5EF4-FFF2-40B4-BE49-F238E27FC236}">
                      <a16:creationId xmlns:a16="http://schemas.microsoft.com/office/drawing/2014/main" id="{8E81EDB2-E3AB-4A02-9D6B-DA25835F429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5763BA4-3240-4E92-A45E-1BA49992C21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5">
              <xdr:nvSpPr>
                <xdr:cNvPr id="231" name="TextBox 230">
                  <a:extLst>
                    <a:ext uri="{FF2B5EF4-FFF2-40B4-BE49-F238E27FC236}">
                      <a16:creationId xmlns:a16="http://schemas.microsoft.com/office/drawing/2014/main" id="{DAC9833B-7656-4018-89D1-A3A2B5666AB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132F9BF-117E-4699-A0A7-B1833CB7ABC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5" name="Group 224">
                <a:extLst>
                  <a:ext uri="{FF2B5EF4-FFF2-40B4-BE49-F238E27FC236}">
                    <a16:creationId xmlns:a16="http://schemas.microsoft.com/office/drawing/2014/main" id="{1B8ED3D3-12CB-43C6-AB4F-D79D801CEECD}"/>
                  </a:ext>
                </a:extLst>
              </xdr:cNvPr>
              <xdr:cNvGrpSpPr/>
            </xdr:nvGrpSpPr>
            <xdr:grpSpPr>
              <a:xfrm>
                <a:off x="3163020" y="5815292"/>
                <a:ext cx="1714500" cy="294872"/>
                <a:chOff x="3162300" y="4596092"/>
                <a:chExt cx="1714500" cy="294872"/>
              </a:xfrm>
            </xdr:grpSpPr>
            <xdr:sp macro="" textlink="">
              <xdr:nvSpPr>
                <xdr:cNvPr id="226" name="TextBox 225">
                  <a:extLst>
                    <a:ext uri="{FF2B5EF4-FFF2-40B4-BE49-F238E27FC236}">
                      <a16:creationId xmlns:a16="http://schemas.microsoft.com/office/drawing/2014/main" id="{6EC5105A-270D-4E94-9605-CAA17BDD614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B12ms</a:t>
                  </a:r>
                </a:p>
              </xdr:txBody>
            </xdr:sp>
            <xdr:sp macro="" textlink="'Dashboard Workings'!F6">
              <xdr:nvSpPr>
                <xdr:cNvPr id="227" name="TextBox 226">
                  <a:extLst>
                    <a:ext uri="{FF2B5EF4-FFF2-40B4-BE49-F238E27FC236}">
                      <a16:creationId xmlns:a16="http://schemas.microsoft.com/office/drawing/2014/main" id="{A7A83A41-C9B5-40B9-9182-2DBE352CF0B6}"/>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E964E1-F41E-4196-88CF-14EC79A9C6D1}"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6">
              <xdr:nvSpPr>
                <xdr:cNvPr id="228" name="TextBox 227">
                  <a:extLst>
                    <a:ext uri="{FF2B5EF4-FFF2-40B4-BE49-F238E27FC236}">
                      <a16:creationId xmlns:a16="http://schemas.microsoft.com/office/drawing/2014/main" id="{D68F152C-DCF0-4721-A603-870A74DF595F}"/>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8C9B475-E780-4F70-9339-433B7D0867D4}"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23" name="Group 22">
            <a:extLst>
              <a:ext uri="{FF2B5EF4-FFF2-40B4-BE49-F238E27FC236}">
                <a16:creationId xmlns:a16="http://schemas.microsoft.com/office/drawing/2014/main" id="{C379BC17-403D-4EA9-AF05-94DCC0C15870}"/>
              </a:ext>
            </a:extLst>
          </xdr:cNvPr>
          <xdr:cNvGrpSpPr/>
        </xdr:nvGrpSpPr>
        <xdr:grpSpPr>
          <a:xfrm>
            <a:off x="3104216" y="6396317"/>
            <a:ext cx="1744729" cy="294872"/>
            <a:chOff x="3104216" y="6396317"/>
            <a:chExt cx="1744729" cy="294872"/>
          </a:xfrm>
        </xdr:grpSpPr>
        <xdr:sp macro="" textlink="">
          <xdr:nvSpPr>
            <xdr:cNvPr id="215" name="Rectangle: Rounded Corners 214">
              <a:extLst>
                <a:ext uri="{FF2B5EF4-FFF2-40B4-BE49-F238E27FC236}">
                  <a16:creationId xmlns:a16="http://schemas.microsoft.com/office/drawing/2014/main" id="{F7AC90BC-194A-47D4-AEB1-F6F32D782472}"/>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6" name="Group 215">
              <a:extLst>
                <a:ext uri="{FF2B5EF4-FFF2-40B4-BE49-F238E27FC236}">
                  <a16:creationId xmlns:a16="http://schemas.microsoft.com/office/drawing/2014/main" id="{0ECF1411-CE19-4A56-A54C-390A1E3AF942}"/>
                </a:ext>
              </a:extLst>
            </xdr:cNvPr>
            <xdr:cNvGrpSpPr/>
          </xdr:nvGrpSpPr>
          <xdr:grpSpPr>
            <a:xfrm>
              <a:off x="3134445" y="6396317"/>
              <a:ext cx="1714500" cy="294872"/>
              <a:chOff x="3162300" y="4596092"/>
              <a:chExt cx="1714500" cy="294872"/>
            </a:xfrm>
          </xdr:grpSpPr>
          <xdr:sp macro="" textlink="">
            <xdr:nvSpPr>
              <xdr:cNvPr id="217" name="TextBox 216">
                <a:extLst>
                  <a:ext uri="{FF2B5EF4-FFF2-40B4-BE49-F238E27FC236}">
                    <a16:creationId xmlns:a16="http://schemas.microsoft.com/office/drawing/2014/main" id="{A179680F-B345-4876-95E2-08D1A3E34967}"/>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2">
            <xdr:nvSpPr>
              <xdr:cNvPr id="218" name="TextBox 217">
                <a:extLst>
                  <a:ext uri="{FF2B5EF4-FFF2-40B4-BE49-F238E27FC236}">
                    <a16:creationId xmlns:a16="http://schemas.microsoft.com/office/drawing/2014/main" id="{74A944F4-0BA5-4F68-87E1-44F2F4AA71F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8B2915C-CA93-46AC-A162-F21A16D4E41B}" type="TxLink">
                  <a:rPr lang="en-US" sz="1200" b="1" i="0" u="none" strike="noStrike">
                    <a:solidFill>
                      <a:srgbClr val="000000"/>
                    </a:solidFill>
                    <a:latin typeface="Calibri"/>
                    <a:cs typeface="Calibri"/>
                  </a:rPr>
                  <a:pPr algn="r"/>
                  <a:t> £152.79 </a:t>
                </a:fld>
                <a:endParaRPr lang="en-ZA" sz="1200" b="1">
                  <a:solidFill>
                    <a:schemeClr val="tx1">
                      <a:lumMod val="85000"/>
                      <a:lumOff val="15000"/>
                    </a:schemeClr>
                  </a:solidFill>
                  <a:latin typeface="Arial" panose="020B0604020202020204" pitchFamily="34" charset="0"/>
                  <a:cs typeface="Arial" panose="020B0604020202020204" pitchFamily="34" charset="0"/>
                </a:endParaRPr>
              </a:p>
            </xdr:txBody>
          </xdr:sp>
        </xdr:grpSp>
      </xdr:grpSp>
      <xdr:grpSp>
        <xdr:nvGrpSpPr>
          <xdr:cNvPr id="24" name="Group 23">
            <a:extLst>
              <a:ext uri="{FF2B5EF4-FFF2-40B4-BE49-F238E27FC236}">
                <a16:creationId xmlns:a16="http://schemas.microsoft.com/office/drawing/2014/main" id="{1550F6F7-8D48-485C-901B-607C2C97FD3B}"/>
              </a:ext>
            </a:extLst>
          </xdr:cNvPr>
          <xdr:cNvGrpSpPr/>
        </xdr:nvGrpSpPr>
        <xdr:grpSpPr>
          <a:xfrm>
            <a:off x="5018741" y="3857626"/>
            <a:ext cx="2055870" cy="2476500"/>
            <a:chOff x="3094691" y="3867151"/>
            <a:chExt cx="2055870" cy="2476500"/>
          </a:xfrm>
        </xdr:grpSpPr>
        <xdr:grpSp>
          <xdr:nvGrpSpPr>
            <xdr:cNvPr id="189" name="Group 188">
              <a:extLst>
                <a:ext uri="{FF2B5EF4-FFF2-40B4-BE49-F238E27FC236}">
                  <a16:creationId xmlns:a16="http://schemas.microsoft.com/office/drawing/2014/main" id="{8332FF3F-F29D-4109-BB3B-F308940720E3}"/>
                </a:ext>
              </a:extLst>
            </xdr:cNvPr>
            <xdr:cNvGrpSpPr/>
          </xdr:nvGrpSpPr>
          <xdr:grpSpPr>
            <a:xfrm>
              <a:off x="3094691" y="3867151"/>
              <a:ext cx="2055870" cy="2476500"/>
              <a:chOff x="3094691" y="3867151"/>
              <a:chExt cx="2055870" cy="2476500"/>
            </a:xfrm>
          </xdr:grpSpPr>
          <xdr:grpSp>
            <xdr:nvGrpSpPr>
              <xdr:cNvPr id="207" name="Group 206">
                <a:extLst>
                  <a:ext uri="{FF2B5EF4-FFF2-40B4-BE49-F238E27FC236}">
                    <a16:creationId xmlns:a16="http://schemas.microsoft.com/office/drawing/2014/main" id="{9AFB523A-5DA1-4C99-9D28-7AF63A960581}"/>
                  </a:ext>
                </a:extLst>
              </xdr:cNvPr>
              <xdr:cNvGrpSpPr/>
            </xdr:nvGrpSpPr>
            <xdr:grpSpPr>
              <a:xfrm>
                <a:off x="3094691" y="3867151"/>
                <a:ext cx="1734484" cy="2476500"/>
                <a:chOff x="3094691" y="3867151"/>
                <a:chExt cx="1734484" cy="2476500"/>
              </a:xfrm>
            </xdr:grpSpPr>
            <xdr:sp macro="" textlink="">
              <xdr:nvSpPr>
                <xdr:cNvPr id="213" name="Rectangle: Rounded Corners 212">
                  <a:extLst>
                    <a:ext uri="{FF2B5EF4-FFF2-40B4-BE49-F238E27FC236}">
                      <a16:creationId xmlns:a16="http://schemas.microsoft.com/office/drawing/2014/main" id="{AADAEDD2-E2B5-48D9-BB97-075FF58CA5F0}"/>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4" name="TextBox 213">
                  <a:extLst>
                    <a:ext uri="{FF2B5EF4-FFF2-40B4-BE49-F238E27FC236}">
                      <a16:creationId xmlns:a16="http://schemas.microsoft.com/office/drawing/2014/main" id="{9763913C-1F4B-495E-B6B1-B1F783225385}"/>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208" name="Group 207">
                <a:extLst>
                  <a:ext uri="{FF2B5EF4-FFF2-40B4-BE49-F238E27FC236}">
                    <a16:creationId xmlns:a16="http://schemas.microsoft.com/office/drawing/2014/main" id="{B5F9705C-EF1A-436F-A0ED-3A875A9EF112}"/>
                  </a:ext>
                </a:extLst>
              </xdr:cNvPr>
              <xdr:cNvGrpSpPr/>
            </xdr:nvGrpSpPr>
            <xdr:grpSpPr>
              <a:xfrm>
                <a:off x="3095625" y="4276724"/>
                <a:ext cx="2054936" cy="304397"/>
                <a:chOff x="3095625" y="4229099"/>
                <a:chExt cx="2054936" cy="304397"/>
              </a:xfrm>
            </xdr:grpSpPr>
            <xdr:sp macro="" textlink="">
              <xdr:nvSpPr>
                <xdr:cNvPr id="209" name="Rectangle: Rounded Corners 208">
                  <a:extLst>
                    <a:ext uri="{FF2B5EF4-FFF2-40B4-BE49-F238E27FC236}">
                      <a16:creationId xmlns:a16="http://schemas.microsoft.com/office/drawing/2014/main" id="{F5EEBB0D-B694-4B20-9982-3CD249977616}"/>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0" name="Group 209">
                  <a:extLst>
                    <a:ext uri="{FF2B5EF4-FFF2-40B4-BE49-F238E27FC236}">
                      <a16:creationId xmlns:a16="http://schemas.microsoft.com/office/drawing/2014/main" id="{7FF7EB56-A13D-4230-A63B-4CB356881467}"/>
                    </a:ext>
                  </a:extLst>
                </xdr:cNvPr>
                <xdr:cNvGrpSpPr/>
              </xdr:nvGrpSpPr>
              <xdr:grpSpPr>
                <a:xfrm>
                  <a:off x="3152775" y="4238624"/>
                  <a:ext cx="1997786" cy="294872"/>
                  <a:chOff x="8410575" y="3800474"/>
                  <a:chExt cx="1997786" cy="294872"/>
                </a:xfrm>
              </xdr:grpSpPr>
              <xdr:sp macro="" textlink="">
                <xdr:nvSpPr>
                  <xdr:cNvPr id="211" name="TextBox 210">
                    <a:extLst>
                      <a:ext uri="{FF2B5EF4-FFF2-40B4-BE49-F238E27FC236}">
                        <a16:creationId xmlns:a16="http://schemas.microsoft.com/office/drawing/2014/main" id="{D1BB4455-0B2F-4395-9B1D-48F062998F61}"/>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12" name="TextBox 211">
                    <a:extLst>
                      <a:ext uri="{FF2B5EF4-FFF2-40B4-BE49-F238E27FC236}">
                        <a16:creationId xmlns:a16="http://schemas.microsoft.com/office/drawing/2014/main" id="{BAD79311-B57F-4372-AE80-DD535B23EE41}"/>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90" name="Group 189">
              <a:extLst>
                <a:ext uri="{FF2B5EF4-FFF2-40B4-BE49-F238E27FC236}">
                  <a16:creationId xmlns:a16="http://schemas.microsoft.com/office/drawing/2014/main" id="{8A425237-0E63-4448-8B36-5C0D501F6115}"/>
                </a:ext>
              </a:extLst>
            </xdr:cNvPr>
            <xdr:cNvGrpSpPr/>
          </xdr:nvGrpSpPr>
          <xdr:grpSpPr>
            <a:xfrm>
              <a:off x="3162300" y="4615142"/>
              <a:ext cx="1715220" cy="1199747"/>
              <a:chOff x="3162300" y="4615142"/>
              <a:chExt cx="1715220" cy="1199747"/>
            </a:xfrm>
          </xdr:grpSpPr>
          <xdr:grpSp>
            <xdr:nvGrpSpPr>
              <xdr:cNvPr id="191" name="Group 190">
                <a:extLst>
                  <a:ext uri="{FF2B5EF4-FFF2-40B4-BE49-F238E27FC236}">
                    <a16:creationId xmlns:a16="http://schemas.microsoft.com/office/drawing/2014/main" id="{1F4F1D80-6E77-4AB7-9E32-B56C2B5CEA81}"/>
                  </a:ext>
                </a:extLst>
              </xdr:cNvPr>
              <xdr:cNvGrpSpPr/>
            </xdr:nvGrpSpPr>
            <xdr:grpSpPr>
              <a:xfrm>
                <a:off x="3162300" y="4615142"/>
                <a:ext cx="1714501" cy="294872"/>
                <a:chOff x="3162300" y="4596092"/>
                <a:chExt cx="1714501" cy="294872"/>
              </a:xfrm>
            </xdr:grpSpPr>
            <xdr:sp macro="" textlink="">
              <xdr:nvSpPr>
                <xdr:cNvPr id="204" name="TextBox 203">
                  <a:extLst>
                    <a:ext uri="{FF2B5EF4-FFF2-40B4-BE49-F238E27FC236}">
                      <a16:creationId xmlns:a16="http://schemas.microsoft.com/office/drawing/2014/main" id="{0E96AA6F-9F4C-45F5-877D-76B30EFCB8C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 v3</a:t>
                  </a:r>
                </a:p>
              </xdr:txBody>
            </xdr:sp>
            <xdr:sp macro="" textlink="'Dashboard Workings'!F9">
              <xdr:nvSpPr>
                <xdr:cNvPr id="205" name="TextBox 204">
                  <a:extLst>
                    <a:ext uri="{FF2B5EF4-FFF2-40B4-BE49-F238E27FC236}">
                      <a16:creationId xmlns:a16="http://schemas.microsoft.com/office/drawing/2014/main" id="{5198858A-A0D0-4BE4-9AEF-E91578D04280}"/>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9252403-D400-401B-AB60-6F1C345C93C6}"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9">
              <xdr:nvSpPr>
                <xdr:cNvPr id="206" name="TextBox 205">
                  <a:extLst>
                    <a:ext uri="{FF2B5EF4-FFF2-40B4-BE49-F238E27FC236}">
                      <a16:creationId xmlns:a16="http://schemas.microsoft.com/office/drawing/2014/main" id="{5CFCE6B4-0083-40DE-8CCB-7BEABC7C4224}"/>
                    </a:ext>
                  </a:extLst>
                </xdr:cNvPr>
                <xdr:cNvSpPr txBox="1"/>
              </xdr:nvSpPr>
              <xdr:spPr>
                <a:xfrm>
                  <a:off x="4114801" y="4596092"/>
                  <a:ext cx="76200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6150AA8-FFD1-485A-A0F1-ABA79613275F}"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92" name="Group 191">
                <a:extLst>
                  <a:ext uri="{FF2B5EF4-FFF2-40B4-BE49-F238E27FC236}">
                    <a16:creationId xmlns:a16="http://schemas.microsoft.com/office/drawing/2014/main" id="{D63186FD-4B3E-4588-8220-91105DF0443C}"/>
                  </a:ext>
                </a:extLst>
              </xdr:cNvPr>
              <xdr:cNvGrpSpPr/>
            </xdr:nvGrpSpPr>
            <xdr:grpSpPr>
              <a:xfrm>
                <a:off x="3162300" y="4919942"/>
                <a:ext cx="1714500" cy="294872"/>
                <a:chOff x="3162300" y="4596092"/>
                <a:chExt cx="1714500" cy="294872"/>
              </a:xfrm>
            </xdr:grpSpPr>
            <xdr:sp macro="" textlink="">
              <xdr:nvSpPr>
                <xdr:cNvPr id="201" name="TextBox 200">
                  <a:extLst>
                    <a:ext uri="{FF2B5EF4-FFF2-40B4-BE49-F238E27FC236}">
                      <a16:creationId xmlns:a16="http://schemas.microsoft.com/office/drawing/2014/main" id="{42FEA2ED-7B8F-4DC9-BB6F-066817557CA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 v3</a:t>
                  </a:r>
                </a:p>
              </xdr:txBody>
            </xdr:sp>
            <xdr:sp macro="" textlink="'Dashboard Workings'!F10">
              <xdr:nvSpPr>
                <xdr:cNvPr id="202" name="TextBox 201">
                  <a:extLst>
                    <a:ext uri="{FF2B5EF4-FFF2-40B4-BE49-F238E27FC236}">
                      <a16:creationId xmlns:a16="http://schemas.microsoft.com/office/drawing/2014/main" id="{3319A7F9-CF4C-49A9-8926-C742D8C79C7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355F10-EE49-4BB8-A787-655E61E5A99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0">
              <xdr:nvSpPr>
                <xdr:cNvPr id="203" name="TextBox 202">
                  <a:extLst>
                    <a:ext uri="{FF2B5EF4-FFF2-40B4-BE49-F238E27FC236}">
                      <a16:creationId xmlns:a16="http://schemas.microsoft.com/office/drawing/2014/main" id="{6EFBB865-A6F0-4903-BFBD-5564A4A8A6F3}"/>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C19E15A-7497-47FF-8250-AADC3BB5382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93" name="Group 192">
                <a:extLst>
                  <a:ext uri="{FF2B5EF4-FFF2-40B4-BE49-F238E27FC236}">
                    <a16:creationId xmlns:a16="http://schemas.microsoft.com/office/drawing/2014/main" id="{CFBCBDE6-FDF5-4BEB-8CA9-7FF5E3B7C816}"/>
                  </a:ext>
                </a:extLst>
              </xdr:cNvPr>
              <xdr:cNvGrpSpPr/>
            </xdr:nvGrpSpPr>
            <xdr:grpSpPr>
              <a:xfrm>
                <a:off x="3163020" y="5224742"/>
                <a:ext cx="1714500" cy="294872"/>
                <a:chOff x="3162300" y="4596092"/>
                <a:chExt cx="1714500" cy="294872"/>
              </a:xfrm>
            </xdr:grpSpPr>
            <xdr:sp macro="" textlink="">
              <xdr:nvSpPr>
                <xdr:cNvPr id="198" name="TextBox 197">
                  <a:extLst>
                    <a:ext uri="{FF2B5EF4-FFF2-40B4-BE49-F238E27FC236}">
                      <a16:creationId xmlns:a16="http://schemas.microsoft.com/office/drawing/2014/main" id="{2F8EAE78-3CFD-4A91-8EF8-78A77363BB4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D13</a:t>
                  </a:r>
                </a:p>
              </xdr:txBody>
            </xdr:sp>
            <xdr:sp macro="" textlink="'Dashboard Workings'!F11">
              <xdr:nvSpPr>
                <xdr:cNvPr id="199" name="TextBox 198">
                  <a:extLst>
                    <a:ext uri="{FF2B5EF4-FFF2-40B4-BE49-F238E27FC236}">
                      <a16:creationId xmlns:a16="http://schemas.microsoft.com/office/drawing/2014/main" id="{15B3D016-A59A-4BB2-99D6-4DAE552A0611}"/>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4E82507-7FB3-4C1D-9CAC-D6121093D59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1">
              <xdr:nvSpPr>
                <xdr:cNvPr id="200" name="TextBox 199">
                  <a:extLst>
                    <a:ext uri="{FF2B5EF4-FFF2-40B4-BE49-F238E27FC236}">
                      <a16:creationId xmlns:a16="http://schemas.microsoft.com/office/drawing/2014/main" id="{D32CF175-B556-46AA-BC21-1D4FF1B1639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7BBB352-B1C6-493E-9EAB-B57904F45586}"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94" name="Group 193">
                <a:extLst>
                  <a:ext uri="{FF2B5EF4-FFF2-40B4-BE49-F238E27FC236}">
                    <a16:creationId xmlns:a16="http://schemas.microsoft.com/office/drawing/2014/main" id="{110AA31F-C793-4068-8FFE-3275949CA377}"/>
                  </a:ext>
                </a:extLst>
              </xdr:cNvPr>
              <xdr:cNvGrpSpPr/>
            </xdr:nvGrpSpPr>
            <xdr:grpSpPr>
              <a:xfrm>
                <a:off x="3163020" y="5520017"/>
                <a:ext cx="1714500" cy="294872"/>
                <a:chOff x="3162300" y="4596092"/>
                <a:chExt cx="1714500" cy="294872"/>
              </a:xfrm>
            </xdr:grpSpPr>
            <xdr:sp macro="" textlink="">
              <xdr:nvSpPr>
                <xdr:cNvPr id="195" name="TextBox 194">
                  <a:extLst>
                    <a:ext uri="{FF2B5EF4-FFF2-40B4-BE49-F238E27FC236}">
                      <a16:creationId xmlns:a16="http://schemas.microsoft.com/office/drawing/2014/main" id="{0B480966-6EAE-42D1-BA5B-4C3BF6A7EA2B}"/>
                    </a:ext>
                  </a:extLst>
                </xdr:cNvPr>
                <xdr:cNvSpPr txBox="1"/>
              </xdr:nvSpPr>
              <xdr:spPr>
                <a:xfrm>
                  <a:off x="3162300"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DS13v2</a:t>
                  </a:r>
                </a:p>
              </xdr:txBody>
            </xdr:sp>
            <xdr:sp macro="" textlink="'Dashboard Workings'!F12">
              <xdr:nvSpPr>
                <xdr:cNvPr id="196" name="TextBox 195">
                  <a:extLst>
                    <a:ext uri="{FF2B5EF4-FFF2-40B4-BE49-F238E27FC236}">
                      <a16:creationId xmlns:a16="http://schemas.microsoft.com/office/drawing/2014/main" id="{BAC6466B-2A6F-40F4-87DA-9CBB2D64F376}"/>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383CCC-68BD-470F-A4B4-5C9686AFD18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2">
              <xdr:nvSpPr>
                <xdr:cNvPr id="197" name="TextBox 196">
                  <a:extLst>
                    <a:ext uri="{FF2B5EF4-FFF2-40B4-BE49-F238E27FC236}">
                      <a16:creationId xmlns:a16="http://schemas.microsoft.com/office/drawing/2014/main" id="{D3282FA7-46F7-4A0E-A56C-9344265DE308}"/>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CB5AFCC-7B39-4B7D-9C18-EC5FBF969D8C}"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25" name="Group 24">
            <a:extLst>
              <a:ext uri="{FF2B5EF4-FFF2-40B4-BE49-F238E27FC236}">
                <a16:creationId xmlns:a16="http://schemas.microsoft.com/office/drawing/2014/main" id="{55368AA3-C04B-4BF0-B2B6-3A85EF7086FD}"/>
              </a:ext>
            </a:extLst>
          </xdr:cNvPr>
          <xdr:cNvGrpSpPr/>
        </xdr:nvGrpSpPr>
        <xdr:grpSpPr>
          <a:xfrm>
            <a:off x="6953250" y="3848100"/>
            <a:ext cx="2055870" cy="2476500"/>
            <a:chOff x="3094691" y="3867151"/>
            <a:chExt cx="2055870" cy="2476500"/>
          </a:xfrm>
        </xdr:grpSpPr>
        <xdr:grpSp>
          <xdr:nvGrpSpPr>
            <xdr:cNvPr id="159" name="Group 158">
              <a:extLst>
                <a:ext uri="{FF2B5EF4-FFF2-40B4-BE49-F238E27FC236}">
                  <a16:creationId xmlns:a16="http://schemas.microsoft.com/office/drawing/2014/main" id="{629D0D27-0880-47CC-BA42-11E8E6E0FC57}"/>
                </a:ext>
              </a:extLst>
            </xdr:cNvPr>
            <xdr:cNvGrpSpPr/>
          </xdr:nvGrpSpPr>
          <xdr:grpSpPr>
            <a:xfrm>
              <a:off x="3094691" y="3867151"/>
              <a:ext cx="2055870" cy="2476500"/>
              <a:chOff x="3094691" y="3867151"/>
              <a:chExt cx="2055870" cy="2476500"/>
            </a:xfrm>
          </xdr:grpSpPr>
          <xdr:grpSp>
            <xdr:nvGrpSpPr>
              <xdr:cNvPr id="181" name="Group 180">
                <a:extLst>
                  <a:ext uri="{FF2B5EF4-FFF2-40B4-BE49-F238E27FC236}">
                    <a16:creationId xmlns:a16="http://schemas.microsoft.com/office/drawing/2014/main" id="{FE1B3FF3-BAAE-4804-8510-69FB84CE937F}"/>
                  </a:ext>
                </a:extLst>
              </xdr:cNvPr>
              <xdr:cNvGrpSpPr/>
            </xdr:nvGrpSpPr>
            <xdr:grpSpPr>
              <a:xfrm>
                <a:off x="3094691" y="3867151"/>
                <a:ext cx="1734484" cy="2476500"/>
                <a:chOff x="3094691" y="3867151"/>
                <a:chExt cx="1734484" cy="2476500"/>
              </a:xfrm>
            </xdr:grpSpPr>
            <xdr:sp macro="" textlink="">
              <xdr:nvSpPr>
                <xdr:cNvPr id="187" name="Rectangle: Rounded Corners 186">
                  <a:extLst>
                    <a:ext uri="{FF2B5EF4-FFF2-40B4-BE49-F238E27FC236}">
                      <a16:creationId xmlns:a16="http://schemas.microsoft.com/office/drawing/2014/main" id="{33D83431-074F-46F0-BACB-A023A6D05D4F}"/>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TextBox 187">
                  <a:extLst>
                    <a:ext uri="{FF2B5EF4-FFF2-40B4-BE49-F238E27FC236}">
                      <a16:creationId xmlns:a16="http://schemas.microsoft.com/office/drawing/2014/main" id="{3C50B797-735D-4845-82F9-0367C822A735}"/>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D'as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82" name="Group 181">
                <a:extLst>
                  <a:ext uri="{FF2B5EF4-FFF2-40B4-BE49-F238E27FC236}">
                    <a16:creationId xmlns:a16="http://schemas.microsoft.com/office/drawing/2014/main" id="{C7D1B80A-BF89-4907-A258-709C050E237C}"/>
                  </a:ext>
                </a:extLst>
              </xdr:cNvPr>
              <xdr:cNvGrpSpPr/>
            </xdr:nvGrpSpPr>
            <xdr:grpSpPr>
              <a:xfrm>
                <a:off x="3095625" y="4276724"/>
                <a:ext cx="2054936" cy="304397"/>
                <a:chOff x="3095625" y="4229099"/>
                <a:chExt cx="2054936" cy="304397"/>
              </a:xfrm>
            </xdr:grpSpPr>
            <xdr:sp macro="" textlink="">
              <xdr:nvSpPr>
                <xdr:cNvPr id="183" name="Rectangle: Rounded Corners 182">
                  <a:extLst>
                    <a:ext uri="{FF2B5EF4-FFF2-40B4-BE49-F238E27FC236}">
                      <a16:creationId xmlns:a16="http://schemas.microsoft.com/office/drawing/2014/main" id="{1BE18EED-4F81-4B96-969E-80131C126245}"/>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84" name="Group 183">
                  <a:extLst>
                    <a:ext uri="{FF2B5EF4-FFF2-40B4-BE49-F238E27FC236}">
                      <a16:creationId xmlns:a16="http://schemas.microsoft.com/office/drawing/2014/main" id="{DE1BAC42-985D-43B8-95AE-BB652EC846BC}"/>
                    </a:ext>
                  </a:extLst>
                </xdr:cNvPr>
                <xdr:cNvGrpSpPr/>
              </xdr:nvGrpSpPr>
              <xdr:grpSpPr>
                <a:xfrm>
                  <a:off x="3152775" y="4238624"/>
                  <a:ext cx="1997786" cy="294872"/>
                  <a:chOff x="8410575" y="3800474"/>
                  <a:chExt cx="1997786" cy="294872"/>
                </a:xfrm>
              </xdr:grpSpPr>
              <xdr:sp macro="" textlink="">
                <xdr:nvSpPr>
                  <xdr:cNvPr id="185" name="TextBox 184">
                    <a:extLst>
                      <a:ext uri="{FF2B5EF4-FFF2-40B4-BE49-F238E27FC236}">
                        <a16:creationId xmlns:a16="http://schemas.microsoft.com/office/drawing/2014/main" id="{F75C3BCE-CDA1-40AB-9C80-6904A32A06EB}"/>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86" name="TextBox 185">
                    <a:extLst>
                      <a:ext uri="{FF2B5EF4-FFF2-40B4-BE49-F238E27FC236}">
                        <a16:creationId xmlns:a16="http://schemas.microsoft.com/office/drawing/2014/main" id="{12C320C5-5598-49B4-A313-BA9141E495EB}"/>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60" name="Group 159">
              <a:extLst>
                <a:ext uri="{FF2B5EF4-FFF2-40B4-BE49-F238E27FC236}">
                  <a16:creationId xmlns:a16="http://schemas.microsoft.com/office/drawing/2014/main" id="{193EEA71-830D-47C1-B89B-18A04BE09BEA}"/>
                </a:ext>
              </a:extLst>
            </xdr:cNvPr>
            <xdr:cNvGrpSpPr/>
          </xdr:nvGrpSpPr>
          <xdr:grpSpPr>
            <a:xfrm>
              <a:off x="3162300" y="4615142"/>
              <a:ext cx="1715220" cy="1495022"/>
              <a:chOff x="3162300" y="4615142"/>
              <a:chExt cx="1715220" cy="1495022"/>
            </a:xfrm>
          </xdr:grpSpPr>
          <xdr:grpSp>
            <xdr:nvGrpSpPr>
              <xdr:cNvPr id="161" name="Group 160">
                <a:extLst>
                  <a:ext uri="{FF2B5EF4-FFF2-40B4-BE49-F238E27FC236}">
                    <a16:creationId xmlns:a16="http://schemas.microsoft.com/office/drawing/2014/main" id="{CCCC7144-C340-4204-8FDE-94F4639CECE2}"/>
                  </a:ext>
                </a:extLst>
              </xdr:cNvPr>
              <xdr:cNvGrpSpPr/>
            </xdr:nvGrpSpPr>
            <xdr:grpSpPr>
              <a:xfrm>
                <a:off x="3162300" y="4615142"/>
                <a:ext cx="1714500" cy="294872"/>
                <a:chOff x="3162300" y="4596092"/>
                <a:chExt cx="1714500" cy="294872"/>
              </a:xfrm>
            </xdr:grpSpPr>
            <xdr:sp macro="" textlink="">
              <xdr:nvSpPr>
                <xdr:cNvPr id="178" name="TextBox 177">
                  <a:extLst>
                    <a:ext uri="{FF2B5EF4-FFF2-40B4-BE49-F238E27FC236}">
                      <a16:creationId xmlns:a16="http://schemas.microsoft.com/office/drawing/2014/main" id="{F745BC8A-0704-46C6-907B-5083A94753B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D2as</a:t>
                  </a:r>
                </a:p>
              </xdr:txBody>
            </xdr:sp>
            <xdr:sp macro="" textlink="'Dashboard Workings'!F13">
              <xdr:nvSpPr>
                <xdr:cNvPr id="179" name="TextBox 178">
                  <a:extLst>
                    <a:ext uri="{FF2B5EF4-FFF2-40B4-BE49-F238E27FC236}">
                      <a16:creationId xmlns:a16="http://schemas.microsoft.com/office/drawing/2014/main" id="{918AF6C5-957C-4D9C-A658-19A4B20D7DA7}"/>
                    </a:ext>
                  </a:extLst>
                </xdr:cNvPr>
                <xdr:cNvSpPr txBox="1"/>
              </xdr:nvSpPr>
              <xdr:spPr>
                <a:xfrm>
                  <a:off x="3743325"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C850D8A-20F2-4CFA-B214-06768515E2DA}"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3">
              <xdr:nvSpPr>
                <xdr:cNvPr id="180" name="TextBox 179">
                  <a:extLst>
                    <a:ext uri="{FF2B5EF4-FFF2-40B4-BE49-F238E27FC236}">
                      <a16:creationId xmlns:a16="http://schemas.microsoft.com/office/drawing/2014/main" id="{D6C542C7-B394-4AAC-B8E7-59BA95CD7EB9}"/>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C850CF-DD63-48BF-B3B7-66126B55ED92}"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2" name="Group 161">
                <a:extLst>
                  <a:ext uri="{FF2B5EF4-FFF2-40B4-BE49-F238E27FC236}">
                    <a16:creationId xmlns:a16="http://schemas.microsoft.com/office/drawing/2014/main" id="{0B74389B-CA1D-45FD-9E16-4287817765FC}"/>
                  </a:ext>
                </a:extLst>
              </xdr:cNvPr>
              <xdr:cNvGrpSpPr/>
            </xdr:nvGrpSpPr>
            <xdr:grpSpPr>
              <a:xfrm>
                <a:off x="3162300" y="4919942"/>
                <a:ext cx="1714500" cy="294872"/>
                <a:chOff x="3162300" y="4596092"/>
                <a:chExt cx="1714500" cy="294872"/>
              </a:xfrm>
            </xdr:grpSpPr>
            <xdr:sp macro="" textlink="">
              <xdr:nvSpPr>
                <xdr:cNvPr id="175" name="TextBox 174">
                  <a:extLst>
                    <a:ext uri="{FF2B5EF4-FFF2-40B4-BE49-F238E27FC236}">
                      <a16:creationId xmlns:a16="http://schemas.microsoft.com/office/drawing/2014/main" id="{EEBC0211-B85B-435A-8C2D-9DDCBEDC1FC7}"/>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D4as</a:t>
                  </a:r>
                </a:p>
              </xdr:txBody>
            </xdr:sp>
            <xdr:sp macro="" textlink="'Dashboard Workings'!F14">
              <xdr:nvSpPr>
                <xdr:cNvPr id="176" name="TextBox 175">
                  <a:extLst>
                    <a:ext uri="{FF2B5EF4-FFF2-40B4-BE49-F238E27FC236}">
                      <a16:creationId xmlns:a16="http://schemas.microsoft.com/office/drawing/2014/main" id="{2D95832A-1FBA-49BD-B2BB-447970FF4F0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B04ADE-F9D9-4D1B-A28A-5EA4D8918DA6}"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4">
              <xdr:nvSpPr>
                <xdr:cNvPr id="177" name="TextBox 176">
                  <a:extLst>
                    <a:ext uri="{FF2B5EF4-FFF2-40B4-BE49-F238E27FC236}">
                      <a16:creationId xmlns:a16="http://schemas.microsoft.com/office/drawing/2014/main" id="{8B1BF324-82D0-44D3-9BBA-55E7FEBA6B2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DD1BFAD-8097-4954-B7D5-12DC72D54FC7}"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3" name="Group 162">
                <a:extLst>
                  <a:ext uri="{FF2B5EF4-FFF2-40B4-BE49-F238E27FC236}">
                    <a16:creationId xmlns:a16="http://schemas.microsoft.com/office/drawing/2014/main" id="{AEC5E367-879A-4ED3-B3B6-BDD7745D564C}"/>
                  </a:ext>
                </a:extLst>
              </xdr:cNvPr>
              <xdr:cNvGrpSpPr/>
            </xdr:nvGrpSpPr>
            <xdr:grpSpPr>
              <a:xfrm>
                <a:off x="3163020" y="5224742"/>
                <a:ext cx="1714500" cy="294872"/>
                <a:chOff x="3162300" y="4596092"/>
                <a:chExt cx="1714500" cy="294872"/>
              </a:xfrm>
            </xdr:grpSpPr>
            <xdr:sp macro="" textlink="">
              <xdr:nvSpPr>
                <xdr:cNvPr id="172" name="TextBox 171">
                  <a:extLst>
                    <a:ext uri="{FF2B5EF4-FFF2-40B4-BE49-F238E27FC236}">
                      <a16:creationId xmlns:a16="http://schemas.microsoft.com/office/drawing/2014/main" id="{260D32BB-D326-4AC7-B949-557AFE70044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D8as</a:t>
                  </a:r>
                </a:p>
              </xdr:txBody>
            </xdr:sp>
            <xdr:sp macro="" textlink="'Dashboard Workings'!F15">
              <xdr:nvSpPr>
                <xdr:cNvPr id="173" name="TextBox 172">
                  <a:extLst>
                    <a:ext uri="{FF2B5EF4-FFF2-40B4-BE49-F238E27FC236}">
                      <a16:creationId xmlns:a16="http://schemas.microsoft.com/office/drawing/2014/main" id="{51C41329-7285-4120-93F3-91308509E34D}"/>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9EADAC-14C2-4450-987C-AB4DE8FF3C4D}"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5">
              <xdr:nvSpPr>
                <xdr:cNvPr id="174" name="TextBox 173">
                  <a:extLst>
                    <a:ext uri="{FF2B5EF4-FFF2-40B4-BE49-F238E27FC236}">
                      <a16:creationId xmlns:a16="http://schemas.microsoft.com/office/drawing/2014/main" id="{EE0AF6AB-051C-4F7E-A740-F766AB54B68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D6A6BF8-520D-44B7-9EAE-3A065E70D25D}"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4" name="Group 163">
                <a:extLst>
                  <a:ext uri="{FF2B5EF4-FFF2-40B4-BE49-F238E27FC236}">
                    <a16:creationId xmlns:a16="http://schemas.microsoft.com/office/drawing/2014/main" id="{7613CBA6-42A2-44FB-BF20-2D0A850A136C}"/>
                  </a:ext>
                </a:extLst>
              </xdr:cNvPr>
              <xdr:cNvGrpSpPr/>
            </xdr:nvGrpSpPr>
            <xdr:grpSpPr>
              <a:xfrm>
                <a:off x="3163020" y="5520017"/>
                <a:ext cx="1714500" cy="294872"/>
                <a:chOff x="3162300" y="4596092"/>
                <a:chExt cx="1714500" cy="294872"/>
              </a:xfrm>
            </xdr:grpSpPr>
            <xdr:sp macro="" textlink="">
              <xdr:nvSpPr>
                <xdr:cNvPr id="169" name="TextBox 168">
                  <a:extLst>
                    <a:ext uri="{FF2B5EF4-FFF2-40B4-BE49-F238E27FC236}">
                      <a16:creationId xmlns:a16="http://schemas.microsoft.com/office/drawing/2014/main" id="{6C6040D3-584B-4A6F-A21D-F920F58D60F3}"/>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D16as</a:t>
                  </a:r>
                </a:p>
              </xdr:txBody>
            </xdr:sp>
            <xdr:sp macro="" textlink="'Dashboard Workings'!F16">
              <xdr:nvSpPr>
                <xdr:cNvPr id="170" name="TextBox 169">
                  <a:extLst>
                    <a:ext uri="{FF2B5EF4-FFF2-40B4-BE49-F238E27FC236}">
                      <a16:creationId xmlns:a16="http://schemas.microsoft.com/office/drawing/2014/main" id="{4244E6D5-FBBF-49F4-9702-FB67D12D579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C1CACC2-4E51-4ACB-8E19-E7A0C44B962A}"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6">
              <xdr:nvSpPr>
                <xdr:cNvPr id="171" name="TextBox 170">
                  <a:extLst>
                    <a:ext uri="{FF2B5EF4-FFF2-40B4-BE49-F238E27FC236}">
                      <a16:creationId xmlns:a16="http://schemas.microsoft.com/office/drawing/2014/main" id="{603E9FB0-0708-47C4-B92E-0160EA8BE811}"/>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80ECCEA-DD00-4B92-97D9-510B1891A549}"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5" name="Group 164">
                <a:extLst>
                  <a:ext uri="{FF2B5EF4-FFF2-40B4-BE49-F238E27FC236}">
                    <a16:creationId xmlns:a16="http://schemas.microsoft.com/office/drawing/2014/main" id="{3F96719C-FB5B-4630-BCC0-FC75EFF634CF}"/>
                  </a:ext>
                </a:extLst>
              </xdr:cNvPr>
              <xdr:cNvGrpSpPr/>
            </xdr:nvGrpSpPr>
            <xdr:grpSpPr>
              <a:xfrm>
                <a:off x="3163020" y="5815292"/>
                <a:ext cx="1714500" cy="294872"/>
                <a:chOff x="3162300" y="4596092"/>
                <a:chExt cx="1714500" cy="294872"/>
              </a:xfrm>
            </xdr:grpSpPr>
            <xdr:sp macro="" textlink="">
              <xdr:nvSpPr>
                <xdr:cNvPr id="166" name="TextBox 165">
                  <a:extLst>
                    <a:ext uri="{FF2B5EF4-FFF2-40B4-BE49-F238E27FC236}">
                      <a16:creationId xmlns:a16="http://schemas.microsoft.com/office/drawing/2014/main" id="{3FCE1BD2-07D6-4A66-97B9-80E98E4F390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D32as</a:t>
                  </a:r>
                </a:p>
              </xdr:txBody>
            </xdr:sp>
            <xdr:sp macro="" textlink="'Dashboard Workings'!F17">
              <xdr:nvSpPr>
                <xdr:cNvPr id="167" name="TextBox 166">
                  <a:extLst>
                    <a:ext uri="{FF2B5EF4-FFF2-40B4-BE49-F238E27FC236}">
                      <a16:creationId xmlns:a16="http://schemas.microsoft.com/office/drawing/2014/main" id="{2635EA65-AA46-49C6-B76C-6FF72D8F379F}"/>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9D61B7E-A5F8-4968-8365-F429ECED6D72}"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7">
              <xdr:nvSpPr>
                <xdr:cNvPr id="168" name="TextBox 167">
                  <a:extLst>
                    <a:ext uri="{FF2B5EF4-FFF2-40B4-BE49-F238E27FC236}">
                      <a16:creationId xmlns:a16="http://schemas.microsoft.com/office/drawing/2014/main" id="{EC918258-97BB-4C88-9289-11AC9968C48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FDA6E94-4B2F-448E-9D59-00B82155F1F0}"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26" name="TextBox 25">
            <a:extLst>
              <a:ext uri="{FF2B5EF4-FFF2-40B4-BE49-F238E27FC236}">
                <a16:creationId xmlns:a16="http://schemas.microsoft.com/office/drawing/2014/main" id="{570E902A-E25B-41FD-81F6-E22C56796B75}"/>
              </a:ext>
            </a:extLst>
          </xdr:cNvPr>
          <xdr:cNvSpPr txBox="1"/>
        </xdr:nvSpPr>
        <xdr:spPr>
          <a:xfrm>
            <a:off x="6287220" y="40245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rgbClr val="D53B3B"/>
                </a:solidFill>
                <a:latin typeface="Arial" panose="020B0604020202020204" pitchFamily="34" charset="0"/>
                <a:cs typeface="Arial" panose="020B0604020202020204" pitchFamily="34" charset="0"/>
              </a:rPr>
              <a:t>Old</a:t>
            </a:r>
          </a:p>
        </xdr:txBody>
      </xdr:sp>
      <xdr:sp macro="" textlink="">
        <xdr:nvSpPr>
          <xdr:cNvPr id="27" name="TextBox 26">
            <a:extLst>
              <a:ext uri="{FF2B5EF4-FFF2-40B4-BE49-F238E27FC236}">
                <a16:creationId xmlns:a16="http://schemas.microsoft.com/office/drawing/2014/main" id="{F0657970-37B8-4A86-AD3A-3EAB28FEC0E2}"/>
              </a:ext>
            </a:extLst>
          </xdr:cNvPr>
          <xdr:cNvSpPr txBox="1"/>
        </xdr:nvSpPr>
        <xdr:spPr>
          <a:xfrm>
            <a:off x="8287470" y="404364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28" name="Group 27">
            <a:extLst>
              <a:ext uri="{FF2B5EF4-FFF2-40B4-BE49-F238E27FC236}">
                <a16:creationId xmlns:a16="http://schemas.microsoft.com/office/drawing/2014/main" id="{5A38D383-5AA0-4CD2-9E38-CB302C6EF7FF}"/>
              </a:ext>
            </a:extLst>
          </xdr:cNvPr>
          <xdr:cNvGrpSpPr/>
        </xdr:nvGrpSpPr>
        <xdr:grpSpPr>
          <a:xfrm>
            <a:off x="8867775" y="3838575"/>
            <a:ext cx="2055870" cy="2495147"/>
            <a:chOff x="8867775" y="3838575"/>
            <a:chExt cx="2055870" cy="2495147"/>
          </a:xfrm>
        </xdr:grpSpPr>
        <xdr:grpSp>
          <xdr:nvGrpSpPr>
            <xdr:cNvPr id="125" name="Group 124">
              <a:extLst>
                <a:ext uri="{FF2B5EF4-FFF2-40B4-BE49-F238E27FC236}">
                  <a16:creationId xmlns:a16="http://schemas.microsoft.com/office/drawing/2014/main" id="{C14A4856-ABE9-400C-AD59-3811C04E73C3}"/>
                </a:ext>
              </a:extLst>
            </xdr:cNvPr>
            <xdr:cNvGrpSpPr/>
          </xdr:nvGrpSpPr>
          <xdr:grpSpPr>
            <a:xfrm>
              <a:off x="8867775" y="3838575"/>
              <a:ext cx="2055870" cy="2476500"/>
              <a:chOff x="3094691" y="3867151"/>
              <a:chExt cx="2055870" cy="2476500"/>
            </a:xfrm>
          </xdr:grpSpPr>
          <xdr:grpSp>
            <xdr:nvGrpSpPr>
              <xdr:cNvPr id="129" name="Group 128">
                <a:extLst>
                  <a:ext uri="{FF2B5EF4-FFF2-40B4-BE49-F238E27FC236}">
                    <a16:creationId xmlns:a16="http://schemas.microsoft.com/office/drawing/2014/main" id="{6C97B7EA-4D6C-461D-BA11-5A473B303DF0}"/>
                  </a:ext>
                </a:extLst>
              </xdr:cNvPr>
              <xdr:cNvGrpSpPr/>
            </xdr:nvGrpSpPr>
            <xdr:grpSpPr>
              <a:xfrm>
                <a:off x="3094691" y="3867151"/>
                <a:ext cx="2055870" cy="2476500"/>
                <a:chOff x="3094691" y="3867151"/>
                <a:chExt cx="2055870" cy="2476500"/>
              </a:xfrm>
            </xdr:grpSpPr>
            <xdr:grpSp>
              <xdr:nvGrpSpPr>
                <xdr:cNvPr id="151" name="Group 150">
                  <a:extLst>
                    <a:ext uri="{FF2B5EF4-FFF2-40B4-BE49-F238E27FC236}">
                      <a16:creationId xmlns:a16="http://schemas.microsoft.com/office/drawing/2014/main" id="{1958ACD0-7703-496C-95AC-72F1F09C2222}"/>
                    </a:ext>
                  </a:extLst>
                </xdr:cNvPr>
                <xdr:cNvGrpSpPr/>
              </xdr:nvGrpSpPr>
              <xdr:grpSpPr>
                <a:xfrm>
                  <a:off x="3094691" y="3867151"/>
                  <a:ext cx="1734484" cy="2476500"/>
                  <a:chOff x="3094691" y="3867151"/>
                  <a:chExt cx="1734484" cy="2476500"/>
                </a:xfrm>
              </xdr:grpSpPr>
              <xdr:sp macro="" textlink="">
                <xdr:nvSpPr>
                  <xdr:cNvPr id="157" name="Rectangle: Rounded Corners 156">
                    <a:extLst>
                      <a:ext uri="{FF2B5EF4-FFF2-40B4-BE49-F238E27FC236}">
                        <a16:creationId xmlns:a16="http://schemas.microsoft.com/office/drawing/2014/main" id="{E017BD20-76FC-41F5-A7DB-3E725BB38B6B}"/>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8" name="TextBox 157">
                    <a:extLst>
                      <a:ext uri="{FF2B5EF4-FFF2-40B4-BE49-F238E27FC236}">
                        <a16:creationId xmlns:a16="http://schemas.microsoft.com/office/drawing/2014/main" id="{2A1A8A3C-2952-411C-B07F-509EB0DBB33F}"/>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D'ds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52" name="Group 151">
                  <a:extLst>
                    <a:ext uri="{FF2B5EF4-FFF2-40B4-BE49-F238E27FC236}">
                      <a16:creationId xmlns:a16="http://schemas.microsoft.com/office/drawing/2014/main" id="{E8449347-D5AF-410C-80B5-1B546332DDF5}"/>
                    </a:ext>
                  </a:extLst>
                </xdr:cNvPr>
                <xdr:cNvGrpSpPr/>
              </xdr:nvGrpSpPr>
              <xdr:grpSpPr>
                <a:xfrm>
                  <a:off x="3095625" y="4276724"/>
                  <a:ext cx="2054936" cy="304397"/>
                  <a:chOff x="3095625" y="4229099"/>
                  <a:chExt cx="2054936" cy="304397"/>
                </a:xfrm>
              </xdr:grpSpPr>
              <xdr:sp macro="" textlink="">
                <xdr:nvSpPr>
                  <xdr:cNvPr id="153" name="Rectangle: Rounded Corners 152">
                    <a:extLst>
                      <a:ext uri="{FF2B5EF4-FFF2-40B4-BE49-F238E27FC236}">
                        <a16:creationId xmlns:a16="http://schemas.microsoft.com/office/drawing/2014/main" id="{3555D00E-24FE-42C7-AB76-7C7D5141E990}"/>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54" name="Group 153">
                    <a:extLst>
                      <a:ext uri="{FF2B5EF4-FFF2-40B4-BE49-F238E27FC236}">
                        <a16:creationId xmlns:a16="http://schemas.microsoft.com/office/drawing/2014/main" id="{7CA9C4D2-4CEB-4CDF-9619-0A824AEA8D6F}"/>
                      </a:ext>
                    </a:extLst>
                  </xdr:cNvPr>
                  <xdr:cNvGrpSpPr/>
                </xdr:nvGrpSpPr>
                <xdr:grpSpPr>
                  <a:xfrm>
                    <a:off x="3152775" y="4238624"/>
                    <a:ext cx="1997786" cy="294872"/>
                    <a:chOff x="8410575" y="3800474"/>
                    <a:chExt cx="1997786" cy="294872"/>
                  </a:xfrm>
                </xdr:grpSpPr>
                <xdr:sp macro="" textlink="">
                  <xdr:nvSpPr>
                    <xdr:cNvPr id="155" name="TextBox 154">
                      <a:extLst>
                        <a:ext uri="{FF2B5EF4-FFF2-40B4-BE49-F238E27FC236}">
                          <a16:creationId xmlns:a16="http://schemas.microsoft.com/office/drawing/2014/main" id="{120DD241-20C3-479D-94FA-A74E4C404DA3}"/>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56" name="TextBox 155">
                      <a:extLst>
                        <a:ext uri="{FF2B5EF4-FFF2-40B4-BE49-F238E27FC236}">
                          <a16:creationId xmlns:a16="http://schemas.microsoft.com/office/drawing/2014/main" id="{4CF1D711-5E22-47E2-A1DF-0E7044780885}"/>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30" name="Group 129">
                <a:extLst>
                  <a:ext uri="{FF2B5EF4-FFF2-40B4-BE49-F238E27FC236}">
                    <a16:creationId xmlns:a16="http://schemas.microsoft.com/office/drawing/2014/main" id="{6CB2D1AD-7226-4B50-8118-96AFE99F5B21}"/>
                  </a:ext>
                </a:extLst>
              </xdr:cNvPr>
              <xdr:cNvGrpSpPr/>
            </xdr:nvGrpSpPr>
            <xdr:grpSpPr>
              <a:xfrm>
                <a:off x="3162300" y="4615142"/>
                <a:ext cx="1715220" cy="1495022"/>
                <a:chOff x="3162300" y="4615142"/>
                <a:chExt cx="1715220" cy="1495022"/>
              </a:xfrm>
            </xdr:grpSpPr>
            <xdr:grpSp>
              <xdr:nvGrpSpPr>
                <xdr:cNvPr id="131" name="Group 130">
                  <a:extLst>
                    <a:ext uri="{FF2B5EF4-FFF2-40B4-BE49-F238E27FC236}">
                      <a16:creationId xmlns:a16="http://schemas.microsoft.com/office/drawing/2014/main" id="{D2EAA01F-81E3-40EE-8999-EB86177E730B}"/>
                    </a:ext>
                  </a:extLst>
                </xdr:cNvPr>
                <xdr:cNvGrpSpPr/>
              </xdr:nvGrpSpPr>
              <xdr:grpSpPr>
                <a:xfrm>
                  <a:off x="3162300" y="4615142"/>
                  <a:ext cx="1714500" cy="294872"/>
                  <a:chOff x="3162300" y="4596092"/>
                  <a:chExt cx="1714500" cy="294872"/>
                </a:xfrm>
              </xdr:grpSpPr>
              <xdr:sp macro="" textlink="">
                <xdr:nvSpPr>
                  <xdr:cNvPr id="148" name="TextBox 147">
                    <a:extLst>
                      <a:ext uri="{FF2B5EF4-FFF2-40B4-BE49-F238E27FC236}">
                        <a16:creationId xmlns:a16="http://schemas.microsoft.com/office/drawing/2014/main" id="{24442403-371D-4CAF-930A-0CBCBFFFCDC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D2ds</a:t>
                    </a:r>
                  </a:p>
                </xdr:txBody>
              </xdr:sp>
              <xdr:sp macro="" textlink="'Dashboard Workings'!F21">
                <xdr:nvSpPr>
                  <xdr:cNvPr id="149" name="TextBox 148">
                    <a:extLst>
                      <a:ext uri="{FF2B5EF4-FFF2-40B4-BE49-F238E27FC236}">
                        <a16:creationId xmlns:a16="http://schemas.microsoft.com/office/drawing/2014/main" id="{54933042-E12D-4B3D-BD88-A2AD4FB3B0E9}"/>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40CC32-D1BF-445E-832E-D218C1B0831A}" type="TxLink">
                      <a:rPr lang="en-US" sz="1100" b="1" i="0" u="none" strike="noStrike">
                        <a:solidFill>
                          <a:schemeClr val="bg1"/>
                        </a:solidFill>
                        <a:latin typeface="Arial" panose="020B0604020202020204" pitchFamily="34" charset="0"/>
                        <a:cs typeface="Arial" panose="020B0604020202020204" pitchFamily="34" charset="0"/>
                      </a:rPr>
                      <a:pPr algn="ctr"/>
                      <a:t>14</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1">
                <xdr:nvSpPr>
                  <xdr:cNvPr id="150" name="TextBox 149">
                    <a:extLst>
                      <a:ext uri="{FF2B5EF4-FFF2-40B4-BE49-F238E27FC236}">
                        <a16:creationId xmlns:a16="http://schemas.microsoft.com/office/drawing/2014/main" id="{F3E678DB-C372-494F-97CB-02D6E76236F5}"/>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212136C-FE10-4152-921E-415631C69E8B}" type="TxLink">
                      <a:rPr lang="en-US" sz="1100" b="1" i="0" u="none" strike="noStrike">
                        <a:solidFill>
                          <a:schemeClr val="bg1"/>
                        </a:solidFill>
                        <a:latin typeface="Arial" panose="020B0604020202020204" pitchFamily="34" charset="0"/>
                        <a:cs typeface="Arial" panose="020B0604020202020204" pitchFamily="34" charset="0"/>
                      </a:rPr>
                      <a:pPr algn="r"/>
                      <a:t> £611.27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2" name="Group 131">
                  <a:extLst>
                    <a:ext uri="{FF2B5EF4-FFF2-40B4-BE49-F238E27FC236}">
                      <a16:creationId xmlns:a16="http://schemas.microsoft.com/office/drawing/2014/main" id="{7A422838-68E9-41C4-8A3C-827C7BFF43FA}"/>
                    </a:ext>
                  </a:extLst>
                </xdr:cNvPr>
                <xdr:cNvGrpSpPr/>
              </xdr:nvGrpSpPr>
              <xdr:grpSpPr>
                <a:xfrm>
                  <a:off x="3162300" y="4919942"/>
                  <a:ext cx="1714500" cy="294872"/>
                  <a:chOff x="3162300" y="4596092"/>
                  <a:chExt cx="1714500" cy="294872"/>
                </a:xfrm>
              </xdr:grpSpPr>
              <xdr:sp macro="" textlink="">
                <xdr:nvSpPr>
                  <xdr:cNvPr id="145" name="TextBox 144">
                    <a:extLst>
                      <a:ext uri="{FF2B5EF4-FFF2-40B4-BE49-F238E27FC236}">
                        <a16:creationId xmlns:a16="http://schemas.microsoft.com/office/drawing/2014/main" id="{EB02E2C7-064A-4E27-B33E-D86C81E03367}"/>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D4ds</a:t>
                    </a:r>
                  </a:p>
                </xdr:txBody>
              </xdr:sp>
              <xdr:sp macro="" textlink="'Dashboard Workings'!F22">
                <xdr:nvSpPr>
                  <xdr:cNvPr id="146" name="TextBox 145">
                    <a:extLst>
                      <a:ext uri="{FF2B5EF4-FFF2-40B4-BE49-F238E27FC236}">
                        <a16:creationId xmlns:a16="http://schemas.microsoft.com/office/drawing/2014/main" id="{F7946133-6333-43B3-B9C6-5CBA2EEB4490}"/>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873AA38-E75C-46B3-A9D0-71826F608E42}" type="TxLink">
                      <a:rPr lang="en-US" sz="1100" b="1" i="0" u="none" strike="noStrike">
                        <a:solidFill>
                          <a:schemeClr val="bg1"/>
                        </a:solidFill>
                        <a:latin typeface="Arial" panose="020B0604020202020204" pitchFamily="34" charset="0"/>
                        <a:cs typeface="Arial" panose="020B0604020202020204" pitchFamily="34" charset="0"/>
                      </a:rPr>
                      <a:pPr algn="ctr"/>
                      <a:t>14</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2">
                <xdr:nvSpPr>
                  <xdr:cNvPr id="147" name="TextBox 146">
                    <a:extLst>
                      <a:ext uri="{FF2B5EF4-FFF2-40B4-BE49-F238E27FC236}">
                        <a16:creationId xmlns:a16="http://schemas.microsoft.com/office/drawing/2014/main" id="{87F2CB58-FF34-47D0-AEEB-A8C5D0FEFBC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8E29537-E31C-4BAC-90FA-A032B32B5EE3}" type="TxLink">
                      <a:rPr lang="en-US" sz="1100" b="1" i="0" u="none" strike="noStrike">
                        <a:solidFill>
                          <a:schemeClr val="bg1"/>
                        </a:solidFill>
                        <a:latin typeface="Arial" panose="020B0604020202020204" pitchFamily="34" charset="0"/>
                        <a:cs typeface="Arial" panose="020B0604020202020204" pitchFamily="34" charset="0"/>
                      </a:rPr>
                      <a:pPr algn="r"/>
                      <a:t> £1,222.54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3" name="Group 132">
                  <a:extLst>
                    <a:ext uri="{FF2B5EF4-FFF2-40B4-BE49-F238E27FC236}">
                      <a16:creationId xmlns:a16="http://schemas.microsoft.com/office/drawing/2014/main" id="{B2DE45C4-E4DA-4D1B-8A40-88F9F8E83254}"/>
                    </a:ext>
                  </a:extLst>
                </xdr:cNvPr>
                <xdr:cNvGrpSpPr/>
              </xdr:nvGrpSpPr>
              <xdr:grpSpPr>
                <a:xfrm>
                  <a:off x="3163020" y="5224742"/>
                  <a:ext cx="1714500" cy="294872"/>
                  <a:chOff x="3162300" y="4596092"/>
                  <a:chExt cx="1714500" cy="294872"/>
                </a:xfrm>
              </xdr:grpSpPr>
              <xdr:sp macro="" textlink="">
                <xdr:nvSpPr>
                  <xdr:cNvPr id="142" name="TextBox 141">
                    <a:extLst>
                      <a:ext uri="{FF2B5EF4-FFF2-40B4-BE49-F238E27FC236}">
                        <a16:creationId xmlns:a16="http://schemas.microsoft.com/office/drawing/2014/main" id="{AA15E008-F0A6-4B7E-A9F4-86B351F49A5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D8ds</a:t>
                    </a:r>
                  </a:p>
                </xdr:txBody>
              </xdr:sp>
              <xdr:sp macro="" textlink="'Dashboard Workings'!F23">
                <xdr:nvSpPr>
                  <xdr:cNvPr id="143" name="TextBox 142">
                    <a:extLst>
                      <a:ext uri="{FF2B5EF4-FFF2-40B4-BE49-F238E27FC236}">
                        <a16:creationId xmlns:a16="http://schemas.microsoft.com/office/drawing/2014/main" id="{C4235EF4-B785-4636-839B-EF73552FA18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925AE1-8B43-488D-8EA9-BD31D283D64D}" type="TxLink">
                      <a:rPr lang="en-US" sz="1100" b="1" i="0" u="none" strike="noStrike">
                        <a:solidFill>
                          <a:schemeClr val="bg1"/>
                        </a:solidFill>
                        <a:latin typeface="Arial" panose="020B0604020202020204" pitchFamily="34" charset="0"/>
                        <a:cs typeface="Arial" panose="020B0604020202020204" pitchFamily="34" charset="0"/>
                      </a:rPr>
                      <a:pPr algn="ctr"/>
                      <a:t>6</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3">
                <xdr:nvSpPr>
                  <xdr:cNvPr id="144" name="TextBox 143">
                    <a:extLst>
                      <a:ext uri="{FF2B5EF4-FFF2-40B4-BE49-F238E27FC236}">
                        <a16:creationId xmlns:a16="http://schemas.microsoft.com/office/drawing/2014/main" id="{451D2FFB-1CED-495D-9BB5-3448B9269CE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FFB443E-A0BA-4550-977C-DB03C214FDBD}" type="TxLink">
                      <a:rPr lang="en-US" sz="1100" b="1" i="0" u="none" strike="noStrike">
                        <a:solidFill>
                          <a:schemeClr val="bg1"/>
                        </a:solidFill>
                        <a:latin typeface="Arial" panose="020B0604020202020204" pitchFamily="34" charset="0"/>
                        <a:cs typeface="Arial" panose="020B0604020202020204" pitchFamily="34" charset="0"/>
                      </a:rPr>
                      <a:pPr algn="r"/>
                      <a:t> £1,047.89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4" name="Group 133">
                  <a:extLst>
                    <a:ext uri="{FF2B5EF4-FFF2-40B4-BE49-F238E27FC236}">
                      <a16:creationId xmlns:a16="http://schemas.microsoft.com/office/drawing/2014/main" id="{611922E7-BBBB-448C-A750-C3CD639069A1}"/>
                    </a:ext>
                  </a:extLst>
                </xdr:cNvPr>
                <xdr:cNvGrpSpPr/>
              </xdr:nvGrpSpPr>
              <xdr:grpSpPr>
                <a:xfrm>
                  <a:off x="3163020" y="5520017"/>
                  <a:ext cx="1714500" cy="294872"/>
                  <a:chOff x="3162300" y="4596092"/>
                  <a:chExt cx="1714500" cy="294872"/>
                </a:xfrm>
              </xdr:grpSpPr>
              <xdr:sp macro="" textlink="">
                <xdr:nvSpPr>
                  <xdr:cNvPr id="139" name="TextBox 138">
                    <a:extLst>
                      <a:ext uri="{FF2B5EF4-FFF2-40B4-BE49-F238E27FC236}">
                        <a16:creationId xmlns:a16="http://schemas.microsoft.com/office/drawing/2014/main" id="{3CF6E407-9398-4C1F-A22F-A004098CA04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D16ds</a:t>
                    </a:r>
                  </a:p>
                </xdr:txBody>
              </xdr:sp>
              <xdr:sp macro="" textlink="'Dashboard Workings'!F24">
                <xdr:nvSpPr>
                  <xdr:cNvPr id="140" name="TextBox 139">
                    <a:extLst>
                      <a:ext uri="{FF2B5EF4-FFF2-40B4-BE49-F238E27FC236}">
                        <a16:creationId xmlns:a16="http://schemas.microsoft.com/office/drawing/2014/main" id="{86EF1399-154A-42E2-B2DD-BF45EEBF8FFC}"/>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784854-1477-4EA5-9A14-5ABE65A509B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4">
                <xdr:nvSpPr>
                  <xdr:cNvPr id="141" name="TextBox 140">
                    <a:extLst>
                      <a:ext uri="{FF2B5EF4-FFF2-40B4-BE49-F238E27FC236}">
                        <a16:creationId xmlns:a16="http://schemas.microsoft.com/office/drawing/2014/main" id="{E3B8EE6D-493B-4CBF-82AB-CB6EBC17787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F8894D3-2E2B-42C5-9F93-3C3EFA66F03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5" name="Group 134">
                  <a:extLst>
                    <a:ext uri="{FF2B5EF4-FFF2-40B4-BE49-F238E27FC236}">
                      <a16:creationId xmlns:a16="http://schemas.microsoft.com/office/drawing/2014/main" id="{D1A797C6-8AD7-4547-B390-F7A4E3E0CB5F}"/>
                    </a:ext>
                  </a:extLst>
                </xdr:cNvPr>
                <xdr:cNvGrpSpPr/>
              </xdr:nvGrpSpPr>
              <xdr:grpSpPr>
                <a:xfrm>
                  <a:off x="3163020" y="5815292"/>
                  <a:ext cx="1714500" cy="294872"/>
                  <a:chOff x="3162300" y="4596092"/>
                  <a:chExt cx="1714500" cy="294872"/>
                </a:xfrm>
              </xdr:grpSpPr>
              <xdr:sp macro="" textlink="">
                <xdr:nvSpPr>
                  <xdr:cNvPr id="136" name="TextBox 135">
                    <a:extLst>
                      <a:ext uri="{FF2B5EF4-FFF2-40B4-BE49-F238E27FC236}">
                        <a16:creationId xmlns:a16="http://schemas.microsoft.com/office/drawing/2014/main" id="{E62F111B-25B9-4DEB-8722-A5AAFF6185C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D32ds</a:t>
                    </a:r>
                  </a:p>
                </xdr:txBody>
              </xdr:sp>
              <xdr:sp macro="" textlink="'Dashboard Workings'!F25">
                <xdr:nvSpPr>
                  <xdr:cNvPr id="137" name="TextBox 136">
                    <a:extLst>
                      <a:ext uri="{FF2B5EF4-FFF2-40B4-BE49-F238E27FC236}">
                        <a16:creationId xmlns:a16="http://schemas.microsoft.com/office/drawing/2014/main" id="{77B622CA-55A5-4905-99A3-C371A3D51398}"/>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729DADC-0734-4870-BEA3-A87685A2205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5">
                <xdr:nvSpPr>
                  <xdr:cNvPr id="138" name="TextBox 137">
                    <a:extLst>
                      <a:ext uri="{FF2B5EF4-FFF2-40B4-BE49-F238E27FC236}">
                        <a16:creationId xmlns:a16="http://schemas.microsoft.com/office/drawing/2014/main" id="{79D008C7-2691-49FE-AA6C-AF78808AE087}"/>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2849AD-215E-4D5B-BFA9-72BDEDFA7900}"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126" name="TextBox 125">
              <a:extLst>
                <a:ext uri="{FF2B5EF4-FFF2-40B4-BE49-F238E27FC236}">
                  <a16:creationId xmlns:a16="http://schemas.microsoft.com/office/drawing/2014/main" id="{3FF9AA30-744C-45CC-810A-FC5D1FE85CFC}"/>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D64ds</a:t>
              </a:r>
            </a:p>
          </xdr:txBody>
        </xdr:sp>
        <xdr:sp macro="" textlink="'Dashboard Workings'!F27">
          <xdr:nvSpPr>
            <xdr:cNvPr id="127" name="TextBox 126">
              <a:extLst>
                <a:ext uri="{FF2B5EF4-FFF2-40B4-BE49-F238E27FC236}">
                  <a16:creationId xmlns:a16="http://schemas.microsoft.com/office/drawing/2014/main" id="{D04152D3-E945-45C7-A3E2-1B4FCE240C93}"/>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1420DD8-81A9-47E3-8ED4-95EECB801BB8}"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7">
          <xdr:nvSpPr>
            <xdr:cNvPr id="128" name="TextBox 127">
              <a:extLst>
                <a:ext uri="{FF2B5EF4-FFF2-40B4-BE49-F238E27FC236}">
                  <a16:creationId xmlns:a16="http://schemas.microsoft.com/office/drawing/2014/main" id="{473B8FF6-0CA9-4EBD-A4DB-44AC4B9EBE26}"/>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9DFE69F-CC76-4206-99AD-784E443EEE0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sp macro="" textlink="">
        <xdr:nvSpPr>
          <xdr:cNvPr id="29" name="TextBox 28">
            <a:extLst>
              <a:ext uri="{FF2B5EF4-FFF2-40B4-BE49-F238E27FC236}">
                <a16:creationId xmlns:a16="http://schemas.microsoft.com/office/drawing/2014/main" id="{C1F37D43-BA44-4CC8-8CF6-590323FAFADB}"/>
              </a:ext>
            </a:extLst>
          </xdr:cNvPr>
          <xdr:cNvSpPr txBox="1"/>
        </xdr:nvSpPr>
        <xdr:spPr>
          <a:xfrm>
            <a:off x="10201994" y="4034116"/>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30" name="Group 29">
            <a:extLst>
              <a:ext uri="{FF2B5EF4-FFF2-40B4-BE49-F238E27FC236}">
                <a16:creationId xmlns:a16="http://schemas.microsoft.com/office/drawing/2014/main" id="{BA73E22E-83D5-4E00-B96A-35F7435EE3B8}"/>
              </a:ext>
            </a:extLst>
          </xdr:cNvPr>
          <xdr:cNvGrpSpPr/>
        </xdr:nvGrpSpPr>
        <xdr:grpSpPr>
          <a:xfrm>
            <a:off x="10802070" y="3824567"/>
            <a:ext cx="2055870" cy="2495147"/>
            <a:chOff x="8867775" y="3838575"/>
            <a:chExt cx="2055870" cy="2495147"/>
          </a:xfrm>
        </xdr:grpSpPr>
        <xdr:grpSp>
          <xdr:nvGrpSpPr>
            <xdr:cNvPr id="91" name="Group 90">
              <a:extLst>
                <a:ext uri="{FF2B5EF4-FFF2-40B4-BE49-F238E27FC236}">
                  <a16:creationId xmlns:a16="http://schemas.microsoft.com/office/drawing/2014/main" id="{9D17E5FB-B6D0-40A7-B907-F7DAF23CE448}"/>
                </a:ext>
              </a:extLst>
            </xdr:cNvPr>
            <xdr:cNvGrpSpPr/>
          </xdr:nvGrpSpPr>
          <xdr:grpSpPr>
            <a:xfrm>
              <a:off x="8867775" y="3838575"/>
              <a:ext cx="2055870" cy="2476500"/>
              <a:chOff x="3094691" y="3867151"/>
              <a:chExt cx="2055870" cy="2476500"/>
            </a:xfrm>
          </xdr:grpSpPr>
          <xdr:grpSp>
            <xdr:nvGrpSpPr>
              <xdr:cNvPr id="95" name="Group 94">
                <a:extLst>
                  <a:ext uri="{FF2B5EF4-FFF2-40B4-BE49-F238E27FC236}">
                    <a16:creationId xmlns:a16="http://schemas.microsoft.com/office/drawing/2014/main" id="{43A988CC-BB20-48A0-AA62-8AB9E12F6734}"/>
                  </a:ext>
                </a:extLst>
              </xdr:cNvPr>
              <xdr:cNvGrpSpPr/>
            </xdr:nvGrpSpPr>
            <xdr:grpSpPr>
              <a:xfrm>
                <a:off x="3094691" y="3867151"/>
                <a:ext cx="2055870" cy="2476500"/>
                <a:chOff x="3094691" y="3867151"/>
                <a:chExt cx="2055870" cy="2476500"/>
              </a:xfrm>
            </xdr:grpSpPr>
            <xdr:grpSp>
              <xdr:nvGrpSpPr>
                <xdr:cNvPr id="117" name="Group 116">
                  <a:extLst>
                    <a:ext uri="{FF2B5EF4-FFF2-40B4-BE49-F238E27FC236}">
                      <a16:creationId xmlns:a16="http://schemas.microsoft.com/office/drawing/2014/main" id="{CF19BFA7-03F1-4D22-9D89-1DE8BE3CEC15}"/>
                    </a:ext>
                  </a:extLst>
                </xdr:cNvPr>
                <xdr:cNvGrpSpPr/>
              </xdr:nvGrpSpPr>
              <xdr:grpSpPr>
                <a:xfrm>
                  <a:off x="3094691" y="3867151"/>
                  <a:ext cx="1734484" cy="2476500"/>
                  <a:chOff x="3094691" y="3867151"/>
                  <a:chExt cx="1734484" cy="2476500"/>
                </a:xfrm>
              </xdr:grpSpPr>
              <xdr:sp macro="" textlink="">
                <xdr:nvSpPr>
                  <xdr:cNvPr id="123" name="Rectangle: Rounded Corners 122">
                    <a:extLst>
                      <a:ext uri="{FF2B5EF4-FFF2-40B4-BE49-F238E27FC236}">
                        <a16:creationId xmlns:a16="http://schemas.microsoft.com/office/drawing/2014/main" id="{6B6CCF5B-A36A-43DE-AC00-346780DF9384}"/>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 name="TextBox 123">
                    <a:extLst>
                      <a:ext uri="{FF2B5EF4-FFF2-40B4-BE49-F238E27FC236}">
                        <a16:creationId xmlns:a16="http://schemas.microsoft.com/office/drawing/2014/main" id="{B84EE1AB-D678-4A48-AC28-848DBBDA4A23}"/>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E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18" name="Group 117">
                  <a:extLst>
                    <a:ext uri="{FF2B5EF4-FFF2-40B4-BE49-F238E27FC236}">
                      <a16:creationId xmlns:a16="http://schemas.microsoft.com/office/drawing/2014/main" id="{69D3EE77-5BE7-4A00-85E4-CBDCC1E6BCE7}"/>
                    </a:ext>
                  </a:extLst>
                </xdr:cNvPr>
                <xdr:cNvGrpSpPr/>
              </xdr:nvGrpSpPr>
              <xdr:grpSpPr>
                <a:xfrm>
                  <a:off x="3095625" y="4276724"/>
                  <a:ext cx="2054936" cy="304397"/>
                  <a:chOff x="3095625" y="4229099"/>
                  <a:chExt cx="2054936" cy="304397"/>
                </a:xfrm>
              </xdr:grpSpPr>
              <xdr:sp macro="" textlink="">
                <xdr:nvSpPr>
                  <xdr:cNvPr id="119" name="Rectangle: Rounded Corners 118">
                    <a:extLst>
                      <a:ext uri="{FF2B5EF4-FFF2-40B4-BE49-F238E27FC236}">
                        <a16:creationId xmlns:a16="http://schemas.microsoft.com/office/drawing/2014/main" id="{E95504A8-E53E-4E59-84D3-0B26A2281CF1}"/>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20" name="Group 119">
                    <a:extLst>
                      <a:ext uri="{FF2B5EF4-FFF2-40B4-BE49-F238E27FC236}">
                        <a16:creationId xmlns:a16="http://schemas.microsoft.com/office/drawing/2014/main" id="{C098FF0E-AE0E-42B9-8B61-E58993252F02}"/>
                      </a:ext>
                    </a:extLst>
                  </xdr:cNvPr>
                  <xdr:cNvGrpSpPr/>
                </xdr:nvGrpSpPr>
                <xdr:grpSpPr>
                  <a:xfrm>
                    <a:off x="3152775" y="4238624"/>
                    <a:ext cx="1997786" cy="294872"/>
                    <a:chOff x="8410575" y="3800474"/>
                    <a:chExt cx="1997786" cy="294872"/>
                  </a:xfrm>
                </xdr:grpSpPr>
                <xdr:sp macro="" textlink="">
                  <xdr:nvSpPr>
                    <xdr:cNvPr id="121" name="TextBox 120">
                      <a:extLst>
                        <a:ext uri="{FF2B5EF4-FFF2-40B4-BE49-F238E27FC236}">
                          <a16:creationId xmlns:a16="http://schemas.microsoft.com/office/drawing/2014/main" id="{DBE497D9-F221-4F7F-BC9F-2FBA4520C763}"/>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22" name="TextBox 121">
                      <a:extLst>
                        <a:ext uri="{FF2B5EF4-FFF2-40B4-BE49-F238E27FC236}">
                          <a16:creationId xmlns:a16="http://schemas.microsoft.com/office/drawing/2014/main" id="{1F652446-D331-4A80-8AC3-2345433AD780}"/>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96" name="Group 95">
                <a:extLst>
                  <a:ext uri="{FF2B5EF4-FFF2-40B4-BE49-F238E27FC236}">
                    <a16:creationId xmlns:a16="http://schemas.microsoft.com/office/drawing/2014/main" id="{435D7B0D-0FE7-4EC1-A1CB-284AA19A7635}"/>
                  </a:ext>
                </a:extLst>
              </xdr:cNvPr>
              <xdr:cNvGrpSpPr/>
            </xdr:nvGrpSpPr>
            <xdr:grpSpPr>
              <a:xfrm>
                <a:off x="3162300" y="4615142"/>
                <a:ext cx="1715220" cy="1495022"/>
                <a:chOff x="3162300" y="4615142"/>
                <a:chExt cx="1715220" cy="1495022"/>
              </a:xfrm>
            </xdr:grpSpPr>
            <xdr:grpSp>
              <xdr:nvGrpSpPr>
                <xdr:cNvPr id="97" name="Group 96">
                  <a:extLst>
                    <a:ext uri="{FF2B5EF4-FFF2-40B4-BE49-F238E27FC236}">
                      <a16:creationId xmlns:a16="http://schemas.microsoft.com/office/drawing/2014/main" id="{0E52C95B-1609-42FF-BB17-39FD7B7B6206}"/>
                    </a:ext>
                  </a:extLst>
                </xdr:cNvPr>
                <xdr:cNvGrpSpPr/>
              </xdr:nvGrpSpPr>
              <xdr:grpSpPr>
                <a:xfrm>
                  <a:off x="3162300" y="4615142"/>
                  <a:ext cx="1714500" cy="294872"/>
                  <a:chOff x="3162300" y="4596092"/>
                  <a:chExt cx="1714500" cy="294872"/>
                </a:xfrm>
              </xdr:grpSpPr>
              <xdr:sp macro="" textlink="">
                <xdr:nvSpPr>
                  <xdr:cNvPr id="114" name="TextBox 113">
                    <a:extLst>
                      <a:ext uri="{FF2B5EF4-FFF2-40B4-BE49-F238E27FC236}">
                        <a16:creationId xmlns:a16="http://schemas.microsoft.com/office/drawing/2014/main" id="{820CA520-E83D-4BCE-A154-CFDF9AD600B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E2ds</a:t>
                    </a:r>
                  </a:p>
                </xdr:txBody>
              </xdr:sp>
              <xdr:sp macro="" textlink="'Dashboard Workings'!F28">
                <xdr:nvSpPr>
                  <xdr:cNvPr id="115" name="TextBox 114">
                    <a:extLst>
                      <a:ext uri="{FF2B5EF4-FFF2-40B4-BE49-F238E27FC236}">
                        <a16:creationId xmlns:a16="http://schemas.microsoft.com/office/drawing/2014/main" id="{1D7106A6-6DB3-4BF2-8ED4-45BCD31A7150}"/>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E0F4167-067A-4D18-ACBA-298B66D78BDB}" type="TxLink">
                      <a:rPr lang="en-US" sz="1100" b="1" i="0" u="none" strike="noStrike">
                        <a:solidFill>
                          <a:schemeClr val="bg1"/>
                        </a:solidFill>
                        <a:latin typeface="Arial" panose="020B0604020202020204" pitchFamily="34" charset="0"/>
                        <a:cs typeface="Arial" panose="020B0604020202020204" pitchFamily="34" charset="0"/>
                      </a:rPr>
                      <a:pPr algn="ctr"/>
                      <a:t>8</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8">
                <xdr:nvSpPr>
                  <xdr:cNvPr id="116" name="TextBox 115">
                    <a:extLst>
                      <a:ext uri="{FF2B5EF4-FFF2-40B4-BE49-F238E27FC236}">
                        <a16:creationId xmlns:a16="http://schemas.microsoft.com/office/drawing/2014/main" id="{532CEABD-8BF0-41EF-A58C-EEDAFEB0D283}"/>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6B6548-0997-4B08-909F-CC95433D7C91}" type="TxLink">
                      <a:rPr lang="en-US" sz="1100" b="1" i="0" u="none" strike="noStrike">
                        <a:solidFill>
                          <a:schemeClr val="bg1"/>
                        </a:solidFill>
                        <a:latin typeface="Arial" panose="020B0604020202020204" pitchFamily="34" charset="0"/>
                        <a:cs typeface="Arial" panose="020B0604020202020204" pitchFamily="34" charset="0"/>
                      </a:rPr>
                      <a:pPr algn="r"/>
                      <a:t> £444.18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98" name="Group 97">
                  <a:extLst>
                    <a:ext uri="{FF2B5EF4-FFF2-40B4-BE49-F238E27FC236}">
                      <a16:creationId xmlns:a16="http://schemas.microsoft.com/office/drawing/2014/main" id="{471C12C5-7139-47E8-A10D-3185C93F80AF}"/>
                    </a:ext>
                  </a:extLst>
                </xdr:cNvPr>
                <xdr:cNvGrpSpPr/>
              </xdr:nvGrpSpPr>
              <xdr:grpSpPr>
                <a:xfrm>
                  <a:off x="3162300" y="4919942"/>
                  <a:ext cx="1714500" cy="294872"/>
                  <a:chOff x="3162300" y="4596092"/>
                  <a:chExt cx="1714500" cy="294872"/>
                </a:xfrm>
              </xdr:grpSpPr>
              <xdr:sp macro="" textlink="">
                <xdr:nvSpPr>
                  <xdr:cNvPr id="111" name="TextBox 110">
                    <a:extLst>
                      <a:ext uri="{FF2B5EF4-FFF2-40B4-BE49-F238E27FC236}">
                        <a16:creationId xmlns:a16="http://schemas.microsoft.com/office/drawing/2014/main" id="{59D31A94-084D-4DB0-A02A-452D8FC7A41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E4ds</a:t>
                    </a:r>
                  </a:p>
                </xdr:txBody>
              </xdr:sp>
              <xdr:sp macro="" textlink="'Dashboard Workings'!F29">
                <xdr:nvSpPr>
                  <xdr:cNvPr id="112" name="TextBox 111">
                    <a:extLst>
                      <a:ext uri="{FF2B5EF4-FFF2-40B4-BE49-F238E27FC236}">
                        <a16:creationId xmlns:a16="http://schemas.microsoft.com/office/drawing/2014/main" id="{C59BAB50-3D01-47EA-985B-C074EB555554}"/>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53D9D86-7F6E-4650-B99E-257A69FB34C1}" type="TxLink">
                      <a:rPr lang="en-US" sz="1100" b="1" i="0" u="none" strike="noStrike">
                        <a:solidFill>
                          <a:schemeClr val="bg1"/>
                        </a:solidFill>
                        <a:latin typeface="Arial" panose="020B0604020202020204" pitchFamily="34" charset="0"/>
                        <a:cs typeface="Arial" panose="020B0604020202020204" pitchFamily="34" charset="0"/>
                      </a:rPr>
                      <a:pPr algn="ctr"/>
                      <a:t>5</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9">
                <xdr:nvSpPr>
                  <xdr:cNvPr id="113" name="TextBox 112">
                    <a:extLst>
                      <a:ext uri="{FF2B5EF4-FFF2-40B4-BE49-F238E27FC236}">
                        <a16:creationId xmlns:a16="http://schemas.microsoft.com/office/drawing/2014/main" id="{0A09AB3C-C1F9-46F1-A3C6-24C45A3088A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5AB843B-9C36-4A97-8168-DE5E1C894E49}" type="TxLink">
                      <a:rPr lang="en-US" sz="1100" b="1" i="0" u="none" strike="noStrike">
                        <a:solidFill>
                          <a:schemeClr val="bg1"/>
                        </a:solidFill>
                        <a:latin typeface="Arial" panose="020B0604020202020204" pitchFamily="34" charset="0"/>
                        <a:cs typeface="Arial" panose="020B0604020202020204" pitchFamily="34" charset="0"/>
                      </a:rPr>
                      <a:pPr algn="r"/>
                      <a:t> £555.26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99" name="Group 98">
                  <a:extLst>
                    <a:ext uri="{FF2B5EF4-FFF2-40B4-BE49-F238E27FC236}">
                      <a16:creationId xmlns:a16="http://schemas.microsoft.com/office/drawing/2014/main" id="{68786326-2C66-487C-9DC9-50297EDF1D6F}"/>
                    </a:ext>
                  </a:extLst>
                </xdr:cNvPr>
                <xdr:cNvGrpSpPr/>
              </xdr:nvGrpSpPr>
              <xdr:grpSpPr>
                <a:xfrm>
                  <a:off x="3163020" y="5224742"/>
                  <a:ext cx="1714500" cy="294872"/>
                  <a:chOff x="3162300" y="4596092"/>
                  <a:chExt cx="1714500" cy="294872"/>
                </a:xfrm>
              </xdr:grpSpPr>
              <xdr:sp macro="" textlink="">
                <xdr:nvSpPr>
                  <xdr:cNvPr id="108" name="TextBox 107">
                    <a:extLst>
                      <a:ext uri="{FF2B5EF4-FFF2-40B4-BE49-F238E27FC236}">
                        <a16:creationId xmlns:a16="http://schemas.microsoft.com/office/drawing/2014/main" id="{225CCE59-D474-4987-AEF9-BA78749C8F7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E8ds</a:t>
                    </a:r>
                  </a:p>
                </xdr:txBody>
              </xdr:sp>
              <xdr:sp macro="" textlink="'Dashboard Workings'!F33">
                <xdr:nvSpPr>
                  <xdr:cNvPr id="109" name="TextBox 108">
                    <a:extLst>
                      <a:ext uri="{FF2B5EF4-FFF2-40B4-BE49-F238E27FC236}">
                        <a16:creationId xmlns:a16="http://schemas.microsoft.com/office/drawing/2014/main" id="{68156662-CC28-4E49-9CAF-27D245A55362}"/>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7CD1D4-0B2B-44F8-A97F-243C562A7DF6}" type="TxLink">
                      <a:rPr lang="en-US" sz="1100" b="1" i="0" u="none" strike="noStrike">
                        <a:solidFill>
                          <a:schemeClr val="bg1"/>
                        </a:solidFill>
                        <a:latin typeface="Arial" panose="020B0604020202020204" pitchFamily="34" charset="0"/>
                        <a:cs typeface="Arial" panose="020B0604020202020204" pitchFamily="34" charset="0"/>
                      </a:rPr>
                      <a:pPr algn="ctr"/>
                      <a:t>1</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3">
                <xdr:nvSpPr>
                  <xdr:cNvPr id="110" name="TextBox 109">
                    <a:extLst>
                      <a:ext uri="{FF2B5EF4-FFF2-40B4-BE49-F238E27FC236}">
                        <a16:creationId xmlns:a16="http://schemas.microsoft.com/office/drawing/2014/main" id="{8C2FD98A-748E-49EA-B104-981F9930BEA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3B73A15-F93E-4F0C-A1CA-FB318702DA78}" type="TxLink">
                      <a:rPr lang="en-US" sz="1100" b="1" i="0" u="none" strike="noStrike">
                        <a:solidFill>
                          <a:schemeClr val="bg1"/>
                        </a:solidFill>
                        <a:latin typeface="Arial" panose="020B0604020202020204" pitchFamily="34" charset="0"/>
                        <a:cs typeface="Arial" panose="020B0604020202020204" pitchFamily="34" charset="0"/>
                      </a:rPr>
                      <a:pPr algn="r"/>
                      <a:t> £222.16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00" name="Group 99">
                  <a:extLst>
                    <a:ext uri="{FF2B5EF4-FFF2-40B4-BE49-F238E27FC236}">
                      <a16:creationId xmlns:a16="http://schemas.microsoft.com/office/drawing/2014/main" id="{46E2F2C3-2E4C-4ECD-AEAB-B951F5B65BC6}"/>
                    </a:ext>
                  </a:extLst>
                </xdr:cNvPr>
                <xdr:cNvGrpSpPr/>
              </xdr:nvGrpSpPr>
              <xdr:grpSpPr>
                <a:xfrm>
                  <a:off x="3163020" y="5520017"/>
                  <a:ext cx="1714500" cy="294872"/>
                  <a:chOff x="3162300" y="4596092"/>
                  <a:chExt cx="1714500" cy="294872"/>
                </a:xfrm>
              </xdr:grpSpPr>
              <xdr:sp macro="" textlink="">
                <xdr:nvSpPr>
                  <xdr:cNvPr id="105" name="TextBox 104">
                    <a:extLst>
                      <a:ext uri="{FF2B5EF4-FFF2-40B4-BE49-F238E27FC236}">
                        <a16:creationId xmlns:a16="http://schemas.microsoft.com/office/drawing/2014/main" id="{5C2F7612-FA6A-4BBA-83D3-859D3A840A8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E16ds</a:t>
                    </a:r>
                  </a:p>
                </xdr:txBody>
              </xdr:sp>
              <xdr:sp macro="" textlink="'Dashboard Workings'!F36">
                <xdr:nvSpPr>
                  <xdr:cNvPr id="106" name="TextBox 105">
                    <a:extLst>
                      <a:ext uri="{FF2B5EF4-FFF2-40B4-BE49-F238E27FC236}">
                        <a16:creationId xmlns:a16="http://schemas.microsoft.com/office/drawing/2014/main" id="{A69BC5E0-0C47-44BE-A21D-D3ABF87797A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0F95B19-8DF2-4E78-96E3-A586960A7719}"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6">
                <xdr:nvSpPr>
                  <xdr:cNvPr id="107" name="TextBox 106">
                    <a:extLst>
                      <a:ext uri="{FF2B5EF4-FFF2-40B4-BE49-F238E27FC236}">
                        <a16:creationId xmlns:a16="http://schemas.microsoft.com/office/drawing/2014/main" id="{7F095972-0496-4BFE-AEC8-732620183573}"/>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5B5A79D-F4E9-4902-BB52-F5C0EBA0BA5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01" name="Group 100">
                  <a:extLst>
                    <a:ext uri="{FF2B5EF4-FFF2-40B4-BE49-F238E27FC236}">
                      <a16:creationId xmlns:a16="http://schemas.microsoft.com/office/drawing/2014/main" id="{C7C5C644-D304-48D7-B19E-C9CBF360A784}"/>
                    </a:ext>
                  </a:extLst>
                </xdr:cNvPr>
                <xdr:cNvGrpSpPr/>
              </xdr:nvGrpSpPr>
              <xdr:grpSpPr>
                <a:xfrm>
                  <a:off x="3163020" y="5815292"/>
                  <a:ext cx="1714500" cy="294872"/>
                  <a:chOff x="3162300" y="4596092"/>
                  <a:chExt cx="1714500" cy="294872"/>
                </a:xfrm>
              </xdr:grpSpPr>
              <xdr:sp macro="" textlink="">
                <xdr:nvSpPr>
                  <xdr:cNvPr id="102" name="TextBox 101">
                    <a:extLst>
                      <a:ext uri="{FF2B5EF4-FFF2-40B4-BE49-F238E27FC236}">
                        <a16:creationId xmlns:a16="http://schemas.microsoft.com/office/drawing/2014/main" id="{7674148B-658B-428D-B2A0-7A67C498B0B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E20ds</a:t>
                    </a:r>
                  </a:p>
                </xdr:txBody>
              </xdr:sp>
              <xdr:sp macro="" textlink="'Dashboard Workings'!F37">
                <xdr:nvSpPr>
                  <xdr:cNvPr id="103" name="TextBox 102">
                    <a:extLst>
                      <a:ext uri="{FF2B5EF4-FFF2-40B4-BE49-F238E27FC236}">
                        <a16:creationId xmlns:a16="http://schemas.microsoft.com/office/drawing/2014/main" id="{DBF996EF-5F94-41CA-B431-C19DF16971C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A811B-3C25-4ACC-9394-11A3966D456A}" type="TxLink">
                      <a:rPr lang="en-US" sz="1100" b="1" i="0" u="none" strike="noStrike">
                        <a:solidFill>
                          <a:schemeClr val="bg1"/>
                        </a:solidFill>
                        <a:latin typeface="Arial" panose="020B0604020202020204" pitchFamily="34" charset="0"/>
                        <a:cs typeface="Arial" panose="020B0604020202020204" pitchFamily="34" charset="0"/>
                      </a:rPr>
                      <a:pPr algn="ctr"/>
                      <a:t>5</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7">
                <xdr:nvSpPr>
                  <xdr:cNvPr id="104" name="TextBox 103">
                    <a:extLst>
                      <a:ext uri="{FF2B5EF4-FFF2-40B4-BE49-F238E27FC236}">
                        <a16:creationId xmlns:a16="http://schemas.microsoft.com/office/drawing/2014/main" id="{9CFEE2D7-3695-4CC7-8E96-2D144E034A6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66F3A3D-F480-4DEA-B76B-3E90195B8CC8}" type="TxLink">
                      <a:rPr lang="en-US" sz="1100" b="1" i="0" u="none" strike="noStrike">
                        <a:solidFill>
                          <a:schemeClr val="bg1"/>
                        </a:solidFill>
                        <a:latin typeface="Arial" panose="020B0604020202020204" pitchFamily="34" charset="0"/>
                        <a:cs typeface="Arial" panose="020B0604020202020204" pitchFamily="34" charset="0"/>
                      </a:rPr>
                      <a:pPr algn="r"/>
                      <a:t> £2,776.58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92" name="TextBox 91">
              <a:extLst>
                <a:ext uri="{FF2B5EF4-FFF2-40B4-BE49-F238E27FC236}">
                  <a16:creationId xmlns:a16="http://schemas.microsoft.com/office/drawing/2014/main" id="{DDF7A987-44F8-4B0F-9578-34E15C40F057}"/>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E32ds</a:t>
              </a:r>
            </a:p>
          </xdr:txBody>
        </xdr:sp>
        <xdr:sp macro="" textlink="'Dashboard Workings'!F39">
          <xdr:nvSpPr>
            <xdr:cNvPr id="93" name="TextBox 92">
              <a:extLst>
                <a:ext uri="{FF2B5EF4-FFF2-40B4-BE49-F238E27FC236}">
                  <a16:creationId xmlns:a16="http://schemas.microsoft.com/office/drawing/2014/main" id="{DCCC5E45-3BD5-4230-A46E-122E56F02A3B}"/>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AF3CBB9-578F-439D-AE2A-996E821F6D7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9">
          <xdr:nvSpPr>
            <xdr:cNvPr id="94" name="TextBox 93">
              <a:extLst>
                <a:ext uri="{FF2B5EF4-FFF2-40B4-BE49-F238E27FC236}">
                  <a16:creationId xmlns:a16="http://schemas.microsoft.com/office/drawing/2014/main" id="{1CFC16A0-61A0-4505-B53B-DE6AC23AFA9A}"/>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E06161-310C-46BD-ACB8-E991BA5CACD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1" name="Group 30">
            <a:extLst>
              <a:ext uri="{FF2B5EF4-FFF2-40B4-BE49-F238E27FC236}">
                <a16:creationId xmlns:a16="http://schemas.microsoft.com/office/drawing/2014/main" id="{38743B41-B4EE-41F5-B8DF-46D43CB2E440}"/>
              </a:ext>
            </a:extLst>
          </xdr:cNvPr>
          <xdr:cNvGrpSpPr/>
        </xdr:nvGrpSpPr>
        <xdr:grpSpPr>
          <a:xfrm>
            <a:off x="12697545" y="3824567"/>
            <a:ext cx="2055870" cy="2495147"/>
            <a:chOff x="8867775" y="3838575"/>
            <a:chExt cx="2055870" cy="2495147"/>
          </a:xfrm>
        </xdr:grpSpPr>
        <xdr:grpSp>
          <xdr:nvGrpSpPr>
            <xdr:cNvPr id="57" name="Group 56">
              <a:extLst>
                <a:ext uri="{FF2B5EF4-FFF2-40B4-BE49-F238E27FC236}">
                  <a16:creationId xmlns:a16="http://schemas.microsoft.com/office/drawing/2014/main" id="{289124DD-EBA9-4FC7-B276-2E6F3472040E}"/>
                </a:ext>
              </a:extLst>
            </xdr:cNvPr>
            <xdr:cNvGrpSpPr/>
          </xdr:nvGrpSpPr>
          <xdr:grpSpPr>
            <a:xfrm>
              <a:off x="8867775" y="3838575"/>
              <a:ext cx="2055870" cy="2476500"/>
              <a:chOff x="3094691" y="3867151"/>
              <a:chExt cx="2055870" cy="2476500"/>
            </a:xfrm>
          </xdr:grpSpPr>
          <xdr:grpSp>
            <xdr:nvGrpSpPr>
              <xdr:cNvPr id="61" name="Group 60">
                <a:extLst>
                  <a:ext uri="{FF2B5EF4-FFF2-40B4-BE49-F238E27FC236}">
                    <a16:creationId xmlns:a16="http://schemas.microsoft.com/office/drawing/2014/main" id="{9C4A9017-34BB-4D2A-BEE9-0387F4934BC1}"/>
                  </a:ext>
                </a:extLst>
              </xdr:cNvPr>
              <xdr:cNvGrpSpPr/>
            </xdr:nvGrpSpPr>
            <xdr:grpSpPr>
              <a:xfrm>
                <a:off x="3094691" y="3867151"/>
                <a:ext cx="2055870" cy="2476500"/>
                <a:chOff x="3094691" y="3867151"/>
                <a:chExt cx="2055870" cy="2476500"/>
              </a:xfrm>
            </xdr:grpSpPr>
            <xdr:grpSp>
              <xdr:nvGrpSpPr>
                <xdr:cNvPr id="83" name="Group 82">
                  <a:extLst>
                    <a:ext uri="{FF2B5EF4-FFF2-40B4-BE49-F238E27FC236}">
                      <a16:creationId xmlns:a16="http://schemas.microsoft.com/office/drawing/2014/main" id="{43E0D6B2-8500-4094-B8DF-24A2FEF99ED3}"/>
                    </a:ext>
                  </a:extLst>
                </xdr:cNvPr>
                <xdr:cNvGrpSpPr/>
              </xdr:nvGrpSpPr>
              <xdr:grpSpPr>
                <a:xfrm>
                  <a:off x="3094691" y="3867151"/>
                  <a:ext cx="1734484" cy="2476500"/>
                  <a:chOff x="3094691" y="3867151"/>
                  <a:chExt cx="1734484" cy="2476500"/>
                </a:xfrm>
              </xdr:grpSpPr>
              <xdr:sp macro="" textlink="">
                <xdr:nvSpPr>
                  <xdr:cNvPr id="89" name="Rectangle: Rounded Corners 88">
                    <a:extLst>
                      <a:ext uri="{FF2B5EF4-FFF2-40B4-BE49-F238E27FC236}">
                        <a16:creationId xmlns:a16="http://schemas.microsoft.com/office/drawing/2014/main" id="{F0AB0E12-B759-443A-A70F-D45CB0D1FB63}"/>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TextBox 89">
                    <a:extLst>
                      <a:ext uri="{FF2B5EF4-FFF2-40B4-BE49-F238E27FC236}">
                        <a16:creationId xmlns:a16="http://schemas.microsoft.com/office/drawing/2014/main" id="{9A4C4CC9-0153-41BF-ACCC-811C01BD24FC}"/>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F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84" name="Group 83">
                  <a:extLst>
                    <a:ext uri="{FF2B5EF4-FFF2-40B4-BE49-F238E27FC236}">
                      <a16:creationId xmlns:a16="http://schemas.microsoft.com/office/drawing/2014/main" id="{8271649A-2C18-4289-9B62-41C14ADCC807}"/>
                    </a:ext>
                  </a:extLst>
                </xdr:cNvPr>
                <xdr:cNvGrpSpPr/>
              </xdr:nvGrpSpPr>
              <xdr:grpSpPr>
                <a:xfrm>
                  <a:off x="3095625" y="4276724"/>
                  <a:ext cx="2054936" cy="304397"/>
                  <a:chOff x="3095625" y="4229099"/>
                  <a:chExt cx="2054936" cy="304397"/>
                </a:xfrm>
              </xdr:grpSpPr>
              <xdr:sp macro="" textlink="">
                <xdr:nvSpPr>
                  <xdr:cNvPr id="85" name="Rectangle: Rounded Corners 84">
                    <a:extLst>
                      <a:ext uri="{FF2B5EF4-FFF2-40B4-BE49-F238E27FC236}">
                        <a16:creationId xmlns:a16="http://schemas.microsoft.com/office/drawing/2014/main" id="{D8951182-9E75-44E8-BFA8-818CE227BDFA}"/>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6" name="Group 85">
                    <a:extLst>
                      <a:ext uri="{FF2B5EF4-FFF2-40B4-BE49-F238E27FC236}">
                        <a16:creationId xmlns:a16="http://schemas.microsoft.com/office/drawing/2014/main" id="{B7BE60E9-AC33-4730-83DC-121008FD339A}"/>
                      </a:ext>
                    </a:extLst>
                  </xdr:cNvPr>
                  <xdr:cNvGrpSpPr/>
                </xdr:nvGrpSpPr>
                <xdr:grpSpPr>
                  <a:xfrm>
                    <a:off x="3152775" y="4238624"/>
                    <a:ext cx="1997786" cy="294872"/>
                    <a:chOff x="8410575" y="3800474"/>
                    <a:chExt cx="1997786" cy="294872"/>
                  </a:xfrm>
                </xdr:grpSpPr>
                <xdr:sp macro="" textlink="">
                  <xdr:nvSpPr>
                    <xdr:cNvPr id="87" name="TextBox 86">
                      <a:extLst>
                        <a:ext uri="{FF2B5EF4-FFF2-40B4-BE49-F238E27FC236}">
                          <a16:creationId xmlns:a16="http://schemas.microsoft.com/office/drawing/2014/main" id="{9C675038-3337-4AD8-A92B-B7EBFD282DA7}"/>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88" name="TextBox 87">
                      <a:extLst>
                        <a:ext uri="{FF2B5EF4-FFF2-40B4-BE49-F238E27FC236}">
                          <a16:creationId xmlns:a16="http://schemas.microsoft.com/office/drawing/2014/main" id="{3DF0C46A-6990-48FD-B2AB-7A7C42EB3755}"/>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62" name="Group 61">
                <a:extLst>
                  <a:ext uri="{FF2B5EF4-FFF2-40B4-BE49-F238E27FC236}">
                    <a16:creationId xmlns:a16="http://schemas.microsoft.com/office/drawing/2014/main" id="{2410A3BA-D4A3-4BEB-B9B3-8498A8D02F95}"/>
                  </a:ext>
                </a:extLst>
              </xdr:cNvPr>
              <xdr:cNvGrpSpPr/>
            </xdr:nvGrpSpPr>
            <xdr:grpSpPr>
              <a:xfrm>
                <a:off x="3162300" y="4615142"/>
                <a:ext cx="1715220" cy="1495022"/>
                <a:chOff x="3162300" y="4615142"/>
                <a:chExt cx="1715220" cy="1495022"/>
              </a:xfrm>
            </xdr:grpSpPr>
            <xdr:grpSp>
              <xdr:nvGrpSpPr>
                <xdr:cNvPr id="63" name="Group 62">
                  <a:extLst>
                    <a:ext uri="{FF2B5EF4-FFF2-40B4-BE49-F238E27FC236}">
                      <a16:creationId xmlns:a16="http://schemas.microsoft.com/office/drawing/2014/main" id="{663F0F94-3963-4435-87B1-546AAE1ECC4B}"/>
                    </a:ext>
                  </a:extLst>
                </xdr:cNvPr>
                <xdr:cNvGrpSpPr/>
              </xdr:nvGrpSpPr>
              <xdr:grpSpPr>
                <a:xfrm>
                  <a:off x="3162300" y="4615142"/>
                  <a:ext cx="1714500" cy="294872"/>
                  <a:chOff x="3162300" y="4596092"/>
                  <a:chExt cx="1714500" cy="294872"/>
                </a:xfrm>
              </xdr:grpSpPr>
              <xdr:sp macro="" textlink="">
                <xdr:nvSpPr>
                  <xdr:cNvPr id="80" name="TextBox 79">
                    <a:extLst>
                      <a:ext uri="{FF2B5EF4-FFF2-40B4-BE49-F238E27FC236}">
                        <a16:creationId xmlns:a16="http://schemas.microsoft.com/office/drawing/2014/main" id="{FE0DD0A8-D8CB-43F2-AEF1-9A12AF7439E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v2</a:t>
                    </a:r>
                  </a:p>
                </xdr:txBody>
              </xdr:sp>
              <xdr:sp macro="" textlink="'Dashboard Workings'!F42">
                <xdr:nvSpPr>
                  <xdr:cNvPr id="81" name="TextBox 80">
                    <a:extLst>
                      <a:ext uri="{FF2B5EF4-FFF2-40B4-BE49-F238E27FC236}">
                        <a16:creationId xmlns:a16="http://schemas.microsoft.com/office/drawing/2014/main" id="{ED8C4EC7-8706-4A87-8E9E-E04DD359038F}"/>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2215EB-742D-4B4D-A0AD-2AB926E0407A}" type="TxLink">
                      <a:rPr lang="en-US" sz="1100" b="1" i="0" u="none" strike="noStrike">
                        <a:solidFill>
                          <a:schemeClr val="bg1"/>
                        </a:solidFill>
                        <a:latin typeface="Arial" panose="020B0604020202020204" pitchFamily="34" charset="0"/>
                        <a:cs typeface="Arial" panose="020B0604020202020204" pitchFamily="34" charset="0"/>
                      </a:rPr>
                      <a:pPr algn="ctr"/>
                      <a:t>50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2">
                <xdr:nvSpPr>
                  <xdr:cNvPr id="82" name="TextBox 81">
                    <a:extLst>
                      <a:ext uri="{FF2B5EF4-FFF2-40B4-BE49-F238E27FC236}">
                        <a16:creationId xmlns:a16="http://schemas.microsoft.com/office/drawing/2014/main" id="{6E6B57AA-7995-44A2-8B75-1F38BD985EAD}"/>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728D79B-FC42-49BB-B3F3-44009377625C}" type="TxLink">
                      <a:rPr lang="en-US" sz="1100" b="1" i="0" u="none" strike="noStrike">
                        <a:solidFill>
                          <a:schemeClr val="bg1"/>
                        </a:solidFill>
                        <a:latin typeface="Arial" panose="020B0604020202020204" pitchFamily="34" charset="0"/>
                        <a:cs typeface="Arial" panose="020B0604020202020204" pitchFamily="34" charset="0"/>
                      </a:rPr>
                      <a:pPr algn="r"/>
                      <a:t> £1,562.05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4" name="Group 63">
                  <a:extLst>
                    <a:ext uri="{FF2B5EF4-FFF2-40B4-BE49-F238E27FC236}">
                      <a16:creationId xmlns:a16="http://schemas.microsoft.com/office/drawing/2014/main" id="{C4901EB5-E483-412C-A7F8-4B1B1211DE2E}"/>
                    </a:ext>
                  </a:extLst>
                </xdr:cNvPr>
                <xdr:cNvGrpSpPr/>
              </xdr:nvGrpSpPr>
              <xdr:grpSpPr>
                <a:xfrm>
                  <a:off x="3162300" y="4919942"/>
                  <a:ext cx="1714500" cy="294872"/>
                  <a:chOff x="3162300" y="4596092"/>
                  <a:chExt cx="1714500" cy="294872"/>
                </a:xfrm>
              </xdr:grpSpPr>
              <xdr:sp macro="" textlink="">
                <xdr:nvSpPr>
                  <xdr:cNvPr id="77" name="TextBox 76">
                    <a:extLst>
                      <a:ext uri="{FF2B5EF4-FFF2-40B4-BE49-F238E27FC236}">
                        <a16:creationId xmlns:a16="http://schemas.microsoft.com/office/drawing/2014/main" id="{489A1505-A26D-4265-8B9E-7420F90F8B7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F4s v2</a:t>
                    </a:r>
                  </a:p>
                </xdr:txBody>
              </xdr:sp>
              <xdr:sp macro="" textlink="'Dashboard Workings'!F43">
                <xdr:nvSpPr>
                  <xdr:cNvPr id="78" name="TextBox 77">
                    <a:extLst>
                      <a:ext uri="{FF2B5EF4-FFF2-40B4-BE49-F238E27FC236}">
                        <a16:creationId xmlns:a16="http://schemas.microsoft.com/office/drawing/2014/main" id="{C456E18F-67D7-4036-B3C3-5D30688DD5C5}"/>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C8364D-63A7-41A0-979D-2688E09F02CF}" type="TxLink">
                      <a:rPr lang="en-US" sz="1100" b="1" i="0" u="none" strike="noStrike">
                        <a:solidFill>
                          <a:schemeClr val="bg1"/>
                        </a:solidFill>
                        <a:latin typeface="Arial" panose="020B0604020202020204" pitchFamily="34" charset="0"/>
                        <a:cs typeface="Arial" panose="020B0604020202020204" pitchFamily="34" charset="0"/>
                      </a:rPr>
                      <a:pPr algn="ctr"/>
                      <a:t>6</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3">
                <xdr:nvSpPr>
                  <xdr:cNvPr id="79" name="TextBox 78">
                    <a:extLst>
                      <a:ext uri="{FF2B5EF4-FFF2-40B4-BE49-F238E27FC236}">
                        <a16:creationId xmlns:a16="http://schemas.microsoft.com/office/drawing/2014/main" id="{41CF4520-CFD9-4AC6-B4B3-163522A7665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D93D41D-BAD0-42CC-BFF6-AD1C9E38840D}" type="TxLink">
                      <a:rPr lang="en-US" sz="1100" b="1" i="0" u="none" strike="noStrike">
                        <a:solidFill>
                          <a:schemeClr val="bg1"/>
                        </a:solidFill>
                        <a:latin typeface="Arial" panose="020B0604020202020204" pitchFamily="34" charset="0"/>
                        <a:cs typeface="Arial" panose="020B0604020202020204" pitchFamily="34" charset="0"/>
                      </a:rPr>
                      <a:pPr algn="r"/>
                      <a:t> £375.25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5" name="Group 64">
                  <a:extLst>
                    <a:ext uri="{FF2B5EF4-FFF2-40B4-BE49-F238E27FC236}">
                      <a16:creationId xmlns:a16="http://schemas.microsoft.com/office/drawing/2014/main" id="{1500ECE0-E73A-472C-8358-A52FFF2FB242}"/>
                    </a:ext>
                  </a:extLst>
                </xdr:cNvPr>
                <xdr:cNvGrpSpPr/>
              </xdr:nvGrpSpPr>
              <xdr:grpSpPr>
                <a:xfrm>
                  <a:off x="3163020" y="5224742"/>
                  <a:ext cx="1714500" cy="294872"/>
                  <a:chOff x="3162300" y="4596092"/>
                  <a:chExt cx="1714500" cy="294872"/>
                </a:xfrm>
              </xdr:grpSpPr>
              <xdr:sp macro="" textlink="">
                <xdr:nvSpPr>
                  <xdr:cNvPr id="74" name="TextBox 73">
                    <a:extLst>
                      <a:ext uri="{FF2B5EF4-FFF2-40B4-BE49-F238E27FC236}">
                        <a16:creationId xmlns:a16="http://schemas.microsoft.com/office/drawing/2014/main" id="{56554BFB-9E94-4058-A6AC-D92800D9730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F8s v2</a:t>
                    </a:r>
                  </a:p>
                </xdr:txBody>
              </xdr:sp>
              <xdr:sp macro="" textlink="'Dashboard Workings'!F44">
                <xdr:nvSpPr>
                  <xdr:cNvPr id="75" name="TextBox 74">
                    <a:extLst>
                      <a:ext uri="{FF2B5EF4-FFF2-40B4-BE49-F238E27FC236}">
                        <a16:creationId xmlns:a16="http://schemas.microsoft.com/office/drawing/2014/main" id="{83747461-36C2-45BC-92B0-7845F46C6B4F}"/>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EF764D-020C-457D-A0BA-7C27FB5ECF3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4">
                <xdr:nvSpPr>
                  <xdr:cNvPr id="76" name="TextBox 75">
                    <a:extLst>
                      <a:ext uri="{FF2B5EF4-FFF2-40B4-BE49-F238E27FC236}">
                        <a16:creationId xmlns:a16="http://schemas.microsoft.com/office/drawing/2014/main" id="{712E3D6A-84E5-4E0E-91F7-BB6C9366226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B8C1CA3-0C12-45D5-90BB-863B1BFE7928}"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6" name="Group 65">
                  <a:extLst>
                    <a:ext uri="{FF2B5EF4-FFF2-40B4-BE49-F238E27FC236}">
                      <a16:creationId xmlns:a16="http://schemas.microsoft.com/office/drawing/2014/main" id="{6E227E69-85D3-45A4-B522-D8EEB422B19E}"/>
                    </a:ext>
                  </a:extLst>
                </xdr:cNvPr>
                <xdr:cNvGrpSpPr/>
              </xdr:nvGrpSpPr>
              <xdr:grpSpPr>
                <a:xfrm>
                  <a:off x="3163020" y="5520017"/>
                  <a:ext cx="1714500" cy="294872"/>
                  <a:chOff x="3162300" y="4596092"/>
                  <a:chExt cx="1714500" cy="294872"/>
                </a:xfrm>
              </xdr:grpSpPr>
              <xdr:sp macro="" textlink="">
                <xdr:nvSpPr>
                  <xdr:cNvPr id="71" name="TextBox 70">
                    <a:extLst>
                      <a:ext uri="{FF2B5EF4-FFF2-40B4-BE49-F238E27FC236}">
                        <a16:creationId xmlns:a16="http://schemas.microsoft.com/office/drawing/2014/main" id="{4EECE23E-6111-41BD-872C-A6F3AB81F79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F16s</a:t>
                    </a:r>
                  </a:p>
                </xdr:txBody>
              </xdr:sp>
              <xdr:sp macro="" textlink="'Dashboard Workings'!F45">
                <xdr:nvSpPr>
                  <xdr:cNvPr id="72" name="TextBox 71">
                    <a:extLst>
                      <a:ext uri="{FF2B5EF4-FFF2-40B4-BE49-F238E27FC236}">
                        <a16:creationId xmlns:a16="http://schemas.microsoft.com/office/drawing/2014/main" id="{EC12B8B4-3326-4183-B113-8FE9E32C70C2}"/>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BFC1F95-2286-4FA0-8324-58C9AE6A175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5">
                <xdr:nvSpPr>
                  <xdr:cNvPr id="73" name="TextBox 72">
                    <a:extLst>
                      <a:ext uri="{FF2B5EF4-FFF2-40B4-BE49-F238E27FC236}">
                        <a16:creationId xmlns:a16="http://schemas.microsoft.com/office/drawing/2014/main" id="{6D656527-83D4-4C4B-AE3E-76A4BBF3A2F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638C980-82BE-4D1C-8714-627232B554DE}"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7" name="Group 66">
                  <a:extLst>
                    <a:ext uri="{FF2B5EF4-FFF2-40B4-BE49-F238E27FC236}">
                      <a16:creationId xmlns:a16="http://schemas.microsoft.com/office/drawing/2014/main" id="{DF490A0E-94B0-4A4E-8489-C1596D3A6102}"/>
                    </a:ext>
                  </a:extLst>
                </xdr:cNvPr>
                <xdr:cNvGrpSpPr/>
              </xdr:nvGrpSpPr>
              <xdr:grpSpPr>
                <a:xfrm>
                  <a:off x="3163020" y="5815292"/>
                  <a:ext cx="1714500" cy="294872"/>
                  <a:chOff x="3162300" y="4596092"/>
                  <a:chExt cx="1714500" cy="294872"/>
                </a:xfrm>
              </xdr:grpSpPr>
              <xdr:sp macro="" textlink="">
                <xdr:nvSpPr>
                  <xdr:cNvPr id="68" name="TextBox 67">
                    <a:extLst>
                      <a:ext uri="{FF2B5EF4-FFF2-40B4-BE49-F238E27FC236}">
                        <a16:creationId xmlns:a16="http://schemas.microsoft.com/office/drawing/2014/main" id="{C64B0DE4-7A5A-4ED9-B49B-DA9431C43D4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F32s</a:t>
                    </a:r>
                  </a:p>
                </xdr:txBody>
              </xdr:sp>
              <xdr:sp macro="" textlink="'Dashboard Workings'!F46">
                <xdr:nvSpPr>
                  <xdr:cNvPr id="69" name="TextBox 68">
                    <a:extLst>
                      <a:ext uri="{FF2B5EF4-FFF2-40B4-BE49-F238E27FC236}">
                        <a16:creationId xmlns:a16="http://schemas.microsoft.com/office/drawing/2014/main" id="{E0D0628F-06FD-4B79-A93F-6B1CE27FF520}"/>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AB43FA-4F8A-4E20-A1AB-50700A7EE6A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6">
                <xdr:nvSpPr>
                  <xdr:cNvPr id="70" name="TextBox 69">
                    <a:extLst>
                      <a:ext uri="{FF2B5EF4-FFF2-40B4-BE49-F238E27FC236}">
                        <a16:creationId xmlns:a16="http://schemas.microsoft.com/office/drawing/2014/main" id="{A0B24C41-7341-4572-AD31-593E8C47D15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29EDF5F-9876-47DC-B646-E0C55C65022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58" name="TextBox 57">
              <a:extLst>
                <a:ext uri="{FF2B5EF4-FFF2-40B4-BE49-F238E27FC236}">
                  <a16:creationId xmlns:a16="http://schemas.microsoft.com/office/drawing/2014/main" id="{FE994954-9184-428D-A703-84EA795A17BF}"/>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v1</a:t>
              </a:r>
            </a:p>
          </xdr:txBody>
        </xdr:sp>
        <xdr:sp macro="" textlink="'Dashboard Workings'!F50">
          <xdr:nvSpPr>
            <xdr:cNvPr id="59" name="TextBox 58">
              <a:extLst>
                <a:ext uri="{FF2B5EF4-FFF2-40B4-BE49-F238E27FC236}">
                  <a16:creationId xmlns:a16="http://schemas.microsoft.com/office/drawing/2014/main" id="{C2E7FCC7-5E86-4DC8-A572-9F9F2DC36E3C}"/>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3C65E56-3275-4FBE-90CA-E79E309CE8E0}"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50">
          <xdr:nvSpPr>
            <xdr:cNvPr id="60" name="TextBox 59">
              <a:extLst>
                <a:ext uri="{FF2B5EF4-FFF2-40B4-BE49-F238E27FC236}">
                  <a16:creationId xmlns:a16="http://schemas.microsoft.com/office/drawing/2014/main" id="{218862CA-7651-4B4E-8EE1-3790274A292D}"/>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444C4B5-7522-4264-A627-54D51239AEA8}"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2" name="Group 31">
            <a:extLst>
              <a:ext uri="{FF2B5EF4-FFF2-40B4-BE49-F238E27FC236}">
                <a16:creationId xmlns:a16="http://schemas.microsoft.com/office/drawing/2014/main" id="{A67A0A76-8275-42FE-96BC-CEFABEE88454}"/>
              </a:ext>
            </a:extLst>
          </xdr:cNvPr>
          <xdr:cNvGrpSpPr/>
        </xdr:nvGrpSpPr>
        <xdr:grpSpPr>
          <a:xfrm>
            <a:off x="5029200" y="6381750"/>
            <a:ext cx="1744729" cy="294872"/>
            <a:chOff x="3104216" y="6396317"/>
            <a:chExt cx="1744729" cy="294872"/>
          </a:xfrm>
        </xdr:grpSpPr>
        <xdr:sp macro="" textlink="">
          <xdr:nvSpPr>
            <xdr:cNvPr id="53" name="Rectangle: Rounded Corners 52">
              <a:extLst>
                <a:ext uri="{FF2B5EF4-FFF2-40B4-BE49-F238E27FC236}">
                  <a16:creationId xmlns:a16="http://schemas.microsoft.com/office/drawing/2014/main" id="{F1FC3E5F-C12C-4871-B2EC-2F2AD9C8F45A}"/>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 name="Group 53">
              <a:extLst>
                <a:ext uri="{FF2B5EF4-FFF2-40B4-BE49-F238E27FC236}">
                  <a16:creationId xmlns:a16="http://schemas.microsoft.com/office/drawing/2014/main" id="{901CD247-9178-43B6-B781-2AAFB95324A5}"/>
                </a:ext>
              </a:extLst>
            </xdr:cNvPr>
            <xdr:cNvGrpSpPr/>
          </xdr:nvGrpSpPr>
          <xdr:grpSpPr>
            <a:xfrm>
              <a:off x="3134445" y="6396317"/>
              <a:ext cx="1714500" cy="294872"/>
              <a:chOff x="3162300" y="4596092"/>
              <a:chExt cx="1714500" cy="294872"/>
            </a:xfrm>
          </xdr:grpSpPr>
          <xdr:sp macro="" textlink="">
            <xdr:nvSpPr>
              <xdr:cNvPr id="55" name="TextBox 54">
                <a:extLst>
                  <a:ext uri="{FF2B5EF4-FFF2-40B4-BE49-F238E27FC236}">
                    <a16:creationId xmlns:a16="http://schemas.microsoft.com/office/drawing/2014/main" id="{BB8BAC2D-1849-4235-9AB0-1C3678A15504}"/>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3">
            <xdr:nvSpPr>
              <xdr:cNvPr id="56" name="TextBox 55">
                <a:extLst>
                  <a:ext uri="{FF2B5EF4-FFF2-40B4-BE49-F238E27FC236}">
                    <a16:creationId xmlns:a16="http://schemas.microsoft.com/office/drawing/2014/main" id="{CD33A6CF-3E64-4DEE-81F9-9A467B43D5A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11D52B6-7567-4DDA-AD2F-747B3A79CED3}" type="TxLink">
                  <a:rPr lang="en-US" sz="1200" b="1" i="0" u="none" strike="noStrike">
                    <a:solidFill>
                      <a:srgbClr val="000000"/>
                    </a:solidFill>
                    <a:latin typeface="Calibri"/>
                    <a:cs typeface="Calibri"/>
                  </a:rPr>
                  <a:pPr algn="r"/>
                  <a:t> £-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3" name="Group 32">
            <a:extLst>
              <a:ext uri="{FF2B5EF4-FFF2-40B4-BE49-F238E27FC236}">
                <a16:creationId xmlns:a16="http://schemas.microsoft.com/office/drawing/2014/main" id="{D2486018-8448-4F41-AEDF-C6FBD57FBCFE}"/>
              </a:ext>
            </a:extLst>
          </xdr:cNvPr>
          <xdr:cNvGrpSpPr/>
        </xdr:nvGrpSpPr>
        <xdr:grpSpPr>
          <a:xfrm>
            <a:off x="6973019" y="6386791"/>
            <a:ext cx="1744729" cy="294872"/>
            <a:chOff x="3104216" y="6396317"/>
            <a:chExt cx="1744729" cy="294872"/>
          </a:xfrm>
        </xdr:grpSpPr>
        <xdr:sp macro="" textlink="">
          <xdr:nvSpPr>
            <xdr:cNvPr id="49" name="Rectangle: Rounded Corners 48">
              <a:extLst>
                <a:ext uri="{FF2B5EF4-FFF2-40B4-BE49-F238E27FC236}">
                  <a16:creationId xmlns:a16="http://schemas.microsoft.com/office/drawing/2014/main" id="{1A752444-31D6-4146-BA1D-7565F9D0A57E}"/>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0" name="Group 49">
              <a:extLst>
                <a:ext uri="{FF2B5EF4-FFF2-40B4-BE49-F238E27FC236}">
                  <a16:creationId xmlns:a16="http://schemas.microsoft.com/office/drawing/2014/main" id="{8241CF54-4870-4DD7-B0B6-E37108F9473F}"/>
                </a:ext>
              </a:extLst>
            </xdr:cNvPr>
            <xdr:cNvGrpSpPr/>
          </xdr:nvGrpSpPr>
          <xdr:grpSpPr>
            <a:xfrm>
              <a:off x="3134445" y="6396317"/>
              <a:ext cx="1714500" cy="294872"/>
              <a:chOff x="3162300" y="4596092"/>
              <a:chExt cx="1714500" cy="294872"/>
            </a:xfrm>
          </xdr:grpSpPr>
          <xdr:sp macro="" textlink="">
            <xdr:nvSpPr>
              <xdr:cNvPr id="51" name="TextBox 50">
                <a:extLst>
                  <a:ext uri="{FF2B5EF4-FFF2-40B4-BE49-F238E27FC236}">
                    <a16:creationId xmlns:a16="http://schemas.microsoft.com/office/drawing/2014/main" id="{16065BAC-CC72-43FF-86D9-33F3D8BC2C8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4">
            <xdr:nvSpPr>
              <xdr:cNvPr id="52" name="TextBox 51">
                <a:extLst>
                  <a:ext uri="{FF2B5EF4-FFF2-40B4-BE49-F238E27FC236}">
                    <a16:creationId xmlns:a16="http://schemas.microsoft.com/office/drawing/2014/main" id="{A63D76AC-D4C8-4950-8F92-EE7C9C5F5617}"/>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9D3ECB7-CD02-4083-A7E2-066EEA8B8DC1}" type="TxLink">
                  <a:rPr lang="en-US" sz="1200" b="1" i="0" u="none" strike="noStrike">
                    <a:solidFill>
                      <a:srgbClr val="000000"/>
                    </a:solidFill>
                    <a:latin typeface="Calibri"/>
                    <a:cs typeface="Calibri"/>
                  </a:rPr>
                  <a:pPr algn="r"/>
                  <a:t> £-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4" name="Group 33">
            <a:extLst>
              <a:ext uri="{FF2B5EF4-FFF2-40B4-BE49-F238E27FC236}">
                <a16:creationId xmlns:a16="http://schemas.microsoft.com/office/drawing/2014/main" id="{BEEFE09D-BE5F-45D9-86A4-A3F6EDDA35C5}"/>
              </a:ext>
            </a:extLst>
          </xdr:cNvPr>
          <xdr:cNvGrpSpPr/>
        </xdr:nvGrpSpPr>
        <xdr:grpSpPr>
          <a:xfrm>
            <a:off x="8878019" y="6386791"/>
            <a:ext cx="1744729" cy="294872"/>
            <a:chOff x="3104216" y="6396317"/>
            <a:chExt cx="1744729" cy="294872"/>
          </a:xfrm>
        </xdr:grpSpPr>
        <xdr:sp macro="" textlink="">
          <xdr:nvSpPr>
            <xdr:cNvPr id="45" name="Rectangle: Rounded Corners 44">
              <a:extLst>
                <a:ext uri="{FF2B5EF4-FFF2-40B4-BE49-F238E27FC236}">
                  <a16:creationId xmlns:a16="http://schemas.microsoft.com/office/drawing/2014/main" id="{DB66F9D1-CE76-490B-9E26-B879E8C965C1}"/>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6" name="Group 45">
              <a:extLst>
                <a:ext uri="{FF2B5EF4-FFF2-40B4-BE49-F238E27FC236}">
                  <a16:creationId xmlns:a16="http://schemas.microsoft.com/office/drawing/2014/main" id="{437F68DC-9D25-446F-A735-A1C1D152045C}"/>
                </a:ext>
              </a:extLst>
            </xdr:cNvPr>
            <xdr:cNvGrpSpPr/>
          </xdr:nvGrpSpPr>
          <xdr:grpSpPr>
            <a:xfrm>
              <a:off x="3134445" y="6396317"/>
              <a:ext cx="1714500" cy="294872"/>
              <a:chOff x="3162300" y="4596092"/>
              <a:chExt cx="1714500" cy="294872"/>
            </a:xfrm>
          </xdr:grpSpPr>
          <xdr:sp macro="" textlink="">
            <xdr:nvSpPr>
              <xdr:cNvPr id="47" name="TextBox 46">
                <a:extLst>
                  <a:ext uri="{FF2B5EF4-FFF2-40B4-BE49-F238E27FC236}">
                    <a16:creationId xmlns:a16="http://schemas.microsoft.com/office/drawing/2014/main" id="{00F3D4DD-8311-428A-8942-E1F9EBDEA3E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5">
            <xdr:nvSpPr>
              <xdr:cNvPr id="48" name="TextBox 47">
                <a:extLst>
                  <a:ext uri="{FF2B5EF4-FFF2-40B4-BE49-F238E27FC236}">
                    <a16:creationId xmlns:a16="http://schemas.microsoft.com/office/drawing/2014/main" id="{59BA753F-AF0A-4027-8110-9CCD2624988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84BEF4-150F-483A-B840-C2E216C3DA72}" type="TxLink">
                  <a:rPr lang="en-US" sz="1200" b="1" i="0" u="none" strike="noStrike">
                    <a:solidFill>
                      <a:srgbClr val="000000"/>
                    </a:solidFill>
                    <a:latin typeface="Calibri"/>
                    <a:cs typeface="Calibri"/>
                  </a:rPr>
                  <a:pPr algn="r"/>
                  <a:t> £2,881.70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5" name="Group 34">
            <a:extLst>
              <a:ext uri="{FF2B5EF4-FFF2-40B4-BE49-F238E27FC236}">
                <a16:creationId xmlns:a16="http://schemas.microsoft.com/office/drawing/2014/main" id="{23472300-72C7-43E7-B80E-FB208A7FD1F0}"/>
              </a:ext>
            </a:extLst>
          </xdr:cNvPr>
          <xdr:cNvGrpSpPr/>
        </xdr:nvGrpSpPr>
        <xdr:grpSpPr>
          <a:xfrm>
            <a:off x="10811594" y="6386791"/>
            <a:ext cx="1744729" cy="294872"/>
            <a:chOff x="3104216" y="6396317"/>
            <a:chExt cx="1744729" cy="294872"/>
          </a:xfrm>
        </xdr:grpSpPr>
        <xdr:sp macro="" textlink="">
          <xdr:nvSpPr>
            <xdr:cNvPr id="41" name="Rectangle: Rounded Corners 40">
              <a:extLst>
                <a:ext uri="{FF2B5EF4-FFF2-40B4-BE49-F238E27FC236}">
                  <a16:creationId xmlns:a16="http://schemas.microsoft.com/office/drawing/2014/main" id="{CBD97011-AE8A-46EF-88BB-94BF931BABB3}"/>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2" name="Group 41">
              <a:extLst>
                <a:ext uri="{FF2B5EF4-FFF2-40B4-BE49-F238E27FC236}">
                  <a16:creationId xmlns:a16="http://schemas.microsoft.com/office/drawing/2014/main" id="{2204BF5A-B191-4CED-8975-421D96D32FC1}"/>
                </a:ext>
              </a:extLst>
            </xdr:cNvPr>
            <xdr:cNvGrpSpPr/>
          </xdr:nvGrpSpPr>
          <xdr:grpSpPr>
            <a:xfrm>
              <a:off x="3134445" y="6396317"/>
              <a:ext cx="1714500" cy="294872"/>
              <a:chOff x="3162300" y="4596092"/>
              <a:chExt cx="1714500" cy="294872"/>
            </a:xfrm>
          </xdr:grpSpPr>
          <xdr:sp macro="" textlink="">
            <xdr:nvSpPr>
              <xdr:cNvPr id="43" name="TextBox 42">
                <a:extLst>
                  <a:ext uri="{FF2B5EF4-FFF2-40B4-BE49-F238E27FC236}">
                    <a16:creationId xmlns:a16="http://schemas.microsoft.com/office/drawing/2014/main" id="{F3710D00-87C9-4140-A846-324568ED536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6">
            <xdr:nvSpPr>
              <xdr:cNvPr id="44" name="TextBox 43">
                <a:extLst>
                  <a:ext uri="{FF2B5EF4-FFF2-40B4-BE49-F238E27FC236}">
                    <a16:creationId xmlns:a16="http://schemas.microsoft.com/office/drawing/2014/main" id="{4EB2825A-4412-4981-BF95-942372155777}"/>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00C41AA-1B90-4CAD-AF66-F977A591683E}" type="TxLink">
                  <a:rPr lang="en-US" sz="1200" b="1" i="0" u="none" strike="noStrike">
                    <a:solidFill>
                      <a:srgbClr val="000000"/>
                    </a:solidFill>
                    <a:latin typeface="Calibri"/>
                    <a:cs typeface="Calibri"/>
                  </a:rPr>
                  <a:pPr algn="r"/>
                  <a:t> £7,441.26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6" name="Group 35">
            <a:extLst>
              <a:ext uri="{FF2B5EF4-FFF2-40B4-BE49-F238E27FC236}">
                <a16:creationId xmlns:a16="http://schemas.microsoft.com/office/drawing/2014/main" id="{313A18D3-11FA-465C-80B4-30CEDFFDC308}"/>
              </a:ext>
            </a:extLst>
          </xdr:cNvPr>
          <xdr:cNvGrpSpPr/>
        </xdr:nvGrpSpPr>
        <xdr:grpSpPr>
          <a:xfrm>
            <a:off x="12707069" y="6377266"/>
            <a:ext cx="1744729" cy="294872"/>
            <a:chOff x="3104216" y="6396317"/>
            <a:chExt cx="1744729" cy="294872"/>
          </a:xfrm>
        </xdr:grpSpPr>
        <xdr:sp macro="" textlink="">
          <xdr:nvSpPr>
            <xdr:cNvPr id="37" name="Rectangle: Rounded Corners 36">
              <a:extLst>
                <a:ext uri="{FF2B5EF4-FFF2-40B4-BE49-F238E27FC236}">
                  <a16:creationId xmlns:a16="http://schemas.microsoft.com/office/drawing/2014/main" id="{68709C43-32C3-4D87-A3D4-1C425FDA1CA6}"/>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8" name="Group 37">
              <a:extLst>
                <a:ext uri="{FF2B5EF4-FFF2-40B4-BE49-F238E27FC236}">
                  <a16:creationId xmlns:a16="http://schemas.microsoft.com/office/drawing/2014/main" id="{8336F251-C03C-455D-9368-E8A83F3D5B68}"/>
                </a:ext>
              </a:extLst>
            </xdr:cNvPr>
            <xdr:cNvGrpSpPr/>
          </xdr:nvGrpSpPr>
          <xdr:grpSpPr>
            <a:xfrm>
              <a:off x="3134445" y="6396317"/>
              <a:ext cx="1714500" cy="294872"/>
              <a:chOff x="3162300" y="4596092"/>
              <a:chExt cx="1714500" cy="294872"/>
            </a:xfrm>
          </xdr:grpSpPr>
          <xdr:sp macro="" textlink="">
            <xdr:nvSpPr>
              <xdr:cNvPr id="39" name="TextBox 38">
                <a:extLst>
                  <a:ext uri="{FF2B5EF4-FFF2-40B4-BE49-F238E27FC236}">
                    <a16:creationId xmlns:a16="http://schemas.microsoft.com/office/drawing/2014/main" id="{7498C19B-33BA-4E59-841B-98B169B6D8F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7">
            <xdr:nvSpPr>
              <xdr:cNvPr id="40" name="TextBox 39">
                <a:extLst>
                  <a:ext uri="{FF2B5EF4-FFF2-40B4-BE49-F238E27FC236}">
                    <a16:creationId xmlns:a16="http://schemas.microsoft.com/office/drawing/2014/main" id="{56B6D007-106D-42E4-AE7E-B6CDCE8A82E9}"/>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5D6D47C-7CAB-429A-B055-E1D4C32B761B}" type="TxLink">
                  <a:rPr lang="en-US" sz="1200" b="1" i="0" u="none" strike="noStrike">
                    <a:solidFill>
                      <a:srgbClr val="000000"/>
                    </a:solidFill>
                    <a:latin typeface="Calibri"/>
                    <a:cs typeface="Calibri"/>
                  </a:rPr>
                  <a:pPr algn="r"/>
                  <a:t> £1,937.29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clientData/>
  </xdr:twoCellAnchor>
  <xdr:twoCellAnchor>
    <xdr:from>
      <xdr:col>20</xdr:col>
      <xdr:colOff>304800</xdr:colOff>
      <xdr:row>4</xdr:row>
      <xdr:rowOff>171450</xdr:rowOff>
    </xdr:from>
    <xdr:to>
      <xdr:col>21</xdr:col>
      <xdr:colOff>419100</xdr:colOff>
      <xdr:row>6</xdr:row>
      <xdr:rowOff>66675</xdr:rowOff>
    </xdr:to>
    <xdr:grpSp>
      <xdr:nvGrpSpPr>
        <xdr:cNvPr id="249" name="Group 248">
          <a:hlinkClick xmlns:r="http://schemas.openxmlformats.org/officeDocument/2006/relationships" r:id="rId2"/>
          <a:extLst>
            <a:ext uri="{FF2B5EF4-FFF2-40B4-BE49-F238E27FC236}">
              <a16:creationId xmlns:a16="http://schemas.microsoft.com/office/drawing/2014/main" id="{3E7DC832-EA4D-4B9D-AA42-E00BDD040040}"/>
            </a:ext>
          </a:extLst>
        </xdr:cNvPr>
        <xdr:cNvGrpSpPr/>
      </xdr:nvGrpSpPr>
      <xdr:grpSpPr>
        <a:xfrm>
          <a:off x="13131800" y="908050"/>
          <a:ext cx="755650" cy="263525"/>
          <a:chOff x="1123950" y="2124075"/>
          <a:chExt cx="723900" cy="276225"/>
        </a:xfrm>
      </xdr:grpSpPr>
      <xdr:sp macro="" textlink="">
        <xdr:nvSpPr>
          <xdr:cNvPr id="250" name="Rectangle: Rounded Corners 249">
            <a:extLst>
              <a:ext uri="{FF2B5EF4-FFF2-40B4-BE49-F238E27FC236}">
                <a16:creationId xmlns:a16="http://schemas.microsoft.com/office/drawing/2014/main" id="{CE5A7CDD-0B40-4E02-87A7-FAC6E5034488}"/>
              </a:ext>
            </a:extLst>
          </xdr:cNvPr>
          <xdr:cNvSpPr/>
        </xdr:nvSpPr>
        <xdr:spPr>
          <a:xfrm>
            <a:off x="1123950" y="2124075"/>
            <a:ext cx="723900" cy="2762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sp macro="" textlink="">
        <xdr:nvSpPr>
          <xdr:cNvPr id="251" name="Rectangle: Rounded Corners 250">
            <a:extLst>
              <a:ext uri="{FF2B5EF4-FFF2-40B4-BE49-F238E27FC236}">
                <a16:creationId xmlns:a16="http://schemas.microsoft.com/office/drawing/2014/main" id="{EB49D1A2-6B32-4B1F-8B5E-E9DEFA5C229F}"/>
              </a:ext>
            </a:extLst>
          </xdr:cNvPr>
          <xdr:cNvSpPr/>
        </xdr:nvSpPr>
        <xdr:spPr>
          <a:xfrm>
            <a:off x="1552574" y="2152650"/>
            <a:ext cx="238125" cy="219075"/>
          </a:xfrm>
          <a:prstGeom prst="roundRect">
            <a:avLst/>
          </a:prstGeom>
          <a:gradFill>
            <a:gsLst>
              <a:gs pos="0">
                <a:schemeClr val="accent2"/>
              </a:gs>
              <a:gs pos="30000">
                <a:schemeClr val="accent2"/>
              </a:gs>
              <a:gs pos="100000">
                <a:schemeClr val="accent4"/>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grpSp>
    <xdr:clientData/>
  </xdr:twoCellAnchor>
  <xdr:twoCellAnchor>
    <xdr:from>
      <xdr:col>18</xdr:col>
      <xdr:colOff>51707</xdr:colOff>
      <xdr:row>4</xdr:row>
      <xdr:rowOff>76202</xdr:rowOff>
    </xdr:from>
    <xdr:to>
      <xdr:col>20</xdr:col>
      <xdr:colOff>247650</xdr:colOff>
      <xdr:row>7</xdr:row>
      <xdr:rowOff>35380</xdr:rowOff>
    </xdr:to>
    <xdr:sp macro="" textlink="">
      <xdr:nvSpPr>
        <xdr:cNvPr id="252" name="TextBox 251">
          <a:extLst>
            <a:ext uri="{FF2B5EF4-FFF2-40B4-BE49-F238E27FC236}">
              <a16:creationId xmlns:a16="http://schemas.microsoft.com/office/drawing/2014/main" id="{D7C4AA95-9B5B-44CF-B15D-A60F03F13AE7}"/>
            </a:ext>
          </a:extLst>
        </xdr:cNvPr>
        <xdr:cNvSpPr txBox="1"/>
      </xdr:nvSpPr>
      <xdr:spPr>
        <a:xfrm>
          <a:off x="11024507" y="838202"/>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solidFill>
                <a:schemeClr val="bg1"/>
              </a:solidFill>
              <a:latin typeface="Arial" panose="020B0604020202020204" pitchFamily="34" charset="0"/>
              <a:cs typeface="Arial" panose="020B0604020202020204" pitchFamily="34" charset="0"/>
            </a:rPr>
            <a:t>Current</a:t>
          </a:r>
        </a:p>
      </xdr:txBody>
    </xdr:sp>
    <xdr:clientData/>
  </xdr:twoCellAnchor>
  <xdr:twoCellAnchor>
    <xdr:from>
      <xdr:col>21</xdr:col>
      <xdr:colOff>594632</xdr:colOff>
      <xdr:row>4</xdr:row>
      <xdr:rowOff>66677</xdr:rowOff>
    </xdr:from>
    <xdr:to>
      <xdr:col>24</xdr:col>
      <xdr:colOff>180975</xdr:colOff>
      <xdr:row>7</xdr:row>
      <xdr:rowOff>25855</xdr:rowOff>
    </xdr:to>
    <xdr:sp macro="" textlink="">
      <xdr:nvSpPr>
        <xdr:cNvPr id="253" name="TextBox 252">
          <a:extLst>
            <a:ext uri="{FF2B5EF4-FFF2-40B4-BE49-F238E27FC236}">
              <a16:creationId xmlns:a16="http://schemas.microsoft.com/office/drawing/2014/main" id="{2E83C54A-AD26-455A-AF94-77643B6EC6BB}"/>
            </a:ext>
          </a:extLst>
        </xdr:cNvPr>
        <xdr:cNvSpPr txBox="1"/>
      </xdr:nvSpPr>
      <xdr:spPr>
        <a:xfrm>
          <a:off x="13396232" y="828677"/>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flip="none" rotWithShape="1">
                <a:gsLst>
                  <a:gs pos="0">
                    <a:schemeClr val="accent2"/>
                  </a:gs>
                  <a:gs pos="17000">
                    <a:schemeClr val="accent2">
                      <a:lumMod val="75000"/>
                    </a:schemeClr>
                  </a:gs>
                  <a:gs pos="100000">
                    <a:schemeClr val="accent4"/>
                  </a:gs>
                </a:gsLst>
                <a:lin ang="2700000" scaled="1"/>
                <a:tileRect/>
              </a:gradFill>
              <a:latin typeface="Arial" panose="020B0604020202020204" pitchFamily="34" charset="0"/>
              <a:ea typeface="+mn-ea"/>
              <a:cs typeface="Arial" panose="020B0604020202020204" pitchFamily="34" charset="0"/>
            </a:rPr>
            <a:t>New</a:t>
          </a:r>
        </a:p>
      </xdr:txBody>
    </xdr:sp>
    <xdr:clientData/>
  </xdr:twoCellAnchor>
  <xdr:twoCellAnchor>
    <xdr:from>
      <xdr:col>24</xdr:col>
      <xdr:colOff>166007</xdr:colOff>
      <xdr:row>4</xdr:row>
      <xdr:rowOff>76202</xdr:rowOff>
    </xdr:from>
    <xdr:to>
      <xdr:col>26</xdr:col>
      <xdr:colOff>361950</xdr:colOff>
      <xdr:row>7</xdr:row>
      <xdr:rowOff>35380</xdr:rowOff>
    </xdr:to>
    <xdr:sp macro="" textlink="">
      <xdr:nvSpPr>
        <xdr:cNvPr id="254" name="TextBox 253">
          <a:extLst>
            <a:ext uri="{FF2B5EF4-FFF2-40B4-BE49-F238E27FC236}">
              <a16:creationId xmlns:a16="http://schemas.microsoft.com/office/drawing/2014/main" id="{524C8082-A69A-4589-84F7-DFC80674F776}"/>
            </a:ext>
          </a:extLst>
        </xdr:cNvPr>
        <xdr:cNvSpPr txBox="1"/>
      </xdr:nvSpPr>
      <xdr:spPr>
        <a:xfrm>
          <a:off x="14796407" y="838202"/>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RI VM's:</a:t>
          </a:r>
          <a:r>
            <a:rPr lang="en-ZA" sz="2400" b="1" baseline="0">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 </a:t>
          </a:r>
          <a:endPar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endParaRPr>
        </a:p>
      </xdr:txBody>
    </xdr:sp>
    <xdr:clientData/>
  </xdr:twoCellAnchor>
  <xdr:twoCellAnchor>
    <xdr:from>
      <xdr:col>26</xdr:col>
      <xdr:colOff>299358</xdr:colOff>
      <xdr:row>4</xdr:row>
      <xdr:rowOff>76202</xdr:rowOff>
    </xdr:from>
    <xdr:to>
      <xdr:col>28</xdr:col>
      <xdr:colOff>200026</xdr:colOff>
      <xdr:row>7</xdr:row>
      <xdr:rowOff>35380</xdr:rowOff>
    </xdr:to>
    <xdr:sp macro="" textlink="'Dashboard Workings'!D67">
      <xdr:nvSpPr>
        <xdr:cNvPr id="255" name="TextBox 254">
          <a:extLst>
            <a:ext uri="{FF2B5EF4-FFF2-40B4-BE49-F238E27FC236}">
              <a16:creationId xmlns:a16="http://schemas.microsoft.com/office/drawing/2014/main" id="{FC47E7CE-33EA-4788-B7FA-4470096B1CFC}"/>
            </a:ext>
          </a:extLst>
        </xdr:cNvPr>
        <xdr:cNvSpPr txBox="1"/>
      </xdr:nvSpPr>
      <xdr:spPr>
        <a:xfrm>
          <a:off x="16148958" y="838202"/>
          <a:ext cx="1119868"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B16A502-1A07-4683-8160-A1007E965118}" type="TxLink">
            <a:rPr lang="en-US" sz="2400" b="1" i="0" u="none" strike="noStrike">
              <a:solidFill>
                <a:schemeClr val="bg1"/>
              </a:solidFill>
              <a:latin typeface="Calibri"/>
              <a:cs typeface="Calibri"/>
            </a:rPr>
            <a:pPr algn="l"/>
            <a:t>123</a:t>
          </a:fld>
          <a:endParaRPr lang="en-ZA" sz="4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581025</xdr:colOff>
      <xdr:row>10</xdr:row>
      <xdr:rowOff>19049</xdr:rowOff>
    </xdr:from>
    <xdr:to>
      <xdr:col>7</xdr:col>
      <xdr:colOff>38100</xdr:colOff>
      <xdr:row>12</xdr:row>
      <xdr:rowOff>38099</xdr:rowOff>
    </xdr:to>
    <xdr:sp macro="" textlink="">
      <xdr:nvSpPr>
        <xdr:cNvPr id="256" name="Rectangle: Rounded Corners 255">
          <a:extLst>
            <a:ext uri="{FF2B5EF4-FFF2-40B4-BE49-F238E27FC236}">
              <a16:creationId xmlns:a16="http://schemas.microsoft.com/office/drawing/2014/main" id="{428ACED9-751B-475C-B26F-1C5BC6084418}"/>
            </a:ext>
          </a:extLst>
        </xdr:cNvPr>
        <xdr:cNvSpPr/>
      </xdr:nvSpPr>
      <xdr:spPr>
        <a:xfrm>
          <a:off x="581025" y="1924049"/>
          <a:ext cx="3724275" cy="400050"/>
        </a:xfrm>
        <a:prstGeom prst="roundRect">
          <a:avLst>
            <a:gd name="adj" fmla="val 10606"/>
          </a:avLst>
        </a:prstGeom>
        <a:gradFill flip="none" rotWithShape="1">
          <a:gsLst>
            <a:gs pos="4000">
              <a:schemeClr val="accent6">
                <a:alpha val="91000"/>
              </a:schemeClr>
            </a:gs>
            <a:gs pos="39000">
              <a:schemeClr val="accent6">
                <a:lumMod val="75000"/>
              </a:schemeClr>
            </a:gs>
            <a:gs pos="100000">
              <a:schemeClr val="tx1">
                <a:lumMod val="75000"/>
                <a:lumOff val="2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85725</xdr:colOff>
      <xdr:row>9</xdr:row>
      <xdr:rowOff>161925</xdr:rowOff>
    </xdr:from>
    <xdr:to>
      <xdr:col>6</xdr:col>
      <xdr:colOff>304801</xdr:colOff>
      <xdr:row>12</xdr:row>
      <xdr:rowOff>121103</xdr:rowOff>
    </xdr:to>
    <xdr:sp macro="" textlink="">
      <xdr:nvSpPr>
        <xdr:cNvPr id="257" name="TextBox 256">
          <a:extLst>
            <a:ext uri="{FF2B5EF4-FFF2-40B4-BE49-F238E27FC236}">
              <a16:creationId xmlns:a16="http://schemas.microsoft.com/office/drawing/2014/main" id="{5B80166E-18A7-4D0C-AC8B-E9EEFD0C98A8}"/>
            </a:ext>
          </a:extLst>
        </xdr:cNvPr>
        <xdr:cNvSpPr txBox="1"/>
      </xdr:nvSpPr>
      <xdr:spPr>
        <a:xfrm>
          <a:off x="1304925" y="1876425"/>
          <a:ext cx="265747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ea typeface="+mn-ea"/>
              <a:cs typeface="Arial" panose="020B0604020202020204" pitchFamily="34" charset="0"/>
            </a:rPr>
            <a:t>VM RI</a:t>
          </a:r>
          <a:r>
            <a:rPr lang="en-ZA" sz="2400" b="1">
              <a:solidFill>
                <a:schemeClr val="bg1"/>
              </a:solidFill>
              <a:latin typeface="Arial" panose="020B0604020202020204" pitchFamily="34" charset="0"/>
              <a:cs typeface="Arial" panose="020B0604020202020204" pitchFamily="34" charset="0"/>
            </a:rPr>
            <a:t> </a:t>
          </a:r>
          <a:r>
            <a:rPr lang="en-ZA" sz="2400" b="1">
              <a:solidFill>
                <a:schemeClr val="bg1"/>
              </a:solidFill>
              <a:latin typeface="Arial" panose="020B0604020202020204" pitchFamily="34" charset="0"/>
              <a:ea typeface="+mn-ea"/>
              <a:cs typeface="Arial" panose="020B0604020202020204" pitchFamily="34" charset="0"/>
            </a:rPr>
            <a:t>Costs</a:t>
          </a:r>
        </a:p>
      </xdr:txBody>
    </xdr:sp>
    <xdr:clientData/>
  </xdr:twoCellAnchor>
  <xdr:twoCellAnchor>
    <xdr:from>
      <xdr:col>2</xdr:col>
      <xdr:colOff>95250</xdr:colOff>
      <xdr:row>13</xdr:row>
      <xdr:rowOff>28575</xdr:rowOff>
    </xdr:from>
    <xdr:to>
      <xdr:col>6</xdr:col>
      <xdr:colOff>295276</xdr:colOff>
      <xdr:row>15</xdr:row>
      <xdr:rowOff>178253</xdr:rowOff>
    </xdr:to>
    <xdr:sp macro="" textlink="">
      <xdr:nvSpPr>
        <xdr:cNvPr id="258" name="TextBox 257">
          <a:extLst>
            <a:ext uri="{FF2B5EF4-FFF2-40B4-BE49-F238E27FC236}">
              <a16:creationId xmlns:a16="http://schemas.microsoft.com/office/drawing/2014/main" id="{DF560412-5CE4-4FB2-9379-D852F3969CB1}"/>
            </a:ext>
          </a:extLst>
        </xdr:cNvPr>
        <xdr:cNvSpPr txBox="1"/>
      </xdr:nvSpPr>
      <xdr:spPr>
        <a:xfrm>
          <a:off x="1314450" y="2505075"/>
          <a:ext cx="263842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cs typeface="Arial" panose="020B0604020202020204" pitchFamily="34" charset="0"/>
            </a:rPr>
            <a:t>RI</a:t>
          </a:r>
          <a:r>
            <a:rPr lang="en-ZA" sz="2400" b="1" baseline="0">
              <a:solidFill>
                <a:schemeClr val="bg1"/>
              </a:solidFill>
              <a:latin typeface="Arial" panose="020B0604020202020204" pitchFamily="34" charset="0"/>
              <a:cs typeface="Arial" panose="020B0604020202020204" pitchFamily="34" charset="0"/>
            </a:rPr>
            <a:t> Details</a:t>
          </a:r>
          <a:endParaRPr lang="en-ZA" sz="2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42182</xdr:colOff>
      <xdr:row>8</xdr:row>
      <xdr:rowOff>180977</xdr:rowOff>
    </xdr:from>
    <xdr:to>
      <xdr:col>23</xdr:col>
      <xdr:colOff>393888</xdr:colOff>
      <xdr:row>18</xdr:row>
      <xdr:rowOff>90210</xdr:rowOff>
    </xdr:to>
    <xdr:grpSp>
      <xdr:nvGrpSpPr>
        <xdr:cNvPr id="259" name="Group 258">
          <a:extLst>
            <a:ext uri="{FF2B5EF4-FFF2-40B4-BE49-F238E27FC236}">
              <a16:creationId xmlns:a16="http://schemas.microsoft.com/office/drawing/2014/main" id="{E57B8131-8C30-491F-8DD6-1FAFE2254BF8}"/>
            </a:ext>
          </a:extLst>
        </xdr:cNvPr>
        <xdr:cNvGrpSpPr/>
      </xdr:nvGrpSpPr>
      <xdr:grpSpPr>
        <a:xfrm>
          <a:off x="9021082" y="1654177"/>
          <a:ext cx="6123856" cy="1750733"/>
          <a:chOff x="5839545" y="1710017"/>
          <a:chExt cx="5838106" cy="1814233"/>
        </a:xfrm>
      </xdr:grpSpPr>
      <xdr:sp macro="" textlink="">
        <xdr:nvSpPr>
          <xdr:cNvPr id="260" name="Rectangle: Rounded Corners 259">
            <a:extLst>
              <a:ext uri="{FF2B5EF4-FFF2-40B4-BE49-F238E27FC236}">
                <a16:creationId xmlns:a16="http://schemas.microsoft.com/office/drawing/2014/main" id="{6F603CB2-9285-47E6-91F3-2C4AEEDDB591}"/>
              </a:ext>
            </a:extLst>
          </xdr:cNvPr>
          <xdr:cNvSpPr/>
        </xdr:nvSpPr>
        <xdr:spPr>
          <a:xfrm>
            <a:off x="5839545" y="1710017"/>
            <a:ext cx="5838106" cy="1795184"/>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61" name="Chart 260">
            <a:extLst>
              <a:ext uri="{FF2B5EF4-FFF2-40B4-BE49-F238E27FC236}">
                <a16:creationId xmlns:a16="http://schemas.microsoft.com/office/drawing/2014/main" id="{B3376946-2621-4818-9993-588A62546D94}"/>
              </a:ext>
            </a:extLst>
          </xdr:cNvPr>
          <xdr:cNvGraphicFramePr>
            <a:graphicFrameLocks/>
          </xdr:cNvGraphicFramePr>
        </xdr:nvGraphicFramePr>
        <xdr:xfrm>
          <a:off x="5867400" y="1714500"/>
          <a:ext cx="5753100" cy="180975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2</xdr:row>
      <xdr:rowOff>47625</xdr:rowOff>
    </xdr:from>
    <xdr:to>
      <xdr:col>28</xdr:col>
      <xdr:colOff>495300</xdr:colOff>
      <xdr:row>36</xdr:row>
      <xdr:rowOff>171450</xdr:rowOff>
    </xdr:to>
    <xdr:sp macro="" textlink="">
      <xdr:nvSpPr>
        <xdr:cNvPr id="2" name="Rectangle: Rounded Corners 1">
          <a:extLst>
            <a:ext uri="{FF2B5EF4-FFF2-40B4-BE49-F238E27FC236}">
              <a16:creationId xmlns:a16="http://schemas.microsoft.com/office/drawing/2014/main" id="{813FBC7F-5688-4714-B220-4E2D4BB48C15}"/>
            </a:ext>
          </a:extLst>
        </xdr:cNvPr>
        <xdr:cNvSpPr/>
      </xdr:nvSpPr>
      <xdr:spPr>
        <a:xfrm>
          <a:off x="581025" y="428625"/>
          <a:ext cx="16983075" cy="6600825"/>
        </a:xfrm>
        <a:prstGeom prst="roundRect">
          <a:avLst>
            <a:gd name="adj" fmla="val 10606"/>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19770</xdr:colOff>
      <xdr:row>2</xdr:row>
      <xdr:rowOff>33617</xdr:rowOff>
    </xdr:from>
    <xdr:to>
      <xdr:col>28</xdr:col>
      <xdr:colOff>546366</xdr:colOff>
      <xdr:row>36</xdr:row>
      <xdr:rowOff>169768</xdr:rowOff>
    </xdr:to>
    <xdr:sp macro="" textlink="">
      <xdr:nvSpPr>
        <xdr:cNvPr id="3" name="Rectangle: Rounded Corners 2">
          <a:extLst>
            <a:ext uri="{FF2B5EF4-FFF2-40B4-BE49-F238E27FC236}">
              <a16:creationId xmlns:a16="http://schemas.microsoft.com/office/drawing/2014/main" id="{61FCD225-2DCA-4494-A73B-A541B7DCC424}"/>
            </a:ext>
          </a:extLst>
        </xdr:cNvPr>
        <xdr:cNvSpPr/>
      </xdr:nvSpPr>
      <xdr:spPr>
        <a:xfrm>
          <a:off x="629370" y="414617"/>
          <a:ext cx="16985796" cy="6613151"/>
        </a:xfrm>
        <a:prstGeom prst="roundRect">
          <a:avLst>
            <a:gd name="adj" fmla="val 10606"/>
          </a:avLst>
        </a:prstGeom>
        <a:gradFill>
          <a:gsLst>
            <a:gs pos="0">
              <a:srgbClr val="1E2D31"/>
            </a:gs>
            <a:gs pos="30000">
              <a:srgbClr val="232227"/>
            </a:gs>
            <a:gs pos="100000">
              <a:srgbClr val="2F292D"/>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xdr:col>
      <xdr:colOff>19071</xdr:colOff>
      <xdr:row>0</xdr:row>
      <xdr:rowOff>176894</xdr:rowOff>
    </xdr:from>
    <xdr:to>
      <xdr:col>7</xdr:col>
      <xdr:colOff>40822</xdr:colOff>
      <xdr:row>10</xdr:row>
      <xdr:rowOff>109199</xdr:rowOff>
    </xdr:to>
    <xdr:pic>
      <xdr:nvPicPr>
        <xdr:cNvPr id="4" name="Picture 3">
          <a:extLst>
            <a:ext uri="{FF2B5EF4-FFF2-40B4-BE49-F238E27FC236}">
              <a16:creationId xmlns:a16="http://schemas.microsoft.com/office/drawing/2014/main" id="{7D7F6D68-2343-409B-9FA7-27CACFE5A2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28671" y="176894"/>
          <a:ext cx="3679351" cy="1837305"/>
        </a:xfrm>
        <a:prstGeom prst="rect">
          <a:avLst/>
        </a:prstGeom>
      </xdr:spPr>
    </xdr:pic>
    <xdr:clientData/>
  </xdr:twoCellAnchor>
  <xdr:twoCellAnchor>
    <xdr:from>
      <xdr:col>9</xdr:col>
      <xdr:colOff>213632</xdr:colOff>
      <xdr:row>3</xdr:row>
      <xdr:rowOff>180977</xdr:rowOff>
    </xdr:from>
    <xdr:to>
      <xdr:col>18</xdr:col>
      <xdr:colOff>121103</xdr:colOff>
      <xdr:row>6</xdr:row>
      <xdr:rowOff>140155</xdr:rowOff>
    </xdr:to>
    <xdr:sp macro="" textlink="">
      <xdr:nvSpPr>
        <xdr:cNvPr id="5" name="TextBox 4">
          <a:extLst>
            <a:ext uri="{FF2B5EF4-FFF2-40B4-BE49-F238E27FC236}">
              <a16:creationId xmlns:a16="http://schemas.microsoft.com/office/drawing/2014/main" id="{8F0F6EF0-0372-4985-8C12-CB97AC39A8B7}"/>
            </a:ext>
          </a:extLst>
        </xdr:cNvPr>
        <xdr:cNvSpPr txBox="1"/>
      </xdr:nvSpPr>
      <xdr:spPr>
        <a:xfrm>
          <a:off x="5700032" y="752477"/>
          <a:ext cx="539387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800" b="1">
              <a:solidFill>
                <a:schemeClr val="bg1"/>
              </a:solidFill>
              <a:latin typeface="Arial" panose="020B0604020202020204" pitchFamily="34" charset="0"/>
              <a:cs typeface="Arial" panose="020B0604020202020204" pitchFamily="34" charset="0"/>
            </a:rPr>
            <a:t>Comparisson of VM Costs</a:t>
          </a:r>
        </a:p>
      </xdr:txBody>
    </xdr:sp>
    <xdr:clientData/>
  </xdr:twoCellAnchor>
  <xdr:twoCellAnchor>
    <xdr:from>
      <xdr:col>23</xdr:col>
      <xdr:colOff>486495</xdr:colOff>
      <xdr:row>7</xdr:row>
      <xdr:rowOff>90767</xdr:rowOff>
    </xdr:from>
    <xdr:to>
      <xdr:col>28</xdr:col>
      <xdr:colOff>316483</xdr:colOff>
      <xdr:row>19</xdr:row>
      <xdr:rowOff>148115</xdr:rowOff>
    </xdr:to>
    <xdr:grpSp>
      <xdr:nvGrpSpPr>
        <xdr:cNvPr id="6" name="Group 5">
          <a:extLst>
            <a:ext uri="{FF2B5EF4-FFF2-40B4-BE49-F238E27FC236}">
              <a16:creationId xmlns:a16="http://schemas.microsoft.com/office/drawing/2014/main" id="{0F35CD6B-4EF0-4B60-BC2B-179A78EA1C2A}"/>
            </a:ext>
          </a:extLst>
        </xdr:cNvPr>
        <xdr:cNvGrpSpPr/>
      </xdr:nvGrpSpPr>
      <xdr:grpSpPr>
        <a:xfrm>
          <a:off x="15237545" y="1379817"/>
          <a:ext cx="3036738" cy="2267148"/>
          <a:chOff x="4620986" y="1469572"/>
          <a:chExt cx="2877988" cy="2343348"/>
        </a:xfrm>
      </xdr:grpSpPr>
      <xdr:grpSp>
        <xdr:nvGrpSpPr>
          <xdr:cNvPr id="7" name="Group 6">
            <a:extLst>
              <a:ext uri="{FF2B5EF4-FFF2-40B4-BE49-F238E27FC236}">
                <a16:creationId xmlns:a16="http://schemas.microsoft.com/office/drawing/2014/main" id="{FE9125C7-5D2C-4423-8454-76A566F865BF}"/>
              </a:ext>
            </a:extLst>
          </xdr:cNvPr>
          <xdr:cNvGrpSpPr/>
        </xdr:nvGrpSpPr>
        <xdr:grpSpPr>
          <a:xfrm>
            <a:off x="4620986" y="1469572"/>
            <a:ext cx="2877988" cy="2343348"/>
            <a:chOff x="4620986" y="1469572"/>
            <a:chExt cx="2877988" cy="2343348"/>
          </a:xfrm>
        </xdr:grpSpPr>
        <xdr:grpSp>
          <xdr:nvGrpSpPr>
            <xdr:cNvPr id="9" name="Group 8">
              <a:extLst>
                <a:ext uri="{FF2B5EF4-FFF2-40B4-BE49-F238E27FC236}">
                  <a16:creationId xmlns:a16="http://schemas.microsoft.com/office/drawing/2014/main" id="{B858FE9E-D821-4371-8066-7D3558728842}"/>
                </a:ext>
              </a:extLst>
            </xdr:cNvPr>
            <xdr:cNvGrpSpPr/>
          </xdr:nvGrpSpPr>
          <xdr:grpSpPr>
            <a:xfrm>
              <a:off x="4620986" y="1469572"/>
              <a:ext cx="2877988" cy="2343348"/>
              <a:chOff x="18369643" y="2286000"/>
              <a:chExt cx="2891595" cy="2343348"/>
            </a:xfrm>
          </xdr:grpSpPr>
          <xdr:sp macro="" textlink="">
            <xdr:nvSpPr>
              <xdr:cNvPr id="11" name="Freeform: Shape 10">
                <a:extLst>
                  <a:ext uri="{FF2B5EF4-FFF2-40B4-BE49-F238E27FC236}">
                    <a16:creationId xmlns:a16="http://schemas.microsoft.com/office/drawing/2014/main" id="{DD15134B-035E-4E28-B70F-CBB68F506130}"/>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gradFill>
                    <a:gsLst>
                      <a:gs pos="0">
                        <a:schemeClr val="accent2"/>
                      </a:gs>
                      <a:gs pos="17000">
                        <a:schemeClr val="accent2">
                          <a:lumMod val="75000"/>
                        </a:schemeClr>
                      </a:gs>
                      <a:gs pos="100000">
                        <a:schemeClr val="accent4"/>
                      </a:gs>
                    </a:gsLst>
                    <a:lin ang="2700000" scaled="1"/>
                  </a:gradFill>
                </a:endParaRPr>
              </a:p>
            </xdr:txBody>
          </xdr:sp>
          <xdr:sp macro="" textlink="">
            <xdr:nvSpPr>
              <xdr:cNvPr id="12" name="Freeform: Shape 11">
                <a:extLst>
                  <a:ext uri="{FF2B5EF4-FFF2-40B4-BE49-F238E27FC236}">
                    <a16:creationId xmlns:a16="http://schemas.microsoft.com/office/drawing/2014/main" id="{552A1974-819E-4A63-9896-95DFDF697474}"/>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10" name="TextBox 9">
              <a:extLst>
                <a:ext uri="{FF2B5EF4-FFF2-40B4-BE49-F238E27FC236}">
                  <a16:creationId xmlns:a16="http://schemas.microsoft.com/office/drawing/2014/main" id="{AAB36861-B9CD-47AE-B0BC-37BF95049AA4}"/>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Savings</a:t>
              </a:r>
            </a:p>
          </xdr:txBody>
        </xdr:sp>
      </xdr:grpSp>
      <xdr:sp macro="" textlink="'Dashboard Workings'!D65">
        <xdr:nvSpPr>
          <xdr:cNvPr id="8" name="TextBox 7">
            <a:extLst>
              <a:ext uri="{FF2B5EF4-FFF2-40B4-BE49-F238E27FC236}">
                <a16:creationId xmlns:a16="http://schemas.microsoft.com/office/drawing/2014/main" id="{A24DEEC7-5F2B-449F-8EF8-7C05672C11D8}"/>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3E3A04-E3FC-47EA-8FFC-3499D9C692D3}" type="TxLink">
              <a:rPr lang="en-US" sz="1600" b="1" i="0" u="none" strike="noStrike">
                <a:solidFill>
                  <a:schemeClr val="bg1"/>
                </a:solidFill>
                <a:latin typeface="Calibri"/>
                <a:cs typeface="Calibri"/>
              </a:rPr>
              <a:pPr algn="r"/>
              <a:t>£ -19888.39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9</xdr:col>
      <xdr:colOff>229961</xdr:colOff>
      <xdr:row>7</xdr:row>
      <xdr:rowOff>119342</xdr:rowOff>
    </xdr:from>
    <xdr:to>
      <xdr:col>14</xdr:col>
      <xdr:colOff>59949</xdr:colOff>
      <xdr:row>19</xdr:row>
      <xdr:rowOff>176690</xdr:rowOff>
    </xdr:to>
    <xdr:grpSp>
      <xdr:nvGrpSpPr>
        <xdr:cNvPr id="13" name="Group 12">
          <a:extLst>
            <a:ext uri="{FF2B5EF4-FFF2-40B4-BE49-F238E27FC236}">
              <a16:creationId xmlns:a16="http://schemas.microsoft.com/office/drawing/2014/main" id="{B42A4D39-2B29-44EB-8C35-3F57AE2FEA66}"/>
            </a:ext>
          </a:extLst>
        </xdr:cNvPr>
        <xdr:cNvGrpSpPr/>
      </xdr:nvGrpSpPr>
      <xdr:grpSpPr>
        <a:xfrm>
          <a:off x="6002111" y="1408392"/>
          <a:ext cx="3036738" cy="2267148"/>
          <a:chOff x="4620986" y="1469572"/>
          <a:chExt cx="2877988" cy="2343348"/>
        </a:xfrm>
      </xdr:grpSpPr>
      <xdr:grpSp>
        <xdr:nvGrpSpPr>
          <xdr:cNvPr id="14" name="Group 13">
            <a:extLst>
              <a:ext uri="{FF2B5EF4-FFF2-40B4-BE49-F238E27FC236}">
                <a16:creationId xmlns:a16="http://schemas.microsoft.com/office/drawing/2014/main" id="{83449B21-A8A8-43B3-B743-8F2EE533B769}"/>
              </a:ext>
            </a:extLst>
          </xdr:cNvPr>
          <xdr:cNvGrpSpPr/>
        </xdr:nvGrpSpPr>
        <xdr:grpSpPr>
          <a:xfrm>
            <a:off x="4620986" y="1469572"/>
            <a:ext cx="2877988" cy="2343348"/>
            <a:chOff x="4620986" y="1469572"/>
            <a:chExt cx="2877988" cy="2343348"/>
          </a:xfrm>
        </xdr:grpSpPr>
        <xdr:grpSp>
          <xdr:nvGrpSpPr>
            <xdr:cNvPr id="16" name="Group 15">
              <a:extLst>
                <a:ext uri="{FF2B5EF4-FFF2-40B4-BE49-F238E27FC236}">
                  <a16:creationId xmlns:a16="http://schemas.microsoft.com/office/drawing/2014/main" id="{9B65FEDF-BF4A-4E89-8B2A-5F91A5253C99}"/>
                </a:ext>
              </a:extLst>
            </xdr:cNvPr>
            <xdr:cNvGrpSpPr/>
          </xdr:nvGrpSpPr>
          <xdr:grpSpPr>
            <a:xfrm>
              <a:off x="4620986" y="1469572"/>
              <a:ext cx="2877988" cy="2343348"/>
              <a:chOff x="18369643" y="2286000"/>
              <a:chExt cx="2891595" cy="2343348"/>
            </a:xfrm>
          </xdr:grpSpPr>
          <xdr:sp macro="" textlink="">
            <xdr:nvSpPr>
              <xdr:cNvPr id="18" name="Freeform: Shape 17">
                <a:extLst>
                  <a:ext uri="{FF2B5EF4-FFF2-40B4-BE49-F238E27FC236}">
                    <a16:creationId xmlns:a16="http://schemas.microsoft.com/office/drawing/2014/main" id="{17577276-AFC4-440F-AA4E-DB4192CE79EC}"/>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sp macro="" textlink="">
            <xdr:nvSpPr>
              <xdr:cNvPr id="19" name="Freeform: Shape 18">
                <a:extLst>
                  <a:ext uri="{FF2B5EF4-FFF2-40B4-BE49-F238E27FC236}">
                    <a16:creationId xmlns:a16="http://schemas.microsoft.com/office/drawing/2014/main" id="{FE0DAABB-3D46-47E0-B740-19A4400CB020}"/>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17" name="TextBox 16">
              <a:extLst>
                <a:ext uri="{FF2B5EF4-FFF2-40B4-BE49-F238E27FC236}">
                  <a16:creationId xmlns:a16="http://schemas.microsoft.com/office/drawing/2014/main" id="{831265FA-7DCE-42EA-B41D-C3FC2C310537}"/>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RI</a:t>
              </a:r>
              <a:r>
                <a:rPr lang="en-ZA" sz="1600" b="1" baseline="0">
                  <a:solidFill>
                    <a:schemeClr val="bg1"/>
                  </a:solidFill>
                  <a:latin typeface="Arial" panose="020B0604020202020204" pitchFamily="34" charset="0"/>
                  <a:cs typeface="Arial" panose="020B0604020202020204" pitchFamily="34" charset="0"/>
                </a:rPr>
                <a:t> Monthly Cost</a:t>
              </a:r>
              <a:endParaRPr lang="en-ZA" sz="1600" b="1">
                <a:solidFill>
                  <a:schemeClr val="bg1"/>
                </a:solidFill>
                <a:latin typeface="Arial" panose="020B0604020202020204" pitchFamily="34" charset="0"/>
                <a:cs typeface="Arial" panose="020B0604020202020204" pitchFamily="34" charset="0"/>
              </a:endParaRPr>
            </a:p>
          </xdr:txBody>
        </xdr:sp>
      </xdr:grpSp>
      <xdr:sp macro="" textlink="'Dashboard Workings'!D66">
        <xdr:nvSpPr>
          <xdr:cNvPr id="15" name="TextBox 14">
            <a:extLst>
              <a:ext uri="{FF2B5EF4-FFF2-40B4-BE49-F238E27FC236}">
                <a16:creationId xmlns:a16="http://schemas.microsoft.com/office/drawing/2014/main" id="{F283D6AB-8326-4F71-97EC-594343532298}"/>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961CB0B-D7D1-47E6-80CE-33B05F6DBFB3}" type="TxLink">
              <a:rPr lang="en-US" sz="1600" b="1" i="0" u="none" strike="noStrike">
                <a:solidFill>
                  <a:schemeClr val="bg1"/>
                </a:solidFill>
                <a:latin typeface="Calibri"/>
                <a:cs typeface="Calibri"/>
              </a:rPr>
              <a:pPr algn="r"/>
              <a:t>£ 12413.04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9</xdr:col>
      <xdr:colOff>315044</xdr:colOff>
      <xdr:row>19</xdr:row>
      <xdr:rowOff>81241</xdr:rowOff>
    </xdr:from>
    <xdr:to>
      <xdr:col>28</xdr:col>
      <xdr:colOff>494490</xdr:colOff>
      <xdr:row>35</xdr:row>
      <xdr:rowOff>104774</xdr:rowOff>
    </xdr:to>
    <xdr:grpSp>
      <xdr:nvGrpSpPr>
        <xdr:cNvPr id="20" name="Group 19">
          <a:extLst>
            <a:ext uri="{FF2B5EF4-FFF2-40B4-BE49-F238E27FC236}">
              <a16:creationId xmlns:a16="http://schemas.microsoft.com/office/drawing/2014/main" id="{03573249-F712-4B78-8374-532822D2EE36}"/>
            </a:ext>
          </a:extLst>
        </xdr:cNvPr>
        <xdr:cNvGrpSpPr/>
      </xdr:nvGrpSpPr>
      <xdr:grpSpPr>
        <a:xfrm>
          <a:off x="6087194" y="3580091"/>
          <a:ext cx="12365096" cy="2969933"/>
          <a:chOff x="2991569" y="3767416"/>
          <a:chExt cx="11761846" cy="3071533"/>
        </a:xfrm>
      </xdr:grpSpPr>
      <xdr:sp macro="" textlink="">
        <xdr:nvSpPr>
          <xdr:cNvPr id="21" name="Rectangle: Rounded Corners 20">
            <a:extLst>
              <a:ext uri="{FF2B5EF4-FFF2-40B4-BE49-F238E27FC236}">
                <a16:creationId xmlns:a16="http://schemas.microsoft.com/office/drawing/2014/main" id="{CB448B44-A7A8-4C5A-97AF-E80A137DCFAD}"/>
              </a:ext>
            </a:extLst>
          </xdr:cNvPr>
          <xdr:cNvSpPr/>
        </xdr:nvSpPr>
        <xdr:spPr>
          <a:xfrm>
            <a:off x="2991569" y="3767416"/>
            <a:ext cx="11543581" cy="3071533"/>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EA8B7FE3-0F44-463B-85FE-388DC8A5C880}"/>
              </a:ext>
            </a:extLst>
          </xdr:cNvPr>
          <xdr:cNvGrpSpPr/>
        </xdr:nvGrpSpPr>
        <xdr:grpSpPr>
          <a:xfrm>
            <a:off x="3094691" y="3867151"/>
            <a:ext cx="2055870" cy="2476500"/>
            <a:chOff x="3094691" y="3867151"/>
            <a:chExt cx="2055870" cy="2476500"/>
          </a:xfrm>
        </xdr:grpSpPr>
        <xdr:grpSp>
          <xdr:nvGrpSpPr>
            <xdr:cNvPr id="219" name="Group 218">
              <a:extLst>
                <a:ext uri="{FF2B5EF4-FFF2-40B4-BE49-F238E27FC236}">
                  <a16:creationId xmlns:a16="http://schemas.microsoft.com/office/drawing/2014/main" id="{70AF0A6E-3740-4ADB-85A6-8D9DFABB1E99}"/>
                </a:ext>
              </a:extLst>
            </xdr:cNvPr>
            <xdr:cNvGrpSpPr/>
          </xdr:nvGrpSpPr>
          <xdr:grpSpPr>
            <a:xfrm>
              <a:off x="3094691" y="3867151"/>
              <a:ext cx="2055870" cy="2476500"/>
              <a:chOff x="3094691" y="3867151"/>
              <a:chExt cx="2055870" cy="2476500"/>
            </a:xfrm>
          </xdr:grpSpPr>
          <xdr:grpSp>
            <xdr:nvGrpSpPr>
              <xdr:cNvPr id="241" name="Group 240">
                <a:extLst>
                  <a:ext uri="{FF2B5EF4-FFF2-40B4-BE49-F238E27FC236}">
                    <a16:creationId xmlns:a16="http://schemas.microsoft.com/office/drawing/2014/main" id="{794988DD-E149-447D-B355-A4BA74C9F732}"/>
                  </a:ext>
                </a:extLst>
              </xdr:cNvPr>
              <xdr:cNvGrpSpPr/>
            </xdr:nvGrpSpPr>
            <xdr:grpSpPr>
              <a:xfrm>
                <a:off x="3094691" y="3867151"/>
                <a:ext cx="1734484" cy="2476500"/>
                <a:chOff x="3094691" y="3867151"/>
                <a:chExt cx="1734484" cy="2476500"/>
              </a:xfrm>
            </xdr:grpSpPr>
            <xdr:sp macro="" textlink="">
              <xdr:nvSpPr>
                <xdr:cNvPr id="247" name="Rectangle: Rounded Corners 246">
                  <a:extLst>
                    <a:ext uri="{FF2B5EF4-FFF2-40B4-BE49-F238E27FC236}">
                      <a16:creationId xmlns:a16="http://schemas.microsoft.com/office/drawing/2014/main" id="{3C28DF0D-2B16-4A3D-BAF3-73676565CCDC}"/>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8" name="TextBox 247">
                  <a:extLst>
                    <a:ext uri="{FF2B5EF4-FFF2-40B4-BE49-F238E27FC236}">
                      <a16:creationId xmlns:a16="http://schemas.microsoft.com/office/drawing/2014/main" id="{881E4AFC-0404-46F5-8105-E8ED2C7AE7D6}"/>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B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242" name="Group 241">
                <a:extLst>
                  <a:ext uri="{FF2B5EF4-FFF2-40B4-BE49-F238E27FC236}">
                    <a16:creationId xmlns:a16="http://schemas.microsoft.com/office/drawing/2014/main" id="{D0439844-E82F-4643-818D-1D94646AD2F1}"/>
                  </a:ext>
                </a:extLst>
              </xdr:cNvPr>
              <xdr:cNvGrpSpPr/>
            </xdr:nvGrpSpPr>
            <xdr:grpSpPr>
              <a:xfrm>
                <a:off x="3095625" y="4276724"/>
                <a:ext cx="2054936" cy="304397"/>
                <a:chOff x="3095625" y="4229099"/>
                <a:chExt cx="2054936" cy="304397"/>
              </a:xfrm>
            </xdr:grpSpPr>
            <xdr:sp macro="" textlink="">
              <xdr:nvSpPr>
                <xdr:cNvPr id="243" name="Rectangle: Rounded Corners 242">
                  <a:extLst>
                    <a:ext uri="{FF2B5EF4-FFF2-40B4-BE49-F238E27FC236}">
                      <a16:creationId xmlns:a16="http://schemas.microsoft.com/office/drawing/2014/main" id="{5A0F5677-8615-44CC-BE70-21CFFF91002F}"/>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44" name="Group 243">
                  <a:extLst>
                    <a:ext uri="{FF2B5EF4-FFF2-40B4-BE49-F238E27FC236}">
                      <a16:creationId xmlns:a16="http://schemas.microsoft.com/office/drawing/2014/main" id="{694F7C5A-1322-45DD-87FA-E767B9B223EC}"/>
                    </a:ext>
                  </a:extLst>
                </xdr:cNvPr>
                <xdr:cNvGrpSpPr/>
              </xdr:nvGrpSpPr>
              <xdr:grpSpPr>
                <a:xfrm>
                  <a:off x="3152775" y="4238624"/>
                  <a:ext cx="1997786" cy="294872"/>
                  <a:chOff x="8410575" y="3800474"/>
                  <a:chExt cx="1997786" cy="294872"/>
                </a:xfrm>
              </xdr:grpSpPr>
              <xdr:sp macro="" textlink="">
                <xdr:nvSpPr>
                  <xdr:cNvPr id="245" name="TextBox 244">
                    <a:extLst>
                      <a:ext uri="{FF2B5EF4-FFF2-40B4-BE49-F238E27FC236}">
                        <a16:creationId xmlns:a16="http://schemas.microsoft.com/office/drawing/2014/main" id="{2DD2DFCD-DBCE-4476-8D83-30E2BE9C12B4}"/>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46" name="TextBox 245">
                    <a:extLst>
                      <a:ext uri="{FF2B5EF4-FFF2-40B4-BE49-F238E27FC236}">
                        <a16:creationId xmlns:a16="http://schemas.microsoft.com/office/drawing/2014/main" id="{1958DE0A-47B2-4EB0-A6F7-54396D861432}"/>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220" name="Group 219">
              <a:extLst>
                <a:ext uri="{FF2B5EF4-FFF2-40B4-BE49-F238E27FC236}">
                  <a16:creationId xmlns:a16="http://schemas.microsoft.com/office/drawing/2014/main" id="{329CBA2F-055C-4CDA-B98E-5D3B01A7FB5E}"/>
                </a:ext>
              </a:extLst>
            </xdr:cNvPr>
            <xdr:cNvGrpSpPr/>
          </xdr:nvGrpSpPr>
          <xdr:grpSpPr>
            <a:xfrm>
              <a:off x="3162300" y="4615142"/>
              <a:ext cx="1715220" cy="1495022"/>
              <a:chOff x="3162300" y="4615142"/>
              <a:chExt cx="1715220" cy="1495022"/>
            </a:xfrm>
          </xdr:grpSpPr>
          <xdr:grpSp>
            <xdr:nvGrpSpPr>
              <xdr:cNvPr id="221" name="Group 220">
                <a:extLst>
                  <a:ext uri="{FF2B5EF4-FFF2-40B4-BE49-F238E27FC236}">
                    <a16:creationId xmlns:a16="http://schemas.microsoft.com/office/drawing/2014/main" id="{251E5748-31BF-4B71-A034-6AADDE96446C}"/>
                  </a:ext>
                </a:extLst>
              </xdr:cNvPr>
              <xdr:cNvGrpSpPr/>
            </xdr:nvGrpSpPr>
            <xdr:grpSpPr>
              <a:xfrm>
                <a:off x="3162300" y="4615142"/>
                <a:ext cx="1714500" cy="294872"/>
                <a:chOff x="3162300" y="4596092"/>
                <a:chExt cx="1714500" cy="294872"/>
              </a:xfrm>
            </xdr:grpSpPr>
            <xdr:sp macro="" textlink="">
              <xdr:nvSpPr>
                <xdr:cNvPr id="238" name="TextBox 237">
                  <a:extLst>
                    <a:ext uri="{FF2B5EF4-FFF2-40B4-BE49-F238E27FC236}">
                      <a16:creationId xmlns:a16="http://schemas.microsoft.com/office/drawing/2014/main" id="{2B4265DA-1095-407E-B613-AB2FAD25C49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B1ms</a:t>
                  </a:r>
                </a:p>
              </xdr:txBody>
            </xdr:sp>
            <xdr:sp macro="" textlink="'Dashboard Workings'!BW2">
              <xdr:nvSpPr>
                <xdr:cNvPr id="239" name="TextBox 238">
                  <a:extLst>
                    <a:ext uri="{FF2B5EF4-FFF2-40B4-BE49-F238E27FC236}">
                      <a16:creationId xmlns:a16="http://schemas.microsoft.com/office/drawing/2014/main" id="{9FF91C80-FDBD-4D11-9C59-55FD767343B0}"/>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F64D144-0D55-4E07-9FA9-5ADC4C6EAE4C}"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
              <xdr:nvSpPr>
                <xdr:cNvPr id="240" name="TextBox 239">
                  <a:extLst>
                    <a:ext uri="{FF2B5EF4-FFF2-40B4-BE49-F238E27FC236}">
                      <a16:creationId xmlns:a16="http://schemas.microsoft.com/office/drawing/2014/main" id="{50F1FCF6-31F8-48A0-B04F-3D31BBB38AB4}"/>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7B3CF0-A7C1-45F3-B654-EA24435665CC}"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2" name="Group 221">
                <a:extLst>
                  <a:ext uri="{FF2B5EF4-FFF2-40B4-BE49-F238E27FC236}">
                    <a16:creationId xmlns:a16="http://schemas.microsoft.com/office/drawing/2014/main" id="{F4C246CC-4257-48B3-805A-DF1D02CD3748}"/>
                  </a:ext>
                </a:extLst>
              </xdr:cNvPr>
              <xdr:cNvGrpSpPr/>
            </xdr:nvGrpSpPr>
            <xdr:grpSpPr>
              <a:xfrm>
                <a:off x="3162300" y="4919942"/>
                <a:ext cx="1714500" cy="294872"/>
                <a:chOff x="3162300" y="4596092"/>
                <a:chExt cx="1714500" cy="294872"/>
              </a:xfrm>
            </xdr:grpSpPr>
            <xdr:sp macro="" textlink="">
              <xdr:nvSpPr>
                <xdr:cNvPr id="235" name="TextBox 234">
                  <a:extLst>
                    <a:ext uri="{FF2B5EF4-FFF2-40B4-BE49-F238E27FC236}">
                      <a16:creationId xmlns:a16="http://schemas.microsoft.com/office/drawing/2014/main" id="{020FC00E-CD06-41E0-B912-ACB7ABEB839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B2ms</a:t>
                  </a:r>
                </a:p>
              </xdr:txBody>
            </xdr:sp>
            <xdr:sp macro="" textlink="'Dashboard Workings'!BW3">
              <xdr:nvSpPr>
                <xdr:cNvPr id="236" name="TextBox 235">
                  <a:extLst>
                    <a:ext uri="{FF2B5EF4-FFF2-40B4-BE49-F238E27FC236}">
                      <a16:creationId xmlns:a16="http://schemas.microsoft.com/office/drawing/2014/main" id="{C416580A-AA8E-41D1-98B7-392E172BD952}"/>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A7121F3-CC49-4CDC-A74A-1044FD6888E4}"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3">
              <xdr:nvSpPr>
                <xdr:cNvPr id="237" name="TextBox 236">
                  <a:extLst>
                    <a:ext uri="{FF2B5EF4-FFF2-40B4-BE49-F238E27FC236}">
                      <a16:creationId xmlns:a16="http://schemas.microsoft.com/office/drawing/2014/main" id="{44E230D4-88E2-4A96-AF44-6F831C4EA15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98C339A-2EA4-485F-8E1A-F166E4F6800C}"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3" name="Group 222">
                <a:extLst>
                  <a:ext uri="{FF2B5EF4-FFF2-40B4-BE49-F238E27FC236}">
                    <a16:creationId xmlns:a16="http://schemas.microsoft.com/office/drawing/2014/main" id="{E51E6A2B-97C2-4BF0-A86F-1889667F2984}"/>
                  </a:ext>
                </a:extLst>
              </xdr:cNvPr>
              <xdr:cNvGrpSpPr/>
            </xdr:nvGrpSpPr>
            <xdr:grpSpPr>
              <a:xfrm>
                <a:off x="3163020" y="5224742"/>
                <a:ext cx="1714500" cy="294872"/>
                <a:chOff x="3162300" y="4596092"/>
                <a:chExt cx="1714500" cy="294872"/>
              </a:xfrm>
            </xdr:grpSpPr>
            <xdr:sp macro="" textlink="">
              <xdr:nvSpPr>
                <xdr:cNvPr id="232" name="TextBox 231">
                  <a:extLst>
                    <a:ext uri="{FF2B5EF4-FFF2-40B4-BE49-F238E27FC236}">
                      <a16:creationId xmlns:a16="http://schemas.microsoft.com/office/drawing/2014/main" id="{D8AF4CDF-9493-47DB-813B-1B4793F663D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B4ms</a:t>
                  </a:r>
                </a:p>
              </xdr:txBody>
            </xdr:sp>
            <xdr:sp macro="" textlink="'Dashboard Workings'!BW4">
              <xdr:nvSpPr>
                <xdr:cNvPr id="233" name="TextBox 232">
                  <a:extLst>
                    <a:ext uri="{FF2B5EF4-FFF2-40B4-BE49-F238E27FC236}">
                      <a16:creationId xmlns:a16="http://schemas.microsoft.com/office/drawing/2014/main" id="{6F5F74BA-8956-4007-915F-D1C8C8515CC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82BA26-C446-4924-ACB0-6469AFF898DF}"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4">
              <xdr:nvSpPr>
                <xdr:cNvPr id="234" name="TextBox 233">
                  <a:extLst>
                    <a:ext uri="{FF2B5EF4-FFF2-40B4-BE49-F238E27FC236}">
                      <a16:creationId xmlns:a16="http://schemas.microsoft.com/office/drawing/2014/main" id="{B0C6106C-8352-470A-842C-C1391BCFAD02}"/>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DAC567-56D9-4BA4-822B-CCA06538F63A}"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4" name="Group 223">
                <a:extLst>
                  <a:ext uri="{FF2B5EF4-FFF2-40B4-BE49-F238E27FC236}">
                    <a16:creationId xmlns:a16="http://schemas.microsoft.com/office/drawing/2014/main" id="{ECFE53E8-F3BC-4D07-8E83-57B9DE800B4E}"/>
                  </a:ext>
                </a:extLst>
              </xdr:cNvPr>
              <xdr:cNvGrpSpPr/>
            </xdr:nvGrpSpPr>
            <xdr:grpSpPr>
              <a:xfrm>
                <a:off x="3163020" y="5520017"/>
                <a:ext cx="1714500" cy="294872"/>
                <a:chOff x="3162300" y="4596092"/>
                <a:chExt cx="1714500" cy="294872"/>
              </a:xfrm>
            </xdr:grpSpPr>
            <xdr:sp macro="" textlink="">
              <xdr:nvSpPr>
                <xdr:cNvPr id="229" name="TextBox 228">
                  <a:extLst>
                    <a:ext uri="{FF2B5EF4-FFF2-40B4-BE49-F238E27FC236}">
                      <a16:creationId xmlns:a16="http://schemas.microsoft.com/office/drawing/2014/main" id="{8079B2FF-CEE6-4411-B4C0-DC5768A863A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B8ms</a:t>
                  </a:r>
                </a:p>
              </xdr:txBody>
            </xdr:sp>
            <xdr:sp macro="" textlink="'Dashboard Workings'!BW5">
              <xdr:nvSpPr>
                <xdr:cNvPr id="230" name="TextBox 229">
                  <a:extLst>
                    <a:ext uri="{FF2B5EF4-FFF2-40B4-BE49-F238E27FC236}">
                      <a16:creationId xmlns:a16="http://schemas.microsoft.com/office/drawing/2014/main" id="{D49482FC-0430-4BEB-A3D0-01BBA9F24B6C}"/>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5763BA4-3240-4E92-A45E-1BA49992C21F}"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5">
              <xdr:nvSpPr>
                <xdr:cNvPr id="231" name="TextBox 230">
                  <a:extLst>
                    <a:ext uri="{FF2B5EF4-FFF2-40B4-BE49-F238E27FC236}">
                      <a16:creationId xmlns:a16="http://schemas.microsoft.com/office/drawing/2014/main" id="{08C291C5-F88D-4B7A-9DA2-D635E4B50F8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132F9BF-117E-4699-A0A7-B1833CB7ABCB}"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25" name="Group 224">
                <a:extLst>
                  <a:ext uri="{FF2B5EF4-FFF2-40B4-BE49-F238E27FC236}">
                    <a16:creationId xmlns:a16="http://schemas.microsoft.com/office/drawing/2014/main" id="{80F0A420-E76F-4BC2-85B1-386C6BFF0EB3}"/>
                  </a:ext>
                </a:extLst>
              </xdr:cNvPr>
              <xdr:cNvGrpSpPr/>
            </xdr:nvGrpSpPr>
            <xdr:grpSpPr>
              <a:xfrm>
                <a:off x="3163020" y="5815292"/>
                <a:ext cx="1714500" cy="294872"/>
                <a:chOff x="3162300" y="4596092"/>
                <a:chExt cx="1714500" cy="294872"/>
              </a:xfrm>
            </xdr:grpSpPr>
            <xdr:sp macro="" textlink="">
              <xdr:nvSpPr>
                <xdr:cNvPr id="226" name="TextBox 225">
                  <a:extLst>
                    <a:ext uri="{FF2B5EF4-FFF2-40B4-BE49-F238E27FC236}">
                      <a16:creationId xmlns:a16="http://schemas.microsoft.com/office/drawing/2014/main" id="{2330B826-A9BF-49A9-A09E-3873573E5D5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B12ms</a:t>
                  </a:r>
                </a:p>
              </xdr:txBody>
            </xdr:sp>
            <xdr:sp macro="" textlink="'Dashboard Workings'!BW6">
              <xdr:nvSpPr>
                <xdr:cNvPr id="227" name="TextBox 226">
                  <a:extLst>
                    <a:ext uri="{FF2B5EF4-FFF2-40B4-BE49-F238E27FC236}">
                      <a16:creationId xmlns:a16="http://schemas.microsoft.com/office/drawing/2014/main" id="{C7331293-3772-45A5-940D-BEB45B3B115D}"/>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E964E1-F41E-4196-88CF-14EC79A9C6D1}"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6">
              <xdr:nvSpPr>
                <xdr:cNvPr id="228" name="TextBox 227">
                  <a:extLst>
                    <a:ext uri="{FF2B5EF4-FFF2-40B4-BE49-F238E27FC236}">
                      <a16:creationId xmlns:a16="http://schemas.microsoft.com/office/drawing/2014/main" id="{4A87EB83-F2A5-468B-B3F0-CE89852C68A7}"/>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8C9B475-E780-4F70-9339-433B7D0867D4}"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23" name="Group 22">
            <a:extLst>
              <a:ext uri="{FF2B5EF4-FFF2-40B4-BE49-F238E27FC236}">
                <a16:creationId xmlns:a16="http://schemas.microsoft.com/office/drawing/2014/main" id="{1C4F7339-3DC5-4A15-9B0D-400C6FAA3A2A}"/>
              </a:ext>
            </a:extLst>
          </xdr:cNvPr>
          <xdr:cNvGrpSpPr/>
        </xdr:nvGrpSpPr>
        <xdr:grpSpPr>
          <a:xfrm>
            <a:off x="3104216" y="6396317"/>
            <a:ext cx="1744729" cy="294872"/>
            <a:chOff x="3104216" y="6396317"/>
            <a:chExt cx="1744729" cy="294872"/>
          </a:xfrm>
        </xdr:grpSpPr>
        <xdr:sp macro="" textlink="">
          <xdr:nvSpPr>
            <xdr:cNvPr id="215" name="Rectangle: Rounded Corners 214">
              <a:extLst>
                <a:ext uri="{FF2B5EF4-FFF2-40B4-BE49-F238E27FC236}">
                  <a16:creationId xmlns:a16="http://schemas.microsoft.com/office/drawing/2014/main" id="{DB270BD4-55F4-4A4B-8682-B4E00135E9D7}"/>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6" name="Group 215">
              <a:extLst>
                <a:ext uri="{FF2B5EF4-FFF2-40B4-BE49-F238E27FC236}">
                  <a16:creationId xmlns:a16="http://schemas.microsoft.com/office/drawing/2014/main" id="{DD8296BF-67DC-4AA6-9B7E-D6C164252BA1}"/>
                </a:ext>
              </a:extLst>
            </xdr:cNvPr>
            <xdr:cNvGrpSpPr/>
          </xdr:nvGrpSpPr>
          <xdr:grpSpPr>
            <a:xfrm>
              <a:off x="3134445" y="6396317"/>
              <a:ext cx="1714500" cy="294872"/>
              <a:chOff x="3162300" y="4596092"/>
              <a:chExt cx="1714500" cy="294872"/>
            </a:xfrm>
          </xdr:grpSpPr>
          <xdr:sp macro="" textlink="">
            <xdr:nvSpPr>
              <xdr:cNvPr id="217" name="TextBox 216">
                <a:extLst>
                  <a:ext uri="{FF2B5EF4-FFF2-40B4-BE49-F238E27FC236}">
                    <a16:creationId xmlns:a16="http://schemas.microsoft.com/office/drawing/2014/main" id="{4A5A4534-F3CA-414C-BDD5-2625E4DF935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CH2">
            <xdr:nvSpPr>
              <xdr:cNvPr id="218" name="TextBox 217">
                <a:extLst>
                  <a:ext uri="{FF2B5EF4-FFF2-40B4-BE49-F238E27FC236}">
                    <a16:creationId xmlns:a16="http://schemas.microsoft.com/office/drawing/2014/main" id="{34B4A13E-84F7-4FF7-B6BE-12133ACD7061}"/>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8B2915C-CA93-46AC-A162-F21A16D4E41B}" type="TxLink">
                  <a:rPr lang="en-US" sz="1200" b="1" i="0" u="none" strike="noStrike">
                    <a:solidFill>
                      <a:srgbClr val="000000"/>
                    </a:solidFill>
                    <a:latin typeface="Calibri"/>
                    <a:cs typeface="Calibri"/>
                  </a:rPr>
                  <a:pPr algn="r"/>
                  <a:t> </a:t>
                </a:fld>
                <a:endParaRPr lang="en-ZA" sz="1200" b="1">
                  <a:solidFill>
                    <a:schemeClr val="tx1">
                      <a:lumMod val="85000"/>
                      <a:lumOff val="15000"/>
                    </a:schemeClr>
                  </a:solidFill>
                  <a:latin typeface="Arial" panose="020B0604020202020204" pitchFamily="34" charset="0"/>
                  <a:cs typeface="Arial" panose="020B0604020202020204" pitchFamily="34" charset="0"/>
                </a:endParaRPr>
              </a:p>
            </xdr:txBody>
          </xdr:sp>
        </xdr:grpSp>
      </xdr:grpSp>
      <xdr:grpSp>
        <xdr:nvGrpSpPr>
          <xdr:cNvPr id="24" name="Group 23">
            <a:extLst>
              <a:ext uri="{FF2B5EF4-FFF2-40B4-BE49-F238E27FC236}">
                <a16:creationId xmlns:a16="http://schemas.microsoft.com/office/drawing/2014/main" id="{E02810DB-4466-425E-9351-28C7F6E9D69F}"/>
              </a:ext>
            </a:extLst>
          </xdr:cNvPr>
          <xdr:cNvGrpSpPr/>
        </xdr:nvGrpSpPr>
        <xdr:grpSpPr>
          <a:xfrm>
            <a:off x="5018741" y="3857626"/>
            <a:ext cx="2055870" cy="2476500"/>
            <a:chOff x="3094691" y="3867151"/>
            <a:chExt cx="2055870" cy="2476500"/>
          </a:xfrm>
        </xdr:grpSpPr>
        <xdr:grpSp>
          <xdr:nvGrpSpPr>
            <xdr:cNvPr id="189" name="Group 188">
              <a:extLst>
                <a:ext uri="{FF2B5EF4-FFF2-40B4-BE49-F238E27FC236}">
                  <a16:creationId xmlns:a16="http://schemas.microsoft.com/office/drawing/2014/main" id="{50D57B26-EBF0-4800-8129-B9B46BCA8F97}"/>
                </a:ext>
              </a:extLst>
            </xdr:cNvPr>
            <xdr:cNvGrpSpPr/>
          </xdr:nvGrpSpPr>
          <xdr:grpSpPr>
            <a:xfrm>
              <a:off x="3094691" y="3867151"/>
              <a:ext cx="2055870" cy="2476500"/>
              <a:chOff x="3094691" y="3867151"/>
              <a:chExt cx="2055870" cy="2476500"/>
            </a:xfrm>
          </xdr:grpSpPr>
          <xdr:grpSp>
            <xdr:nvGrpSpPr>
              <xdr:cNvPr id="207" name="Group 206">
                <a:extLst>
                  <a:ext uri="{FF2B5EF4-FFF2-40B4-BE49-F238E27FC236}">
                    <a16:creationId xmlns:a16="http://schemas.microsoft.com/office/drawing/2014/main" id="{61637669-C90F-40D4-9F9A-4284D4D125FA}"/>
                  </a:ext>
                </a:extLst>
              </xdr:cNvPr>
              <xdr:cNvGrpSpPr/>
            </xdr:nvGrpSpPr>
            <xdr:grpSpPr>
              <a:xfrm>
                <a:off x="3094691" y="3867151"/>
                <a:ext cx="1734484" cy="2476500"/>
                <a:chOff x="3094691" y="3867151"/>
                <a:chExt cx="1734484" cy="2476500"/>
              </a:xfrm>
            </xdr:grpSpPr>
            <xdr:sp macro="" textlink="">
              <xdr:nvSpPr>
                <xdr:cNvPr id="213" name="Rectangle: Rounded Corners 212">
                  <a:extLst>
                    <a:ext uri="{FF2B5EF4-FFF2-40B4-BE49-F238E27FC236}">
                      <a16:creationId xmlns:a16="http://schemas.microsoft.com/office/drawing/2014/main" id="{1E14CE61-8639-4521-A6F6-D0D650ACEDD8}"/>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4" name="TextBox 213">
                  <a:extLst>
                    <a:ext uri="{FF2B5EF4-FFF2-40B4-BE49-F238E27FC236}">
                      <a16:creationId xmlns:a16="http://schemas.microsoft.com/office/drawing/2014/main" id="{BA46B4A7-3968-4E88-8662-B5EFBD81211D}"/>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208" name="Group 207">
                <a:extLst>
                  <a:ext uri="{FF2B5EF4-FFF2-40B4-BE49-F238E27FC236}">
                    <a16:creationId xmlns:a16="http://schemas.microsoft.com/office/drawing/2014/main" id="{F6617BFE-4F01-4F78-847D-2536108B0DDB}"/>
                  </a:ext>
                </a:extLst>
              </xdr:cNvPr>
              <xdr:cNvGrpSpPr/>
            </xdr:nvGrpSpPr>
            <xdr:grpSpPr>
              <a:xfrm>
                <a:off x="3095625" y="4276724"/>
                <a:ext cx="2054936" cy="304397"/>
                <a:chOff x="3095625" y="4229099"/>
                <a:chExt cx="2054936" cy="304397"/>
              </a:xfrm>
            </xdr:grpSpPr>
            <xdr:sp macro="" textlink="">
              <xdr:nvSpPr>
                <xdr:cNvPr id="209" name="Rectangle: Rounded Corners 208">
                  <a:extLst>
                    <a:ext uri="{FF2B5EF4-FFF2-40B4-BE49-F238E27FC236}">
                      <a16:creationId xmlns:a16="http://schemas.microsoft.com/office/drawing/2014/main" id="{0521A68B-E28F-4BF4-9140-E93B9E71EC62}"/>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0" name="Group 209">
                  <a:extLst>
                    <a:ext uri="{FF2B5EF4-FFF2-40B4-BE49-F238E27FC236}">
                      <a16:creationId xmlns:a16="http://schemas.microsoft.com/office/drawing/2014/main" id="{313F868D-5A90-47A1-AFD6-50D6BEC78466}"/>
                    </a:ext>
                  </a:extLst>
                </xdr:cNvPr>
                <xdr:cNvGrpSpPr/>
              </xdr:nvGrpSpPr>
              <xdr:grpSpPr>
                <a:xfrm>
                  <a:off x="3152775" y="4238624"/>
                  <a:ext cx="1997786" cy="294872"/>
                  <a:chOff x="8410575" y="3800474"/>
                  <a:chExt cx="1997786" cy="294872"/>
                </a:xfrm>
              </xdr:grpSpPr>
              <xdr:sp macro="" textlink="">
                <xdr:nvSpPr>
                  <xdr:cNvPr id="211" name="TextBox 210">
                    <a:extLst>
                      <a:ext uri="{FF2B5EF4-FFF2-40B4-BE49-F238E27FC236}">
                        <a16:creationId xmlns:a16="http://schemas.microsoft.com/office/drawing/2014/main" id="{426749B2-5AA6-4D3C-9BC8-598241D7B1BD}"/>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12" name="TextBox 211">
                    <a:extLst>
                      <a:ext uri="{FF2B5EF4-FFF2-40B4-BE49-F238E27FC236}">
                        <a16:creationId xmlns:a16="http://schemas.microsoft.com/office/drawing/2014/main" id="{90FA3321-215A-4D0C-B8FF-9D21B918A48E}"/>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90" name="Group 189">
              <a:extLst>
                <a:ext uri="{FF2B5EF4-FFF2-40B4-BE49-F238E27FC236}">
                  <a16:creationId xmlns:a16="http://schemas.microsoft.com/office/drawing/2014/main" id="{DFC38BAD-C29E-42F3-8827-325C299BA7A6}"/>
                </a:ext>
              </a:extLst>
            </xdr:cNvPr>
            <xdr:cNvGrpSpPr/>
          </xdr:nvGrpSpPr>
          <xdr:grpSpPr>
            <a:xfrm>
              <a:off x="3162300" y="4615142"/>
              <a:ext cx="1715220" cy="1199747"/>
              <a:chOff x="3162300" y="4615142"/>
              <a:chExt cx="1715220" cy="1199747"/>
            </a:xfrm>
          </xdr:grpSpPr>
          <xdr:grpSp>
            <xdr:nvGrpSpPr>
              <xdr:cNvPr id="191" name="Group 190">
                <a:extLst>
                  <a:ext uri="{FF2B5EF4-FFF2-40B4-BE49-F238E27FC236}">
                    <a16:creationId xmlns:a16="http://schemas.microsoft.com/office/drawing/2014/main" id="{A67FF966-9663-40F5-B3FA-D4AE7E866B39}"/>
                  </a:ext>
                </a:extLst>
              </xdr:cNvPr>
              <xdr:cNvGrpSpPr/>
            </xdr:nvGrpSpPr>
            <xdr:grpSpPr>
              <a:xfrm>
                <a:off x="3162300" y="4615142"/>
                <a:ext cx="1714501" cy="294872"/>
                <a:chOff x="3162300" y="4596092"/>
                <a:chExt cx="1714501" cy="294872"/>
              </a:xfrm>
            </xdr:grpSpPr>
            <xdr:sp macro="" textlink="">
              <xdr:nvSpPr>
                <xdr:cNvPr id="204" name="TextBox 203">
                  <a:extLst>
                    <a:ext uri="{FF2B5EF4-FFF2-40B4-BE49-F238E27FC236}">
                      <a16:creationId xmlns:a16="http://schemas.microsoft.com/office/drawing/2014/main" id="{F0C22CAF-180E-4367-B144-AF2A6ECD5E9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 v3</a:t>
                  </a:r>
                </a:p>
              </xdr:txBody>
            </xdr:sp>
            <xdr:sp macro="" textlink="'Dashboard Workings'!BW9">
              <xdr:nvSpPr>
                <xdr:cNvPr id="205" name="TextBox 204">
                  <a:extLst>
                    <a:ext uri="{FF2B5EF4-FFF2-40B4-BE49-F238E27FC236}">
                      <a16:creationId xmlns:a16="http://schemas.microsoft.com/office/drawing/2014/main" id="{EF6C63CC-DF1D-4853-9520-AAB31A90EAE6}"/>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9252403-D400-401B-AB60-6F1C345C93C6}"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9">
              <xdr:nvSpPr>
                <xdr:cNvPr id="206" name="TextBox 205">
                  <a:extLst>
                    <a:ext uri="{FF2B5EF4-FFF2-40B4-BE49-F238E27FC236}">
                      <a16:creationId xmlns:a16="http://schemas.microsoft.com/office/drawing/2014/main" id="{CF2018B6-E176-4A8F-A9D1-FB45748280ED}"/>
                    </a:ext>
                  </a:extLst>
                </xdr:cNvPr>
                <xdr:cNvSpPr txBox="1"/>
              </xdr:nvSpPr>
              <xdr:spPr>
                <a:xfrm>
                  <a:off x="4114801" y="4596092"/>
                  <a:ext cx="76200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6150AA8-FFD1-485A-A0F1-ABA79613275F}"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92" name="Group 191">
                <a:extLst>
                  <a:ext uri="{FF2B5EF4-FFF2-40B4-BE49-F238E27FC236}">
                    <a16:creationId xmlns:a16="http://schemas.microsoft.com/office/drawing/2014/main" id="{ABC5402B-FC44-4B76-96EB-182425ED7343}"/>
                  </a:ext>
                </a:extLst>
              </xdr:cNvPr>
              <xdr:cNvGrpSpPr/>
            </xdr:nvGrpSpPr>
            <xdr:grpSpPr>
              <a:xfrm>
                <a:off x="3162300" y="4919942"/>
                <a:ext cx="1714500" cy="294872"/>
                <a:chOff x="3162300" y="4596092"/>
                <a:chExt cx="1714500" cy="294872"/>
              </a:xfrm>
            </xdr:grpSpPr>
            <xdr:sp macro="" textlink="">
              <xdr:nvSpPr>
                <xdr:cNvPr id="201" name="TextBox 200">
                  <a:extLst>
                    <a:ext uri="{FF2B5EF4-FFF2-40B4-BE49-F238E27FC236}">
                      <a16:creationId xmlns:a16="http://schemas.microsoft.com/office/drawing/2014/main" id="{31F452B9-75B2-4823-8345-E8B1361600A4}"/>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 v3</a:t>
                  </a:r>
                </a:p>
              </xdr:txBody>
            </xdr:sp>
            <xdr:sp macro="" textlink="'Dashboard Workings'!BW10">
              <xdr:nvSpPr>
                <xdr:cNvPr id="202" name="TextBox 201">
                  <a:extLst>
                    <a:ext uri="{FF2B5EF4-FFF2-40B4-BE49-F238E27FC236}">
                      <a16:creationId xmlns:a16="http://schemas.microsoft.com/office/drawing/2014/main" id="{D228EEBA-E08A-4C17-BE92-23FE5C3858E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355F10-EE49-4BB8-A787-655E61E5A997}"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0">
              <xdr:nvSpPr>
                <xdr:cNvPr id="203" name="TextBox 202">
                  <a:extLst>
                    <a:ext uri="{FF2B5EF4-FFF2-40B4-BE49-F238E27FC236}">
                      <a16:creationId xmlns:a16="http://schemas.microsoft.com/office/drawing/2014/main" id="{94E3C13C-2931-47FF-9C1E-160E6234833C}"/>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C19E15A-7497-47FF-8250-AADC3BB5382B}"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93" name="Group 192">
                <a:extLst>
                  <a:ext uri="{FF2B5EF4-FFF2-40B4-BE49-F238E27FC236}">
                    <a16:creationId xmlns:a16="http://schemas.microsoft.com/office/drawing/2014/main" id="{12022E94-8128-4109-9E46-EF17AE856F42}"/>
                  </a:ext>
                </a:extLst>
              </xdr:cNvPr>
              <xdr:cNvGrpSpPr/>
            </xdr:nvGrpSpPr>
            <xdr:grpSpPr>
              <a:xfrm>
                <a:off x="3163020" y="5224742"/>
                <a:ext cx="1714500" cy="294872"/>
                <a:chOff x="3162300" y="4596092"/>
                <a:chExt cx="1714500" cy="294872"/>
              </a:xfrm>
            </xdr:grpSpPr>
            <xdr:sp macro="" textlink="">
              <xdr:nvSpPr>
                <xdr:cNvPr id="198" name="TextBox 197">
                  <a:extLst>
                    <a:ext uri="{FF2B5EF4-FFF2-40B4-BE49-F238E27FC236}">
                      <a16:creationId xmlns:a16="http://schemas.microsoft.com/office/drawing/2014/main" id="{20430442-A7B2-476D-9035-47FBDC3A323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D13</a:t>
                  </a:r>
                </a:p>
              </xdr:txBody>
            </xdr:sp>
            <xdr:sp macro="" textlink="'Dashboard Workings'!BW11">
              <xdr:nvSpPr>
                <xdr:cNvPr id="199" name="TextBox 198">
                  <a:extLst>
                    <a:ext uri="{FF2B5EF4-FFF2-40B4-BE49-F238E27FC236}">
                      <a16:creationId xmlns:a16="http://schemas.microsoft.com/office/drawing/2014/main" id="{15C7BF19-3E8F-4863-BCE9-F822D664FEE0}"/>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4E82507-7FB3-4C1D-9CAC-D6121093D59F}"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1">
              <xdr:nvSpPr>
                <xdr:cNvPr id="200" name="TextBox 199">
                  <a:extLst>
                    <a:ext uri="{FF2B5EF4-FFF2-40B4-BE49-F238E27FC236}">
                      <a16:creationId xmlns:a16="http://schemas.microsoft.com/office/drawing/2014/main" id="{A958540B-356D-46D7-A004-57DDFC1AAC03}"/>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7BBB352-B1C6-493E-9EAB-B57904F45586}"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94" name="Group 193">
                <a:extLst>
                  <a:ext uri="{FF2B5EF4-FFF2-40B4-BE49-F238E27FC236}">
                    <a16:creationId xmlns:a16="http://schemas.microsoft.com/office/drawing/2014/main" id="{5571809B-35A0-44D6-B251-59DF0630D80D}"/>
                  </a:ext>
                </a:extLst>
              </xdr:cNvPr>
              <xdr:cNvGrpSpPr/>
            </xdr:nvGrpSpPr>
            <xdr:grpSpPr>
              <a:xfrm>
                <a:off x="3163020" y="5520017"/>
                <a:ext cx="1714500" cy="294872"/>
                <a:chOff x="3162300" y="4596092"/>
                <a:chExt cx="1714500" cy="294872"/>
              </a:xfrm>
            </xdr:grpSpPr>
            <xdr:sp macro="" textlink="">
              <xdr:nvSpPr>
                <xdr:cNvPr id="195" name="TextBox 194">
                  <a:extLst>
                    <a:ext uri="{FF2B5EF4-FFF2-40B4-BE49-F238E27FC236}">
                      <a16:creationId xmlns:a16="http://schemas.microsoft.com/office/drawing/2014/main" id="{04CE0D68-FB2C-4F0E-A149-51E051ABCCF6}"/>
                    </a:ext>
                  </a:extLst>
                </xdr:cNvPr>
                <xdr:cNvSpPr txBox="1"/>
              </xdr:nvSpPr>
              <xdr:spPr>
                <a:xfrm>
                  <a:off x="3162300"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DS13v2</a:t>
                  </a:r>
                </a:p>
              </xdr:txBody>
            </xdr:sp>
            <xdr:sp macro="" textlink="'Dashboard Workings'!BW12">
              <xdr:nvSpPr>
                <xdr:cNvPr id="196" name="TextBox 195">
                  <a:extLst>
                    <a:ext uri="{FF2B5EF4-FFF2-40B4-BE49-F238E27FC236}">
                      <a16:creationId xmlns:a16="http://schemas.microsoft.com/office/drawing/2014/main" id="{CAEE345A-218D-43AB-88DC-221C3470187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383CCC-68BD-470F-A4B4-5C9686AFD183}"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2">
              <xdr:nvSpPr>
                <xdr:cNvPr id="197" name="TextBox 196">
                  <a:extLst>
                    <a:ext uri="{FF2B5EF4-FFF2-40B4-BE49-F238E27FC236}">
                      <a16:creationId xmlns:a16="http://schemas.microsoft.com/office/drawing/2014/main" id="{170CF9D8-6514-40F3-A203-4BBF88640CF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CB5AFCC-7B39-4B7D-9C18-EC5FBF969D8C}"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25" name="Group 24">
            <a:extLst>
              <a:ext uri="{FF2B5EF4-FFF2-40B4-BE49-F238E27FC236}">
                <a16:creationId xmlns:a16="http://schemas.microsoft.com/office/drawing/2014/main" id="{52EF3873-50FE-4C16-9CD5-D596A9DD6C6C}"/>
              </a:ext>
            </a:extLst>
          </xdr:cNvPr>
          <xdr:cNvGrpSpPr/>
        </xdr:nvGrpSpPr>
        <xdr:grpSpPr>
          <a:xfrm>
            <a:off x="6953250" y="3848100"/>
            <a:ext cx="2055870" cy="2476500"/>
            <a:chOff x="3094691" y="3867151"/>
            <a:chExt cx="2055870" cy="2476500"/>
          </a:xfrm>
        </xdr:grpSpPr>
        <xdr:grpSp>
          <xdr:nvGrpSpPr>
            <xdr:cNvPr id="159" name="Group 158">
              <a:extLst>
                <a:ext uri="{FF2B5EF4-FFF2-40B4-BE49-F238E27FC236}">
                  <a16:creationId xmlns:a16="http://schemas.microsoft.com/office/drawing/2014/main" id="{AA045F8C-67D8-403D-A40E-10F08A07EB64}"/>
                </a:ext>
              </a:extLst>
            </xdr:cNvPr>
            <xdr:cNvGrpSpPr/>
          </xdr:nvGrpSpPr>
          <xdr:grpSpPr>
            <a:xfrm>
              <a:off x="3094691" y="3867151"/>
              <a:ext cx="2055870" cy="2476500"/>
              <a:chOff x="3094691" y="3867151"/>
              <a:chExt cx="2055870" cy="2476500"/>
            </a:xfrm>
          </xdr:grpSpPr>
          <xdr:grpSp>
            <xdr:nvGrpSpPr>
              <xdr:cNvPr id="181" name="Group 180">
                <a:extLst>
                  <a:ext uri="{FF2B5EF4-FFF2-40B4-BE49-F238E27FC236}">
                    <a16:creationId xmlns:a16="http://schemas.microsoft.com/office/drawing/2014/main" id="{5F44578C-199E-477A-9112-708EAC1E454B}"/>
                  </a:ext>
                </a:extLst>
              </xdr:cNvPr>
              <xdr:cNvGrpSpPr/>
            </xdr:nvGrpSpPr>
            <xdr:grpSpPr>
              <a:xfrm>
                <a:off x="3094691" y="3867151"/>
                <a:ext cx="1734484" cy="2476500"/>
                <a:chOff x="3094691" y="3867151"/>
                <a:chExt cx="1734484" cy="2476500"/>
              </a:xfrm>
            </xdr:grpSpPr>
            <xdr:sp macro="" textlink="">
              <xdr:nvSpPr>
                <xdr:cNvPr id="187" name="Rectangle: Rounded Corners 186">
                  <a:extLst>
                    <a:ext uri="{FF2B5EF4-FFF2-40B4-BE49-F238E27FC236}">
                      <a16:creationId xmlns:a16="http://schemas.microsoft.com/office/drawing/2014/main" id="{E4B6640B-5F50-4740-BF54-702BAB8854F5}"/>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TextBox 187">
                  <a:extLst>
                    <a:ext uri="{FF2B5EF4-FFF2-40B4-BE49-F238E27FC236}">
                      <a16:creationId xmlns:a16="http://schemas.microsoft.com/office/drawing/2014/main" id="{A4C7A3E2-1EF3-4034-B0D8-91FB93A1C49F}"/>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D'as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82" name="Group 181">
                <a:extLst>
                  <a:ext uri="{FF2B5EF4-FFF2-40B4-BE49-F238E27FC236}">
                    <a16:creationId xmlns:a16="http://schemas.microsoft.com/office/drawing/2014/main" id="{1D869D0E-3F6B-4490-AB33-C06409E42629}"/>
                  </a:ext>
                </a:extLst>
              </xdr:cNvPr>
              <xdr:cNvGrpSpPr/>
            </xdr:nvGrpSpPr>
            <xdr:grpSpPr>
              <a:xfrm>
                <a:off x="3095625" y="4276724"/>
                <a:ext cx="2054936" cy="304397"/>
                <a:chOff x="3095625" y="4229099"/>
                <a:chExt cx="2054936" cy="304397"/>
              </a:xfrm>
            </xdr:grpSpPr>
            <xdr:sp macro="" textlink="">
              <xdr:nvSpPr>
                <xdr:cNvPr id="183" name="Rectangle: Rounded Corners 182">
                  <a:extLst>
                    <a:ext uri="{FF2B5EF4-FFF2-40B4-BE49-F238E27FC236}">
                      <a16:creationId xmlns:a16="http://schemas.microsoft.com/office/drawing/2014/main" id="{F53E0AB2-5561-4496-AF8A-2313E7A73949}"/>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84" name="Group 183">
                  <a:extLst>
                    <a:ext uri="{FF2B5EF4-FFF2-40B4-BE49-F238E27FC236}">
                      <a16:creationId xmlns:a16="http://schemas.microsoft.com/office/drawing/2014/main" id="{60F0AC7B-F3D8-4781-9DC6-514DDFB9D706}"/>
                    </a:ext>
                  </a:extLst>
                </xdr:cNvPr>
                <xdr:cNvGrpSpPr/>
              </xdr:nvGrpSpPr>
              <xdr:grpSpPr>
                <a:xfrm>
                  <a:off x="3152775" y="4238624"/>
                  <a:ext cx="1997786" cy="294872"/>
                  <a:chOff x="8410575" y="3800474"/>
                  <a:chExt cx="1997786" cy="294872"/>
                </a:xfrm>
              </xdr:grpSpPr>
              <xdr:sp macro="" textlink="">
                <xdr:nvSpPr>
                  <xdr:cNvPr id="185" name="TextBox 184">
                    <a:extLst>
                      <a:ext uri="{FF2B5EF4-FFF2-40B4-BE49-F238E27FC236}">
                        <a16:creationId xmlns:a16="http://schemas.microsoft.com/office/drawing/2014/main" id="{8FA96774-4CCA-40DA-8DEF-FD9E8BAC77BE}"/>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86" name="TextBox 185">
                    <a:extLst>
                      <a:ext uri="{FF2B5EF4-FFF2-40B4-BE49-F238E27FC236}">
                        <a16:creationId xmlns:a16="http://schemas.microsoft.com/office/drawing/2014/main" id="{D951D174-B0EF-40D6-84AF-C26A910F6A2E}"/>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60" name="Group 159">
              <a:extLst>
                <a:ext uri="{FF2B5EF4-FFF2-40B4-BE49-F238E27FC236}">
                  <a16:creationId xmlns:a16="http://schemas.microsoft.com/office/drawing/2014/main" id="{284A145E-31D8-4710-A6BA-2741F2B4822F}"/>
                </a:ext>
              </a:extLst>
            </xdr:cNvPr>
            <xdr:cNvGrpSpPr/>
          </xdr:nvGrpSpPr>
          <xdr:grpSpPr>
            <a:xfrm>
              <a:off x="3162300" y="4615142"/>
              <a:ext cx="1715220" cy="1495022"/>
              <a:chOff x="3162300" y="4615142"/>
              <a:chExt cx="1715220" cy="1495022"/>
            </a:xfrm>
          </xdr:grpSpPr>
          <xdr:grpSp>
            <xdr:nvGrpSpPr>
              <xdr:cNvPr id="161" name="Group 160">
                <a:extLst>
                  <a:ext uri="{FF2B5EF4-FFF2-40B4-BE49-F238E27FC236}">
                    <a16:creationId xmlns:a16="http://schemas.microsoft.com/office/drawing/2014/main" id="{96230EBE-B300-4BEF-A564-AF90325A640B}"/>
                  </a:ext>
                </a:extLst>
              </xdr:cNvPr>
              <xdr:cNvGrpSpPr/>
            </xdr:nvGrpSpPr>
            <xdr:grpSpPr>
              <a:xfrm>
                <a:off x="3162300" y="4615142"/>
                <a:ext cx="1714500" cy="294872"/>
                <a:chOff x="3162300" y="4596092"/>
                <a:chExt cx="1714500" cy="294872"/>
              </a:xfrm>
            </xdr:grpSpPr>
            <xdr:sp macro="" textlink="">
              <xdr:nvSpPr>
                <xdr:cNvPr id="178" name="TextBox 177">
                  <a:extLst>
                    <a:ext uri="{FF2B5EF4-FFF2-40B4-BE49-F238E27FC236}">
                      <a16:creationId xmlns:a16="http://schemas.microsoft.com/office/drawing/2014/main" id="{4E3CB92C-1BC0-4D86-A43B-03C3D03692C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D2as</a:t>
                  </a:r>
                </a:p>
              </xdr:txBody>
            </xdr:sp>
            <xdr:sp macro="" textlink="'Dashboard Workings'!BW13">
              <xdr:nvSpPr>
                <xdr:cNvPr id="179" name="TextBox 178">
                  <a:extLst>
                    <a:ext uri="{FF2B5EF4-FFF2-40B4-BE49-F238E27FC236}">
                      <a16:creationId xmlns:a16="http://schemas.microsoft.com/office/drawing/2014/main" id="{7F4F961C-4D78-426A-AF75-56EA4F09DEAD}"/>
                    </a:ext>
                  </a:extLst>
                </xdr:cNvPr>
                <xdr:cNvSpPr txBox="1"/>
              </xdr:nvSpPr>
              <xdr:spPr>
                <a:xfrm>
                  <a:off x="3743325"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C850D8A-20F2-4CFA-B214-06768515E2DA}"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3">
              <xdr:nvSpPr>
                <xdr:cNvPr id="180" name="TextBox 179">
                  <a:extLst>
                    <a:ext uri="{FF2B5EF4-FFF2-40B4-BE49-F238E27FC236}">
                      <a16:creationId xmlns:a16="http://schemas.microsoft.com/office/drawing/2014/main" id="{A5E513F6-922E-4B09-9F1F-078C28936F36}"/>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C850CF-DD63-48BF-B3B7-66126B55ED92}"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2" name="Group 161">
                <a:extLst>
                  <a:ext uri="{FF2B5EF4-FFF2-40B4-BE49-F238E27FC236}">
                    <a16:creationId xmlns:a16="http://schemas.microsoft.com/office/drawing/2014/main" id="{EE5AD931-8D5C-4E5B-8935-C2073B023FA2}"/>
                  </a:ext>
                </a:extLst>
              </xdr:cNvPr>
              <xdr:cNvGrpSpPr/>
            </xdr:nvGrpSpPr>
            <xdr:grpSpPr>
              <a:xfrm>
                <a:off x="3162300" y="4919942"/>
                <a:ext cx="1714500" cy="294872"/>
                <a:chOff x="3162300" y="4596092"/>
                <a:chExt cx="1714500" cy="294872"/>
              </a:xfrm>
            </xdr:grpSpPr>
            <xdr:sp macro="" textlink="">
              <xdr:nvSpPr>
                <xdr:cNvPr id="175" name="TextBox 174">
                  <a:extLst>
                    <a:ext uri="{FF2B5EF4-FFF2-40B4-BE49-F238E27FC236}">
                      <a16:creationId xmlns:a16="http://schemas.microsoft.com/office/drawing/2014/main" id="{523B8C76-BF15-49AA-907E-5756AB7B0623}"/>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D4as</a:t>
                  </a:r>
                </a:p>
              </xdr:txBody>
            </xdr:sp>
            <xdr:sp macro="" textlink="'Dashboard Workings'!BW14">
              <xdr:nvSpPr>
                <xdr:cNvPr id="176" name="TextBox 175">
                  <a:extLst>
                    <a:ext uri="{FF2B5EF4-FFF2-40B4-BE49-F238E27FC236}">
                      <a16:creationId xmlns:a16="http://schemas.microsoft.com/office/drawing/2014/main" id="{FFBB9B1E-52CE-46CE-B3DB-E547D36EA800}"/>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B04ADE-F9D9-4D1B-A28A-5EA4D8918DA6}"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4">
              <xdr:nvSpPr>
                <xdr:cNvPr id="177" name="TextBox 176">
                  <a:extLst>
                    <a:ext uri="{FF2B5EF4-FFF2-40B4-BE49-F238E27FC236}">
                      <a16:creationId xmlns:a16="http://schemas.microsoft.com/office/drawing/2014/main" id="{9E4D5E12-591C-4BA9-8EA3-9FE5752A68E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DD1BFAD-8097-4954-B7D5-12DC72D54FC7}"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3" name="Group 162">
                <a:extLst>
                  <a:ext uri="{FF2B5EF4-FFF2-40B4-BE49-F238E27FC236}">
                    <a16:creationId xmlns:a16="http://schemas.microsoft.com/office/drawing/2014/main" id="{C4E12C40-C060-458C-A259-4F7473FD8B72}"/>
                  </a:ext>
                </a:extLst>
              </xdr:cNvPr>
              <xdr:cNvGrpSpPr/>
            </xdr:nvGrpSpPr>
            <xdr:grpSpPr>
              <a:xfrm>
                <a:off x="3163020" y="5224742"/>
                <a:ext cx="1714500" cy="294872"/>
                <a:chOff x="3162300" y="4596092"/>
                <a:chExt cx="1714500" cy="294872"/>
              </a:xfrm>
            </xdr:grpSpPr>
            <xdr:sp macro="" textlink="">
              <xdr:nvSpPr>
                <xdr:cNvPr id="172" name="TextBox 171">
                  <a:extLst>
                    <a:ext uri="{FF2B5EF4-FFF2-40B4-BE49-F238E27FC236}">
                      <a16:creationId xmlns:a16="http://schemas.microsoft.com/office/drawing/2014/main" id="{D73D9680-9877-45AD-A36A-CCFCB6FF70E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D8as</a:t>
                  </a:r>
                </a:p>
              </xdr:txBody>
            </xdr:sp>
            <xdr:sp macro="" textlink="'Dashboard Workings'!BW15">
              <xdr:nvSpPr>
                <xdr:cNvPr id="173" name="TextBox 172">
                  <a:extLst>
                    <a:ext uri="{FF2B5EF4-FFF2-40B4-BE49-F238E27FC236}">
                      <a16:creationId xmlns:a16="http://schemas.microsoft.com/office/drawing/2014/main" id="{540C538E-0D0C-4115-BDE8-8E50B34729BF}"/>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9EADAC-14C2-4450-987C-AB4DE8FF3C4D}"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5">
              <xdr:nvSpPr>
                <xdr:cNvPr id="174" name="TextBox 173">
                  <a:extLst>
                    <a:ext uri="{FF2B5EF4-FFF2-40B4-BE49-F238E27FC236}">
                      <a16:creationId xmlns:a16="http://schemas.microsoft.com/office/drawing/2014/main" id="{9B3A34DB-AD63-4740-AAA4-AE63C853F72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D6A6BF8-520D-44B7-9EAE-3A065E70D25D}"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4" name="Group 163">
                <a:extLst>
                  <a:ext uri="{FF2B5EF4-FFF2-40B4-BE49-F238E27FC236}">
                    <a16:creationId xmlns:a16="http://schemas.microsoft.com/office/drawing/2014/main" id="{B599AFA2-FF78-47B9-A1D2-5284B31A31F4}"/>
                  </a:ext>
                </a:extLst>
              </xdr:cNvPr>
              <xdr:cNvGrpSpPr/>
            </xdr:nvGrpSpPr>
            <xdr:grpSpPr>
              <a:xfrm>
                <a:off x="3163020" y="5520017"/>
                <a:ext cx="1714500" cy="294872"/>
                <a:chOff x="3162300" y="4596092"/>
                <a:chExt cx="1714500" cy="294872"/>
              </a:xfrm>
            </xdr:grpSpPr>
            <xdr:sp macro="" textlink="">
              <xdr:nvSpPr>
                <xdr:cNvPr id="169" name="TextBox 168">
                  <a:extLst>
                    <a:ext uri="{FF2B5EF4-FFF2-40B4-BE49-F238E27FC236}">
                      <a16:creationId xmlns:a16="http://schemas.microsoft.com/office/drawing/2014/main" id="{9EE423F5-9C2C-481E-B917-CDC8239E5E86}"/>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D16as</a:t>
                  </a:r>
                </a:p>
              </xdr:txBody>
            </xdr:sp>
            <xdr:sp macro="" textlink="'Dashboard Workings'!BW16">
              <xdr:nvSpPr>
                <xdr:cNvPr id="170" name="TextBox 169">
                  <a:extLst>
                    <a:ext uri="{FF2B5EF4-FFF2-40B4-BE49-F238E27FC236}">
                      <a16:creationId xmlns:a16="http://schemas.microsoft.com/office/drawing/2014/main" id="{978992F7-F365-4230-A6B2-08D88CE87F2D}"/>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C1CACC2-4E51-4ACB-8E19-E7A0C44B962A}"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6">
              <xdr:nvSpPr>
                <xdr:cNvPr id="171" name="TextBox 170">
                  <a:extLst>
                    <a:ext uri="{FF2B5EF4-FFF2-40B4-BE49-F238E27FC236}">
                      <a16:creationId xmlns:a16="http://schemas.microsoft.com/office/drawing/2014/main" id="{4024E235-FA91-462D-8541-FBE11E5849E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80ECCEA-DD00-4B92-97D9-510B1891A549}"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65" name="Group 164">
                <a:extLst>
                  <a:ext uri="{FF2B5EF4-FFF2-40B4-BE49-F238E27FC236}">
                    <a16:creationId xmlns:a16="http://schemas.microsoft.com/office/drawing/2014/main" id="{C83BB352-2866-4D70-B296-69807B9A6BA0}"/>
                  </a:ext>
                </a:extLst>
              </xdr:cNvPr>
              <xdr:cNvGrpSpPr/>
            </xdr:nvGrpSpPr>
            <xdr:grpSpPr>
              <a:xfrm>
                <a:off x="3163020" y="5815292"/>
                <a:ext cx="1714500" cy="294872"/>
                <a:chOff x="3162300" y="4596092"/>
                <a:chExt cx="1714500" cy="294872"/>
              </a:xfrm>
            </xdr:grpSpPr>
            <xdr:sp macro="" textlink="">
              <xdr:nvSpPr>
                <xdr:cNvPr id="166" name="TextBox 165">
                  <a:extLst>
                    <a:ext uri="{FF2B5EF4-FFF2-40B4-BE49-F238E27FC236}">
                      <a16:creationId xmlns:a16="http://schemas.microsoft.com/office/drawing/2014/main" id="{1205265F-3B5F-4A4F-88E2-DE860901D552}"/>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D32as</a:t>
                  </a:r>
                </a:p>
              </xdr:txBody>
            </xdr:sp>
            <xdr:sp macro="" textlink="'Dashboard Workings'!BW17">
              <xdr:nvSpPr>
                <xdr:cNvPr id="167" name="TextBox 166">
                  <a:extLst>
                    <a:ext uri="{FF2B5EF4-FFF2-40B4-BE49-F238E27FC236}">
                      <a16:creationId xmlns:a16="http://schemas.microsoft.com/office/drawing/2014/main" id="{87F537D5-BC6C-47D0-BDD8-767F3FA7FBE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9D61B7E-A5F8-4968-8365-F429ECED6D72}"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17">
              <xdr:nvSpPr>
                <xdr:cNvPr id="168" name="TextBox 167">
                  <a:extLst>
                    <a:ext uri="{FF2B5EF4-FFF2-40B4-BE49-F238E27FC236}">
                      <a16:creationId xmlns:a16="http://schemas.microsoft.com/office/drawing/2014/main" id="{20C26C54-34F2-4B3F-9272-F47135B2A55A}"/>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FDA6E94-4B2F-448E-9D59-00B82155F1F0}"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26" name="TextBox 25">
            <a:extLst>
              <a:ext uri="{FF2B5EF4-FFF2-40B4-BE49-F238E27FC236}">
                <a16:creationId xmlns:a16="http://schemas.microsoft.com/office/drawing/2014/main" id="{5FCF973B-9E9F-4757-8F5F-FD0443B2FE6C}"/>
              </a:ext>
            </a:extLst>
          </xdr:cNvPr>
          <xdr:cNvSpPr txBox="1"/>
        </xdr:nvSpPr>
        <xdr:spPr>
          <a:xfrm>
            <a:off x="6287220" y="40245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rgbClr val="D53B3B"/>
                </a:solidFill>
                <a:latin typeface="Arial" panose="020B0604020202020204" pitchFamily="34" charset="0"/>
                <a:cs typeface="Arial" panose="020B0604020202020204" pitchFamily="34" charset="0"/>
              </a:rPr>
              <a:t>Old</a:t>
            </a:r>
          </a:p>
        </xdr:txBody>
      </xdr:sp>
      <xdr:sp macro="" textlink="">
        <xdr:nvSpPr>
          <xdr:cNvPr id="27" name="TextBox 26">
            <a:extLst>
              <a:ext uri="{FF2B5EF4-FFF2-40B4-BE49-F238E27FC236}">
                <a16:creationId xmlns:a16="http://schemas.microsoft.com/office/drawing/2014/main" id="{58366083-0BED-42C3-AF77-EBC52E5615F2}"/>
              </a:ext>
            </a:extLst>
          </xdr:cNvPr>
          <xdr:cNvSpPr txBox="1"/>
        </xdr:nvSpPr>
        <xdr:spPr>
          <a:xfrm>
            <a:off x="8287470" y="404364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28" name="Group 27">
            <a:extLst>
              <a:ext uri="{FF2B5EF4-FFF2-40B4-BE49-F238E27FC236}">
                <a16:creationId xmlns:a16="http://schemas.microsoft.com/office/drawing/2014/main" id="{A6656BFB-911C-47A1-832D-8686656C0072}"/>
              </a:ext>
            </a:extLst>
          </xdr:cNvPr>
          <xdr:cNvGrpSpPr/>
        </xdr:nvGrpSpPr>
        <xdr:grpSpPr>
          <a:xfrm>
            <a:off x="8867775" y="3838575"/>
            <a:ext cx="2055870" cy="2495147"/>
            <a:chOff x="8867775" y="3838575"/>
            <a:chExt cx="2055870" cy="2495147"/>
          </a:xfrm>
        </xdr:grpSpPr>
        <xdr:grpSp>
          <xdr:nvGrpSpPr>
            <xdr:cNvPr id="125" name="Group 124">
              <a:extLst>
                <a:ext uri="{FF2B5EF4-FFF2-40B4-BE49-F238E27FC236}">
                  <a16:creationId xmlns:a16="http://schemas.microsoft.com/office/drawing/2014/main" id="{866E5B4E-7870-4F98-A2AA-FF7A6DD84B75}"/>
                </a:ext>
              </a:extLst>
            </xdr:cNvPr>
            <xdr:cNvGrpSpPr/>
          </xdr:nvGrpSpPr>
          <xdr:grpSpPr>
            <a:xfrm>
              <a:off x="8867775" y="3838575"/>
              <a:ext cx="2055870" cy="2476500"/>
              <a:chOff x="3094691" y="3867151"/>
              <a:chExt cx="2055870" cy="2476500"/>
            </a:xfrm>
          </xdr:grpSpPr>
          <xdr:grpSp>
            <xdr:nvGrpSpPr>
              <xdr:cNvPr id="129" name="Group 128">
                <a:extLst>
                  <a:ext uri="{FF2B5EF4-FFF2-40B4-BE49-F238E27FC236}">
                    <a16:creationId xmlns:a16="http://schemas.microsoft.com/office/drawing/2014/main" id="{26164A21-C663-4E36-AF4D-7B1184818CD3}"/>
                  </a:ext>
                </a:extLst>
              </xdr:cNvPr>
              <xdr:cNvGrpSpPr/>
            </xdr:nvGrpSpPr>
            <xdr:grpSpPr>
              <a:xfrm>
                <a:off x="3094691" y="3867151"/>
                <a:ext cx="2055870" cy="2476500"/>
                <a:chOff x="3094691" y="3867151"/>
                <a:chExt cx="2055870" cy="2476500"/>
              </a:xfrm>
            </xdr:grpSpPr>
            <xdr:grpSp>
              <xdr:nvGrpSpPr>
                <xdr:cNvPr id="151" name="Group 150">
                  <a:extLst>
                    <a:ext uri="{FF2B5EF4-FFF2-40B4-BE49-F238E27FC236}">
                      <a16:creationId xmlns:a16="http://schemas.microsoft.com/office/drawing/2014/main" id="{BDBD29CF-5D05-4594-852B-4AD66595B379}"/>
                    </a:ext>
                  </a:extLst>
                </xdr:cNvPr>
                <xdr:cNvGrpSpPr/>
              </xdr:nvGrpSpPr>
              <xdr:grpSpPr>
                <a:xfrm>
                  <a:off x="3094691" y="3867151"/>
                  <a:ext cx="1734484" cy="2476500"/>
                  <a:chOff x="3094691" y="3867151"/>
                  <a:chExt cx="1734484" cy="2476500"/>
                </a:xfrm>
              </xdr:grpSpPr>
              <xdr:sp macro="" textlink="">
                <xdr:nvSpPr>
                  <xdr:cNvPr id="157" name="Rectangle: Rounded Corners 156">
                    <a:extLst>
                      <a:ext uri="{FF2B5EF4-FFF2-40B4-BE49-F238E27FC236}">
                        <a16:creationId xmlns:a16="http://schemas.microsoft.com/office/drawing/2014/main" id="{B2E36D4A-5797-43C7-9513-7164B1262D67}"/>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8" name="TextBox 157">
                    <a:extLst>
                      <a:ext uri="{FF2B5EF4-FFF2-40B4-BE49-F238E27FC236}">
                        <a16:creationId xmlns:a16="http://schemas.microsoft.com/office/drawing/2014/main" id="{BF003DF5-2350-41C3-BC24-BC52F577059C}"/>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D'ds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52" name="Group 151">
                  <a:extLst>
                    <a:ext uri="{FF2B5EF4-FFF2-40B4-BE49-F238E27FC236}">
                      <a16:creationId xmlns:a16="http://schemas.microsoft.com/office/drawing/2014/main" id="{92EA0943-3599-4102-A4C7-FA075A0C4BA3}"/>
                    </a:ext>
                  </a:extLst>
                </xdr:cNvPr>
                <xdr:cNvGrpSpPr/>
              </xdr:nvGrpSpPr>
              <xdr:grpSpPr>
                <a:xfrm>
                  <a:off x="3095625" y="4276724"/>
                  <a:ext cx="2054936" cy="304397"/>
                  <a:chOff x="3095625" y="4229099"/>
                  <a:chExt cx="2054936" cy="304397"/>
                </a:xfrm>
              </xdr:grpSpPr>
              <xdr:sp macro="" textlink="">
                <xdr:nvSpPr>
                  <xdr:cNvPr id="153" name="Rectangle: Rounded Corners 152">
                    <a:extLst>
                      <a:ext uri="{FF2B5EF4-FFF2-40B4-BE49-F238E27FC236}">
                        <a16:creationId xmlns:a16="http://schemas.microsoft.com/office/drawing/2014/main" id="{0082DBA6-4C5C-4B64-9729-8186C9CAD5E2}"/>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54" name="Group 153">
                    <a:extLst>
                      <a:ext uri="{FF2B5EF4-FFF2-40B4-BE49-F238E27FC236}">
                        <a16:creationId xmlns:a16="http://schemas.microsoft.com/office/drawing/2014/main" id="{E237D02F-0ED9-44F3-AAED-663FD980F253}"/>
                      </a:ext>
                    </a:extLst>
                  </xdr:cNvPr>
                  <xdr:cNvGrpSpPr/>
                </xdr:nvGrpSpPr>
                <xdr:grpSpPr>
                  <a:xfrm>
                    <a:off x="3152775" y="4238624"/>
                    <a:ext cx="1997786" cy="294872"/>
                    <a:chOff x="8410575" y="3800474"/>
                    <a:chExt cx="1997786" cy="294872"/>
                  </a:xfrm>
                </xdr:grpSpPr>
                <xdr:sp macro="" textlink="">
                  <xdr:nvSpPr>
                    <xdr:cNvPr id="155" name="TextBox 154">
                      <a:extLst>
                        <a:ext uri="{FF2B5EF4-FFF2-40B4-BE49-F238E27FC236}">
                          <a16:creationId xmlns:a16="http://schemas.microsoft.com/office/drawing/2014/main" id="{003C7A7A-67BF-4C53-B5A0-374D37F5E3EB}"/>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56" name="TextBox 155">
                      <a:extLst>
                        <a:ext uri="{FF2B5EF4-FFF2-40B4-BE49-F238E27FC236}">
                          <a16:creationId xmlns:a16="http://schemas.microsoft.com/office/drawing/2014/main" id="{1808A78B-6A91-42A8-BF21-56754AE90D45}"/>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130" name="Group 129">
                <a:extLst>
                  <a:ext uri="{FF2B5EF4-FFF2-40B4-BE49-F238E27FC236}">
                    <a16:creationId xmlns:a16="http://schemas.microsoft.com/office/drawing/2014/main" id="{1051EF43-73EC-4C1B-A6D1-3CD05F918407}"/>
                  </a:ext>
                </a:extLst>
              </xdr:cNvPr>
              <xdr:cNvGrpSpPr/>
            </xdr:nvGrpSpPr>
            <xdr:grpSpPr>
              <a:xfrm>
                <a:off x="3162300" y="4615142"/>
                <a:ext cx="1715220" cy="1495022"/>
                <a:chOff x="3162300" y="4615142"/>
                <a:chExt cx="1715220" cy="1495022"/>
              </a:xfrm>
            </xdr:grpSpPr>
            <xdr:grpSp>
              <xdr:nvGrpSpPr>
                <xdr:cNvPr id="131" name="Group 130">
                  <a:extLst>
                    <a:ext uri="{FF2B5EF4-FFF2-40B4-BE49-F238E27FC236}">
                      <a16:creationId xmlns:a16="http://schemas.microsoft.com/office/drawing/2014/main" id="{DA13A202-A1C3-483A-911E-51700A3CF497}"/>
                    </a:ext>
                  </a:extLst>
                </xdr:cNvPr>
                <xdr:cNvGrpSpPr/>
              </xdr:nvGrpSpPr>
              <xdr:grpSpPr>
                <a:xfrm>
                  <a:off x="3162300" y="4615142"/>
                  <a:ext cx="1714500" cy="294872"/>
                  <a:chOff x="3162300" y="4596092"/>
                  <a:chExt cx="1714500" cy="294872"/>
                </a:xfrm>
              </xdr:grpSpPr>
              <xdr:sp macro="" textlink="">
                <xdr:nvSpPr>
                  <xdr:cNvPr id="148" name="TextBox 147">
                    <a:extLst>
                      <a:ext uri="{FF2B5EF4-FFF2-40B4-BE49-F238E27FC236}">
                        <a16:creationId xmlns:a16="http://schemas.microsoft.com/office/drawing/2014/main" id="{F02F6AD7-897A-441E-BB40-13CECB06CA33}"/>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D2ds</a:t>
                    </a:r>
                  </a:p>
                </xdr:txBody>
              </xdr:sp>
              <xdr:sp macro="" textlink="'Dashboard Workings'!BW21">
                <xdr:nvSpPr>
                  <xdr:cNvPr id="149" name="TextBox 148">
                    <a:extLst>
                      <a:ext uri="{FF2B5EF4-FFF2-40B4-BE49-F238E27FC236}">
                        <a16:creationId xmlns:a16="http://schemas.microsoft.com/office/drawing/2014/main" id="{3D7FC28D-F74B-4B22-B625-107A5424CAA3}"/>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40CC32-D1BF-445E-832E-D218C1B0831A}"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1">
                <xdr:nvSpPr>
                  <xdr:cNvPr id="150" name="TextBox 149">
                    <a:extLst>
                      <a:ext uri="{FF2B5EF4-FFF2-40B4-BE49-F238E27FC236}">
                        <a16:creationId xmlns:a16="http://schemas.microsoft.com/office/drawing/2014/main" id="{A4E9F431-877C-4A8A-B47D-0A69CE5222F1}"/>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212136C-FE10-4152-921E-415631C69E8B}"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2" name="Group 131">
                  <a:extLst>
                    <a:ext uri="{FF2B5EF4-FFF2-40B4-BE49-F238E27FC236}">
                      <a16:creationId xmlns:a16="http://schemas.microsoft.com/office/drawing/2014/main" id="{F793839D-FC67-4942-9AB5-CFA6D06D7D3E}"/>
                    </a:ext>
                  </a:extLst>
                </xdr:cNvPr>
                <xdr:cNvGrpSpPr/>
              </xdr:nvGrpSpPr>
              <xdr:grpSpPr>
                <a:xfrm>
                  <a:off x="3162300" y="4919942"/>
                  <a:ext cx="1714500" cy="294872"/>
                  <a:chOff x="3162300" y="4596092"/>
                  <a:chExt cx="1714500" cy="294872"/>
                </a:xfrm>
              </xdr:grpSpPr>
              <xdr:sp macro="" textlink="">
                <xdr:nvSpPr>
                  <xdr:cNvPr id="145" name="TextBox 144">
                    <a:extLst>
                      <a:ext uri="{FF2B5EF4-FFF2-40B4-BE49-F238E27FC236}">
                        <a16:creationId xmlns:a16="http://schemas.microsoft.com/office/drawing/2014/main" id="{76500382-B285-4852-A442-72708F5B359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D4ds</a:t>
                    </a:r>
                  </a:p>
                </xdr:txBody>
              </xdr:sp>
              <xdr:sp macro="" textlink="'Dashboard Workings'!BW22">
                <xdr:nvSpPr>
                  <xdr:cNvPr id="146" name="TextBox 145">
                    <a:extLst>
                      <a:ext uri="{FF2B5EF4-FFF2-40B4-BE49-F238E27FC236}">
                        <a16:creationId xmlns:a16="http://schemas.microsoft.com/office/drawing/2014/main" id="{36447FFB-553F-421F-802C-06DA59E2E61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873AA38-E75C-46B3-A9D0-71826F608E42}"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2">
                <xdr:nvSpPr>
                  <xdr:cNvPr id="147" name="TextBox 146">
                    <a:extLst>
                      <a:ext uri="{FF2B5EF4-FFF2-40B4-BE49-F238E27FC236}">
                        <a16:creationId xmlns:a16="http://schemas.microsoft.com/office/drawing/2014/main" id="{8254389F-3E05-4359-8D02-C1C417225512}"/>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8E29537-E31C-4BAC-90FA-A032B32B5EE3}"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3" name="Group 132">
                  <a:extLst>
                    <a:ext uri="{FF2B5EF4-FFF2-40B4-BE49-F238E27FC236}">
                      <a16:creationId xmlns:a16="http://schemas.microsoft.com/office/drawing/2014/main" id="{93B4326B-8492-4100-8B98-542BACB2C789}"/>
                    </a:ext>
                  </a:extLst>
                </xdr:cNvPr>
                <xdr:cNvGrpSpPr/>
              </xdr:nvGrpSpPr>
              <xdr:grpSpPr>
                <a:xfrm>
                  <a:off x="3163020" y="5224742"/>
                  <a:ext cx="1714500" cy="294872"/>
                  <a:chOff x="3162300" y="4596092"/>
                  <a:chExt cx="1714500" cy="294872"/>
                </a:xfrm>
              </xdr:grpSpPr>
              <xdr:sp macro="" textlink="">
                <xdr:nvSpPr>
                  <xdr:cNvPr id="142" name="TextBox 141">
                    <a:extLst>
                      <a:ext uri="{FF2B5EF4-FFF2-40B4-BE49-F238E27FC236}">
                        <a16:creationId xmlns:a16="http://schemas.microsoft.com/office/drawing/2014/main" id="{1C60FB6D-FDB1-4CA6-BF86-A161D2D20B8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D8ds</a:t>
                    </a:r>
                  </a:p>
                </xdr:txBody>
              </xdr:sp>
              <xdr:sp macro="" textlink="'Dashboard Workings'!BW23">
                <xdr:nvSpPr>
                  <xdr:cNvPr id="143" name="TextBox 142">
                    <a:extLst>
                      <a:ext uri="{FF2B5EF4-FFF2-40B4-BE49-F238E27FC236}">
                        <a16:creationId xmlns:a16="http://schemas.microsoft.com/office/drawing/2014/main" id="{700FF421-10FF-4AF3-B322-1F315A36D8EC}"/>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925AE1-8B43-488D-8EA9-BD31D283D64D}"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3">
                <xdr:nvSpPr>
                  <xdr:cNvPr id="144" name="TextBox 143">
                    <a:extLst>
                      <a:ext uri="{FF2B5EF4-FFF2-40B4-BE49-F238E27FC236}">
                        <a16:creationId xmlns:a16="http://schemas.microsoft.com/office/drawing/2014/main" id="{E4347DF9-0AE5-499F-8E4D-0057203C613C}"/>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FFB443E-A0BA-4550-977C-DB03C214FDBD}"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4" name="Group 133">
                  <a:extLst>
                    <a:ext uri="{FF2B5EF4-FFF2-40B4-BE49-F238E27FC236}">
                      <a16:creationId xmlns:a16="http://schemas.microsoft.com/office/drawing/2014/main" id="{E65B6867-5A72-4452-9BC4-20A91B2C8275}"/>
                    </a:ext>
                  </a:extLst>
                </xdr:cNvPr>
                <xdr:cNvGrpSpPr/>
              </xdr:nvGrpSpPr>
              <xdr:grpSpPr>
                <a:xfrm>
                  <a:off x="3163020" y="5520017"/>
                  <a:ext cx="1714500" cy="294872"/>
                  <a:chOff x="3162300" y="4596092"/>
                  <a:chExt cx="1714500" cy="294872"/>
                </a:xfrm>
              </xdr:grpSpPr>
              <xdr:sp macro="" textlink="">
                <xdr:nvSpPr>
                  <xdr:cNvPr id="139" name="TextBox 138">
                    <a:extLst>
                      <a:ext uri="{FF2B5EF4-FFF2-40B4-BE49-F238E27FC236}">
                        <a16:creationId xmlns:a16="http://schemas.microsoft.com/office/drawing/2014/main" id="{166A8B92-7B6B-4536-8921-1DDE34A8610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D16ds</a:t>
                    </a:r>
                  </a:p>
                </xdr:txBody>
              </xdr:sp>
              <xdr:sp macro="" textlink="'Dashboard Workings'!BW24">
                <xdr:nvSpPr>
                  <xdr:cNvPr id="140" name="TextBox 139">
                    <a:extLst>
                      <a:ext uri="{FF2B5EF4-FFF2-40B4-BE49-F238E27FC236}">
                        <a16:creationId xmlns:a16="http://schemas.microsoft.com/office/drawing/2014/main" id="{AEB4FDED-20AD-43EA-9D0E-3ADFB2921361}"/>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784854-1477-4EA5-9A14-5ABE65A509B3}"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4">
                <xdr:nvSpPr>
                  <xdr:cNvPr id="141" name="TextBox 140">
                    <a:extLst>
                      <a:ext uri="{FF2B5EF4-FFF2-40B4-BE49-F238E27FC236}">
                        <a16:creationId xmlns:a16="http://schemas.microsoft.com/office/drawing/2014/main" id="{20563E24-C986-46C0-81DA-8FBDDC374E1C}"/>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F8894D3-2E2B-42C5-9F93-3C3EFA66F03B}"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35" name="Group 134">
                  <a:extLst>
                    <a:ext uri="{FF2B5EF4-FFF2-40B4-BE49-F238E27FC236}">
                      <a16:creationId xmlns:a16="http://schemas.microsoft.com/office/drawing/2014/main" id="{66CF89C9-6126-4849-9A87-F78687123408}"/>
                    </a:ext>
                  </a:extLst>
                </xdr:cNvPr>
                <xdr:cNvGrpSpPr/>
              </xdr:nvGrpSpPr>
              <xdr:grpSpPr>
                <a:xfrm>
                  <a:off x="3163020" y="5815292"/>
                  <a:ext cx="1714500" cy="294872"/>
                  <a:chOff x="3162300" y="4596092"/>
                  <a:chExt cx="1714500" cy="294872"/>
                </a:xfrm>
              </xdr:grpSpPr>
              <xdr:sp macro="" textlink="">
                <xdr:nvSpPr>
                  <xdr:cNvPr id="136" name="TextBox 135">
                    <a:extLst>
                      <a:ext uri="{FF2B5EF4-FFF2-40B4-BE49-F238E27FC236}">
                        <a16:creationId xmlns:a16="http://schemas.microsoft.com/office/drawing/2014/main" id="{6F44D350-F3D7-44F4-BBA1-9EF557AC776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D32ds</a:t>
                    </a:r>
                  </a:p>
                </xdr:txBody>
              </xdr:sp>
              <xdr:sp macro="" textlink="'Dashboard Workings'!BW25">
                <xdr:nvSpPr>
                  <xdr:cNvPr id="137" name="TextBox 136">
                    <a:extLst>
                      <a:ext uri="{FF2B5EF4-FFF2-40B4-BE49-F238E27FC236}">
                        <a16:creationId xmlns:a16="http://schemas.microsoft.com/office/drawing/2014/main" id="{AD61E4A9-78E8-42DC-93D6-353E97304BEC}"/>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729DADC-0734-4870-BEA3-A87685A22057}"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5">
                <xdr:nvSpPr>
                  <xdr:cNvPr id="138" name="TextBox 137">
                    <a:extLst>
                      <a:ext uri="{FF2B5EF4-FFF2-40B4-BE49-F238E27FC236}">
                        <a16:creationId xmlns:a16="http://schemas.microsoft.com/office/drawing/2014/main" id="{6BA8F614-DC3F-43D8-91BF-6EE5B6B16227}"/>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2849AD-215E-4D5B-BFA9-72BDEDFA7900}"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126" name="TextBox 125">
              <a:extLst>
                <a:ext uri="{FF2B5EF4-FFF2-40B4-BE49-F238E27FC236}">
                  <a16:creationId xmlns:a16="http://schemas.microsoft.com/office/drawing/2014/main" id="{EDC84336-6C9A-46F7-BA32-585ED2EFF91F}"/>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D64ds</a:t>
              </a:r>
            </a:p>
          </xdr:txBody>
        </xdr:sp>
        <xdr:sp macro="" textlink="'Dashboard Workings'!BW27">
          <xdr:nvSpPr>
            <xdr:cNvPr id="127" name="TextBox 126">
              <a:extLst>
                <a:ext uri="{FF2B5EF4-FFF2-40B4-BE49-F238E27FC236}">
                  <a16:creationId xmlns:a16="http://schemas.microsoft.com/office/drawing/2014/main" id="{130CEB2A-F8A8-4400-8A84-A2B32DA2F52F}"/>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1420DD8-81A9-47E3-8ED4-95EECB801BB8}"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7">
          <xdr:nvSpPr>
            <xdr:cNvPr id="128" name="TextBox 127">
              <a:extLst>
                <a:ext uri="{FF2B5EF4-FFF2-40B4-BE49-F238E27FC236}">
                  <a16:creationId xmlns:a16="http://schemas.microsoft.com/office/drawing/2014/main" id="{0471BF8C-4476-4E70-ADE1-7C2EE67D82E5}"/>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9DFE69F-CC76-4206-99AD-784E443EEE05}"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sp macro="" textlink="">
        <xdr:nvSpPr>
          <xdr:cNvPr id="29" name="TextBox 28">
            <a:extLst>
              <a:ext uri="{FF2B5EF4-FFF2-40B4-BE49-F238E27FC236}">
                <a16:creationId xmlns:a16="http://schemas.microsoft.com/office/drawing/2014/main" id="{3C51435D-AD71-42D7-9F61-D274A21B5262}"/>
              </a:ext>
            </a:extLst>
          </xdr:cNvPr>
          <xdr:cNvSpPr txBox="1"/>
        </xdr:nvSpPr>
        <xdr:spPr>
          <a:xfrm>
            <a:off x="10201994" y="4034116"/>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30" name="Group 29">
            <a:extLst>
              <a:ext uri="{FF2B5EF4-FFF2-40B4-BE49-F238E27FC236}">
                <a16:creationId xmlns:a16="http://schemas.microsoft.com/office/drawing/2014/main" id="{864665B8-73CE-47B9-9A64-265ECB4E0A46}"/>
              </a:ext>
            </a:extLst>
          </xdr:cNvPr>
          <xdr:cNvGrpSpPr/>
        </xdr:nvGrpSpPr>
        <xdr:grpSpPr>
          <a:xfrm>
            <a:off x="10802070" y="3824567"/>
            <a:ext cx="2055870" cy="2495147"/>
            <a:chOff x="8867775" y="3838575"/>
            <a:chExt cx="2055870" cy="2495147"/>
          </a:xfrm>
        </xdr:grpSpPr>
        <xdr:grpSp>
          <xdr:nvGrpSpPr>
            <xdr:cNvPr id="91" name="Group 90">
              <a:extLst>
                <a:ext uri="{FF2B5EF4-FFF2-40B4-BE49-F238E27FC236}">
                  <a16:creationId xmlns:a16="http://schemas.microsoft.com/office/drawing/2014/main" id="{B2CF1291-BC3E-4C90-88DF-0F9BCC9231C1}"/>
                </a:ext>
              </a:extLst>
            </xdr:cNvPr>
            <xdr:cNvGrpSpPr/>
          </xdr:nvGrpSpPr>
          <xdr:grpSpPr>
            <a:xfrm>
              <a:off x="8867775" y="3838575"/>
              <a:ext cx="2055870" cy="2476500"/>
              <a:chOff x="3094691" y="3867151"/>
              <a:chExt cx="2055870" cy="2476500"/>
            </a:xfrm>
          </xdr:grpSpPr>
          <xdr:grpSp>
            <xdr:nvGrpSpPr>
              <xdr:cNvPr id="95" name="Group 94">
                <a:extLst>
                  <a:ext uri="{FF2B5EF4-FFF2-40B4-BE49-F238E27FC236}">
                    <a16:creationId xmlns:a16="http://schemas.microsoft.com/office/drawing/2014/main" id="{094E8677-C7B1-4CAB-B814-0F15652651D9}"/>
                  </a:ext>
                </a:extLst>
              </xdr:cNvPr>
              <xdr:cNvGrpSpPr/>
            </xdr:nvGrpSpPr>
            <xdr:grpSpPr>
              <a:xfrm>
                <a:off x="3094691" y="3867151"/>
                <a:ext cx="2055870" cy="2476500"/>
                <a:chOff x="3094691" y="3867151"/>
                <a:chExt cx="2055870" cy="2476500"/>
              </a:xfrm>
            </xdr:grpSpPr>
            <xdr:grpSp>
              <xdr:nvGrpSpPr>
                <xdr:cNvPr id="117" name="Group 116">
                  <a:extLst>
                    <a:ext uri="{FF2B5EF4-FFF2-40B4-BE49-F238E27FC236}">
                      <a16:creationId xmlns:a16="http://schemas.microsoft.com/office/drawing/2014/main" id="{A0CD7C6D-563F-42BF-BD42-7FF8664BF241}"/>
                    </a:ext>
                  </a:extLst>
                </xdr:cNvPr>
                <xdr:cNvGrpSpPr/>
              </xdr:nvGrpSpPr>
              <xdr:grpSpPr>
                <a:xfrm>
                  <a:off x="3094691" y="3867151"/>
                  <a:ext cx="1734484" cy="2476500"/>
                  <a:chOff x="3094691" y="3867151"/>
                  <a:chExt cx="1734484" cy="2476500"/>
                </a:xfrm>
              </xdr:grpSpPr>
              <xdr:sp macro="" textlink="">
                <xdr:nvSpPr>
                  <xdr:cNvPr id="123" name="Rectangle: Rounded Corners 122">
                    <a:extLst>
                      <a:ext uri="{FF2B5EF4-FFF2-40B4-BE49-F238E27FC236}">
                        <a16:creationId xmlns:a16="http://schemas.microsoft.com/office/drawing/2014/main" id="{2A7074F4-4335-44B5-9A34-8ABEA264EB7C}"/>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 name="TextBox 123">
                    <a:extLst>
                      <a:ext uri="{FF2B5EF4-FFF2-40B4-BE49-F238E27FC236}">
                        <a16:creationId xmlns:a16="http://schemas.microsoft.com/office/drawing/2014/main" id="{DFCB341C-C29B-4B3C-BE51-615E4C31226F}"/>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E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118" name="Group 117">
                  <a:extLst>
                    <a:ext uri="{FF2B5EF4-FFF2-40B4-BE49-F238E27FC236}">
                      <a16:creationId xmlns:a16="http://schemas.microsoft.com/office/drawing/2014/main" id="{A00C1BBE-35E7-44F9-B96A-6D40AA99AD31}"/>
                    </a:ext>
                  </a:extLst>
                </xdr:cNvPr>
                <xdr:cNvGrpSpPr/>
              </xdr:nvGrpSpPr>
              <xdr:grpSpPr>
                <a:xfrm>
                  <a:off x="3095625" y="4276724"/>
                  <a:ext cx="2054936" cy="304397"/>
                  <a:chOff x="3095625" y="4229099"/>
                  <a:chExt cx="2054936" cy="304397"/>
                </a:xfrm>
              </xdr:grpSpPr>
              <xdr:sp macro="" textlink="">
                <xdr:nvSpPr>
                  <xdr:cNvPr id="119" name="Rectangle: Rounded Corners 118">
                    <a:extLst>
                      <a:ext uri="{FF2B5EF4-FFF2-40B4-BE49-F238E27FC236}">
                        <a16:creationId xmlns:a16="http://schemas.microsoft.com/office/drawing/2014/main" id="{AAE67874-502A-4776-9147-F0820CA170AB}"/>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20" name="Group 119">
                    <a:extLst>
                      <a:ext uri="{FF2B5EF4-FFF2-40B4-BE49-F238E27FC236}">
                        <a16:creationId xmlns:a16="http://schemas.microsoft.com/office/drawing/2014/main" id="{B1926036-FA82-4C7E-A127-64982BB53D10}"/>
                      </a:ext>
                    </a:extLst>
                  </xdr:cNvPr>
                  <xdr:cNvGrpSpPr/>
                </xdr:nvGrpSpPr>
                <xdr:grpSpPr>
                  <a:xfrm>
                    <a:off x="3152775" y="4238624"/>
                    <a:ext cx="1997786" cy="294872"/>
                    <a:chOff x="8410575" y="3800474"/>
                    <a:chExt cx="1997786" cy="294872"/>
                  </a:xfrm>
                </xdr:grpSpPr>
                <xdr:sp macro="" textlink="">
                  <xdr:nvSpPr>
                    <xdr:cNvPr id="121" name="TextBox 120">
                      <a:extLst>
                        <a:ext uri="{FF2B5EF4-FFF2-40B4-BE49-F238E27FC236}">
                          <a16:creationId xmlns:a16="http://schemas.microsoft.com/office/drawing/2014/main" id="{B859DFB9-9D6C-4357-A96F-3B600AC8B9E4}"/>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122" name="TextBox 121">
                      <a:extLst>
                        <a:ext uri="{FF2B5EF4-FFF2-40B4-BE49-F238E27FC236}">
                          <a16:creationId xmlns:a16="http://schemas.microsoft.com/office/drawing/2014/main" id="{5CD5EAFC-C348-47DA-B2AC-BB2E20A54765}"/>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96" name="Group 95">
                <a:extLst>
                  <a:ext uri="{FF2B5EF4-FFF2-40B4-BE49-F238E27FC236}">
                    <a16:creationId xmlns:a16="http://schemas.microsoft.com/office/drawing/2014/main" id="{E51F63A8-F0D9-4852-B76E-12E3FA9AED31}"/>
                  </a:ext>
                </a:extLst>
              </xdr:cNvPr>
              <xdr:cNvGrpSpPr/>
            </xdr:nvGrpSpPr>
            <xdr:grpSpPr>
              <a:xfrm>
                <a:off x="3162300" y="4615142"/>
                <a:ext cx="1715220" cy="1495022"/>
                <a:chOff x="3162300" y="4615142"/>
                <a:chExt cx="1715220" cy="1495022"/>
              </a:xfrm>
            </xdr:grpSpPr>
            <xdr:grpSp>
              <xdr:nvGrpSpPr>
                <xdr:cNvPr id="97" name="Group 96">
                  <a:extLst>
                    <a:ext uri="{FF2B5EF4-FFF2-40B4-BE49-F238E27FC236}">
                      <a16:creationId xmlns:a16="http://schemas.microsoft.com/office/drawing/2014/main" id="{7217B527-19C9-4863-9674-8A04572D3E94}"/>
                    </a:ext>
                  </a:extLst>
                </xdr:cNvPr>
                <xdr:cNvGrpSpPr/>
              </xdr:nvGrpSpPr>
              <xdr:grpSpPr>
                <a:xfrm>
                  <a:off x="3162300" y="4615142"/>
                  <a:ext cx="1714500" cy="294872"/>
                  <a:chOff x="3162300" y="4596092"/>
                  <a:chExt cx="1714500" cy="294872"/>
                </a:xfrm>
              </xdr:grpSpPr>
              <xdr:sp macro="" textlink="">
                <xdr:nvSpPr>
                  <xdr:cNvPr id="114" name="TextBox 113">
                    <a:extLst>
                      <a:ext uri="{FF2B5EF4-FFF2-40B4-BE49-F238E27FC236}">
                        <a16:creationId xmlns:a16="http://schemas.microsoft.com/office/drawing/2014/main" id="{CF41ABF4-C61B-4791-B52A-3E0929DFE404}"/>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E2ds</a:t>
                    </a:r>
                  </a:p>
                </xdr:txBody>
              </xdr:sp>
              <xdr:sp macro="" textlink="'Dashboard Workings'!BW28">
                <xdr:nvSpPr>
                  <xdr:cNvPr id="115" name="TextBox 114">
                    <a:extLst>
                      <a:ext uri="{FF2B5EF4-FFF2-40B4-BE49-F238E27FC236}">
                        <a16:creationId xmlns:a16="http://schemas.microsoft.com/office/drawing/2014/main" id="{8A38E8A4-2B50-43DF-ABF3-1019A30ACD4C}"/>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E0F4167-067A-4D18-ACBA-298B66D78BDB}"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8">
                <xdr:nvSpPr>
                  <xdr:cNvPr id="116" name="TextBox 115">
                    <a:extLst>
                      <a:ext uri="{FF2B5EF4-FFF2-40B4-BE49-F238E27FC236}">
                        <a16:creationId xmlns:a16="http://schemas.microsoft.com/office/drawing/2014/main" id="{B32476E7-D586-4B9F-B1AC-93E6F824694A}"/>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6B6548-0997-4B08-909F-CC95433D7C91}"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98" name="Group 97">
                  <a:extLst>
                    <a:ext uri="{FF2B5EF4-FFF2-40B4-BE49-F238E27FC236}">
                      <a16:creationId xmlns:a16="http://schemas.microsoft.com/office/drawing/2014/main" id="{A7653D88-9840-47D8-B10B-74A5B75431EC}"/>
                    </a:ext>
                  </a:extLst>
                </xdr:cNvPr>
                <xdr:cNvGrpSpPr/>
              </xdr:nvGrpSpPr>
              <xdr:grpSpPr>
                <a:xfrm>
                  <a:off x="3162300" y="4919942"/>
                  <a:ext cx="1714500" cy="294872"/>
                  <a:chOff x="3162300" y="4596092"/>
                  <a:chExt cx="1714500" cy="294872"/>
                </a:xfrm>
              </xdr:grpSpPr>
              <xdr:sp macro="" textlink="">
                <xdr:nvSpPr>
                  <xdr:cNvPr id="111" name="TextBox 110">
                    <a:extLst>
                      <a:ext uri="{FF2B5EF4-FFF2-40B4-BE49-F238E27FC236}">
                        <a16:creationId xmlns:a16="http://schemas.microsoft.com/office/drawing/2014/main" id="{A387AFDE-D730-494F-AD39-76E1A426413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E4ds</a:t>
                    </a:r>
                  </a:p>
                </xdr:txBody>
              </xdr:sp>
              <xdr:sp macro="" textlink="'Dashboard Workings'!BW29">
                <xdr:nvSpPr>
                  <xdr:cNvPr id="112" name="TextBox 111">
                    <a:extLst>
                      <a:ext uri="{FF2B5EF4-FFF2-40B4-BE49-F238E27FC236}">
                        <a16:creationId xmlns:a16="http://schemas.microsoft.com/office/drawing/2014/main" id="{56617D42-21B6-416C-B878-8E7854D1F11F}"/>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53D9D86-7F6E-4650-B99E-257A69FB34C1}"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29">
                <xdr:nvSpPr>
                  <xdr:cNvPr id="113" name="TextBox 112">
                    <a:extLst>
                      <a:ext uri="{FF2B5EF4-FFF2-40B4-BE49-F238E27FC236}">
                        <a16:creationId xmlns:a16="http://schemas.microsoft.com/office/drawing/2014/main" id="{917A34F3-5954-4B9E-B198-EC9BA23D3A3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5AB843B-9C36-4A97-8168-DE5E1C894E49}"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99" name="Group 98">
                  <a:extLst>
                    <a:ext uri="{FF2B5EF4-FFF2-40B4-BE49-F238E27FC236}">
                      <a16:creationId xmlns:a16="http://schemas.microsoft.com/office/drawing/2014/main" id="{04EAAB01-659A-4BD9-A321-8E8B3797E58C}"/>
                    </a:ext>
                  </a:extLst>
                </xdr:cNvPr>
                <xdr:cNvGrpSpPr/>
              </xdr:nvGrpSpPr>
              <xdr:grpSpPr>
                <a:xfrm>
                  <a:off x="3163020" y="5224742"/>
                  <a:ext cx="1714500" cy="294872"/>
                  <a:chOff x="3162300" y="4596092"/>
                  <a:chExt cx="1714500" cy="294872"/>
                </a:xfrm>
              </xdr:grpSpPr>
              <xdr:sp macro="" textlink="">
                <xdr:nvSpPr>
                  <xdr:cNvPr id="108" name="TextBox 107">
                    <a:extLst>
                      <a:ext uri="{FF2B5EF4-FFF2-40B4-BE49-F238E27FC236}">
                        <a16:creationId xmlns:a16="http://schemas.microsoft.com/office/drawing/2014/main" id="{71EE5085-7F20-4B8B-993C-2C1DF6CBE30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E8ds</a:t>
                    </a:r>
                  </a:p>
                </xdr:txBody>
              </xdr:sp>
              <xdr:sp macro="" textlink="'Dashboard Workings'!BW33">
                <xdr:nvSpPr>
                  <xdr:cNvPr id="109" name="TextBox 108">
                    <a:extLst>
                      <a:ext uri="{FF2B5EF4-FFF2-40B4-BE49-F238E27FC236}">
                        <a16:creationId xmlns:a16="http://schemas.microsoft.com/office/drawing/2014/main" id="{AE206BE5-85E4-4DBA-87AA-277A1A210246}"/>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7CD1D4-0B2B-44F8-A97F-243C562A7DF6}"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33">
                <xdr:nvSpPr>
                  <xdr:cNvPr id="110" name="TextBox 109">
                    <a:extLst>
                      <a:ext uri="{FF2B5EF4-FFF2-40B4-BE49-F238E27FC236}">
                        <a16:creationId xmlns:a16="http://schemas.microsoft.com/office/drawing/2014/main" id="{39B60E77-6C31-4B01-AA6C-51FA5AF668EA}"/>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3B73A15-F93E-4F0C-A1CA-FB318702DA78}"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00" name="Group 99">
                  <a:extLst>
                    <a:ext uri="{FF2B5EF4-FFF2-40B4-BE49-F238E27FC236}">
                      <a16:creationId xmlns:a16="http://schemas.microsoft.com/office/drawing/2014/main" id="{BBB73F22-AE88-4CC4-8AEC-040620D8B4AC}"/>
                    </a:ext>
                  </a:extLst>
                </xdr:cNvPr>
                <xdr:cNvGrpSpPr/>
              </xdr:nvGrpSpPr>
              <xdr:grpSpPr>
                <a:xfrm>
                  <a:off x="3163020" y="5520017"/>
                  <a:ext cx="1714500" cy="294872"/>
                  <a:chOff x="3162300" y="4596092"/>
                  <a:chExt cx="1714500" cy="294872"/>
                </a:xfrm>
              </xdr:grpSpPr>
              <xdr:sp macro="" textlink="">
                <xdr:nvSpPr>
                  <xdr:cNvPr id="105" name="TextBox 104">
                    <a:extLst>
                      <a:ext uri="{FF2B5EF4-FFF2-40B4-BE49-F238E27FC236}">
                        <a16:creationId xmlns:a16="http://schemas.microsoft.com/office/drawing/2014/main" id="{0C1109A8-C601-467A-85F4-23E230AE3C03}"/>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E16ds</a:t>
                    </a:r>
                  </a:p>
                </xdr:txBody>
              </xdr:sp>
              <xdr:sp macro="" textlink="'Dashboard Workings'!BW36">
                <xdr:nvSpPr>
                  <xdr:cNvPr id="106" name="TextBox 105">
                    <a:extLst>
                      <a:ext uri="{FF2B5EF4-FFF2-40B4-BE49-F238E27FC236}">
                        <a16:creationId xmlns:a16="http://schemas.microsoft.com/office/drawing/2014/main" id="{429F6826-692B-41C8-95B7-0E14EBFD130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0F95B19-8DF2-4E78-96E3-A586960A7719}"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36">
                <xdr:nvSpPr>
                  <xdr:cNvPr id="107" name="TextBox 106">
                    <a:extLst>
                      <a:ext uri="{FF2B5EF4-FFF2-40B4-BE49-F238E27FC236}">
                        <a16:creationId xmlns:a16="http://schemas.microsoft.com/office/drawing/2014/main" id="{9EE1F386-F336-442C-B619-C229A352816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5B5A79D-F4E9-4902-BB52-F5C0EBA0BA55}"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101" name="Group 100">
                  <a:extLst>
                    <a:ext uri="{FF2B5EF4-FFF2-40B4-BE49-F238E27FC236}">
                      <a16:creationId xmlns:a16="http://schemas.microsoft.com/office/drawing/2014/main" id="{CE34A1FB-5DA4-452B-A8DA-012F9FCF9AE5}"/>
                    </a:ext>
                  </a:extLst>
                </xdr:cNvPr>
                <xdr:cNvGrpSpPr/>
              </xdr:nvGrpSpPr>
              <xdr:grpSpPr>
                <a:xfrm>
                  <a:off x="3163020" y="5815292"/>
                  <a:ext cx="1714500" cy="294872"/>
                  <a:chOff x="3162300" y="4596092"/>
                  <a:chExt cx="1714500" cy="294872"/>
                </a:xfrm>
              </xdr:grpSpPr>
              <xdr:sp macro="" textlink="">
                <xdr:nvSpPr>
                  <xdr:cNvPr id="102" name="TextBox 101">
                    <a:extLst>
                      <a:ext uri="{FF2B5EF4-FFF2-40B4-BE49-F238E27FC236}">
                        <a16:creationId xmlns:a16="http://schemas.microsoft.com/office/drawing/2014/main" id="{17B8E502-E051-4E48-AC8B-B1E7328622C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E20ds</a:t>
                    </a:r>
                  </a:p>
                </xdr:txBody>
              </xdr:sp>
              <xdr:sp macro="" textlink="'Dashboard Workings'!BW37">
                <xdr:nvSpPr>
                  <xdr:cNvPr id="103" name="TextBox 102">
                    <a:extLst>
                      <a:ext uri="{FF2B5EF4-FFF2-40B4-BE49-F238E27FC236}">
                        <a16:creationId xmlns:a16="http://schemas.microsoft.com/office/drawing/2014/main" id="{F4384625-C04F-4C37-ABFD-C73BB26494B1}"/>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A811B-3C25-4ACC-9394-11A3966D456A}"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37">
                <xdr:nvSpPr>
                  <xdr:cNvPr id="104" name="TextBox 103">
                    <a:extLst>
                      <a:ext uri="{FF2B5EF4-FFF2-40B4-BE49-F238E27FC236}">
                        <a16:creationId xmlns:a16="http://schemas.microsoft.com/office/drawing/2014/main" id="{30BC37D4-0BF4-4EE5-A2B2-CF32B8232FE2}"/>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66F3A3D-F480-4DEA-B76B-3E90195B8CC8}"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92" name="TextBox 91">
              <a:extLst>
                <a:ext uri="{FF2B5EF4-FFF2-40B4-BE49-F238E27FC236}">
                  <a16:creationId xmlns:a16="http://schemas.microsoft.com/office/drawing/2014/main" id="{024AE5F3-7C71-4FCA-9749-08401C77D8D3}"/>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E32ds</a:t>
              </a:r>
            </a:p>
          </xdr:txBody>
        </xdr:sp>
        <xdr:sp macro="" textlink="'Dashboard Workings'!BW39">
          <xdr:nvSpPr>
            <xdr:cNvPr id="93" name="TextBox 92">
              <a:extLst>
                <a:ext uri="{FF2B5EF4-FFF2-40B4-BE49-F238E27FC236}">
                  <a16:creationId xmlns:a16="http://schemas.microsoft.com/office/drawing/2014/main" id="{BE424B02-E411-48B8-BFE6-558B4096FE8B}"/>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AF3CBB9-578F-439D-AE2A-996E821F6D73}"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39">
          <xdr:nvSpPr>
            <xdr:cNvPr id="94" name="TextBox 93">
              <a:extLst>
                <a:ext uri="{FF2B5EF4-FFF2-40B4-BE49-F238E27FC236}">
                  <a16:creationId xmlns:a16="http://schemas.microsoft.com/office/drawing/2014/main" id="{2AC3C223-2C6D-41BD-9403-6A370F07502E}"/>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E06161-310C-46BD-ACB8-E991BA5CACDB}"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1" name="Group 30">
            <a:extLst>
              <a:ext uri="{FF2B5EF4-FFF2-40B4-BE49-F238E27FC236}">
                <a16:creationId xmlns:a16="http://schemas.microsoft.com/office/drawing/2014/main" id="{8DA860F9-46A6-428B-979B-0158E64BBA6F}"/>
              </a:ext>
            </a:extLst>
          </xdr:cNvPr>
          <xdr:cNvGrpSpPr/>
        </xdr:nvGrpSpPr>
        <xdr:grpSpPr>
          <a:xfrm>
            <a:off x="12697545" y="3824567"/>
            <a:ext cx="2055870" cy="2495147"/>
            <a:chOff x="8867775" y="3838575"/>
            <a:chExt cx="2055870" cy="2495147"/>
          </a:xfrm>
        </xdr:grpSpPr>
        <xdr:grpSp>
          <xdr:nvGrpSpPr>
            <xdr:cNvPr id="57" name="Group 56">
              <a:extLst>
                <a:ext uri="{FF2B5EF4-FFF2-40B4-BE49-F238E27FC236}">
                  <a16:creationId xmlns:a16="http://schemas.microsoft.com/office/drawing/2014/main" id="{E169F0CD-22BE-48AB-8676-6C31BB167557}"/>
                </a:ext>
              </a:extLst>
            </xdr:cNvPr>
            <xdr:cNvGrpSpPr/>
          </xdr:nvGrpSpPr>
          <xdr:grpSpPr>
            <a:xfrm>
              <a:off x="8867775" y="3838575"/>
              <a:ext cx="2055870" cy="2476500"/>
              <a:chOff x="3094691" y="3867151"/>
              <a:chExt cx="2055870" cy="2476500"/>
            </a:xfrm>
          </xdr:grpSpPr>
          <xdr:grpSp>
            <xdr:nvGrpSpPr>
              <xdr:cNvPr id="61" name="Group 60">
                <a:extLst>
                  <a:ext uri="{FF2B5EF4-FFF2-40B4-BE49-F238E27FC236}">
                    <a16:creationId xmlns:a16="http://schemas.microsoft.com/office/drawing/2014/main" id="{CB6B415C-3A61-4CE2-9450-303ED87AE632}"/>
                  </a:ext>
                </a:extLst>
              </xdr:cNvPr>
              <xdr:cNvGrpSpPr/>
            </xdr:nvGrpSpPr>
            <xdr:grpSpPr>
              <a:xfrm>
                <a:off x="3094691" y="3867151"/>
                <a:ext cx="2055870" cy="2476500"/>
                <a:chOff x="3094691" y="3867151"/>
                <a:chExt cx="2055870" cy="2476500"/>
              </a:xfrm>
            </xdr:grpSpPr>
            <xdr:grpSp>
              <xdr:nvGrpSpPr>
                <xdr:cNvPr id="83" name="Group 82">
                  <a:extLst>
                    <a:ext uri="{FF2B5EF4-FFF2-40B4-BE49-F238E27FC236}">
                      <a16:creationId xmlns:a16="http://schemas.microsoft.com/office/drawing/2014/main" id="{C94BD808-82AC-4FBA-B5E7-FA47772A0B77}"/>
                    </a:ext>
                  </a:extLst>
                </xdr:cNvPr>
                <xdr:cNvGrpSpPr/>
              </xdr:nvGrpSpPr>
              <xdr:grpSpPr>
                <a:xfrm>
                  <a:off x="3094691" y="3867151"/>
                  <a:ext cx="1734484" cy="2476500"/>
                  <a:chOff x="3094691" y="3867151"/>
                  <a:chExt cx="1734484" cy="2476500"/>
                </a:xfrm>
              </xdr:grpSpPr>
              <xdr:sp macro="" textlink="">
                <xdr:nvSpPr>
                  <xdr:cNvPr id="89" name="Rectangle: Rounded Corners 88">
                    <a:extLst>
                      <a:ext uri="{FF2B5EF4-FFF2-40B4-BE49-F238E27FC236}">
                        <a16:creationId xmlns:a16="http://schemas.microsoft.com/office/drawing/2014/main" id="{A36083DE-44D9-4E05-9411-DEB9E62FE1F0}"/>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TextBox 89">
                    <a:extLst>
                      <a:ext uri="{FF2B5EF4-FFF2-40B4-BE49-F238E27FC236}">
                        <a16:creationId xmlns:a16="http://schemas.microsoft.com/office/drawing/2014/main" id="{65224AC5-8956-4354-A5AA-E7346D39EDF4}"/>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F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84" name="Group 83">
                  <a:extLst>
                    <a:ext uri="{FF2B5EF4-FFF2-40B4-BE49-F238E27FC236}">
                      <a16:creationId xmlns:a16="http://schemas.microsoft.com/office/drawing/2014/main" id="{6BD95DED-9A66-4789-9E5D-DD842E41E75F}"/>
                    </a:ext>
                  </a:extLst>
                </xdr:cNvPr>
                <xdr:cNvGrpSpPr/>
              </xdr:nvGrpSpPr>
              <xdr:grpSpPr>
                <a:xfrm>
                  <a:off x="3095625" y="4276724"/>
                  <a:ext cx="2054936" cy="304397"/>
                  <a:chOff x="3095625" y="4229099"/>
                  <a:chExt cx="2054936" cy="304397"/>
                </a:xfrm>
              </xdr:grpSpPr>
              <xdr:sp macro="" textlink="">
                <xdr:nvSpPr>
                  <xdr:cNvPr id="85" name="Rectangle: Rounded Corners 84">
                    <a:extLst>
                      <a:ext uri="{FF2B5EF4-FFF2-40B4-BE49-F238E27FC236}">
                        <a16:creationId xmlns:a16="http://schemas.microsoft.com/office/drawing/2014/main" id="{B5A09917-151F-4A4B-B15C-22B40A7DDB2B}"/>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6" name="Group 85">
                    <a:extLst>
                      <a:ext uri="{FF2B5EF4-FFF2-40B4-BE49-F238E27FC236}">
                        <a16:creationId xmlns:a16="http://schemas.microsoft.com/office/drawing/2014/main" id="{373EE6DC-1805-4CC6-8393-2EA10BF5C433}"/>
                      </a:ext>
                    </a:extLst>
                  </xdr:cNvPr>
                  <xdr:cNvGrpSpPr/>
                </xdr:nvGrpSpPr>
                <xdr:grpSpPr>
                  <a:xfrm>
                    <a:off x="3152775" y="4238624"/>
                    <a:ext cx="1997786" cy="294872"/>
                    <a:chOff x="8410575" y="3800474"/>
                    <a:chExt cx="1997786" cy="294872"/>
                  </a:xfrm>
                </xdr:grpSpPr>
                <xdr:sp macro="" textlink="">
                  <xdr:nvSpPr>
                    <xdr:cNvPr id="87" name="TextBox 86">
                      <a:extLst>
                        <a:ext uri="{FF2B5EF4-FFF2-40B4-BE49-F238E27FC236}">
                          <a16:creationId xmlns:a16="http://schemas.microsoft.com/office/drawing/2014/main" id="{D0BF7739-1230-49BC-A795-9890128659A3}"/>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88" name="TextBox 87">
                      <a:extLst>
                        <a:ext uri="{FF2B5EF4-FFF2-40B4-BE49-F238E27FC236}">
                          <a16:creationId xmlns:a16="http://schemas.microsoft.com/office/drawing/2014/main" id="{313BBB1C-D0B3-4846-899B-1F6979B9D47D}"/>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62" name="Group 61">
                <a:extLst>
                  <a:ext uri="{FF2B5EF4-FFF2-40B4-BE49-F238E27FC236}">
                    <a16:creationId xmlns:a16="http://schemas.microsoft.com/office/drawing/2014/main" id="{2896CD09-D5D0-4787-BEE5-33FA71073375}"/>
                  </a:ext>
                </a:extLst>
              </xdr:cNvPr>
              <xdr:cNvGrpSpPr/>
            </xdr:nvGrpSpPr>
            <xdr:grpSpPr>
              <a:xfrm>
                <a:off x="3162300" y="4615142"/>
                <a:ext cx="1715220" cy="1495022"/>
                <a:chOff x="3162300" y="4615142"/>
                <a:chExt cx="1715220" cy="1495022"/>
              </a:xfrm>
            </xdr:grpSpPr>
            <xdr:grpSp>
              <xdr:nvGrpSpPr>
                <xdr:cNvPr id="63" name="Group 62">
                  <a:extLst>
                    <a:ext uri="{FF2B5EF4-FFF2-40B4-BE49-F238E27FC236}">
                      <a16:creationId xmlns:a16="http://schemas.microsoft.com/office/drawing/2014/main" id="{0ED126F5-10CC-4B37-AC93-DE8D7E3D36EB}"/>
                    </a:ext>
                  </a:extLst>
                </xdr:cNvPr>
                <xdr:cNvGrpSpPr/>
              </xdr:nvGrpSpPr>
              <xdr:grpSpPr>
                <a:xfrm>
                  <a:off x="3162300" y="4615142"/>
                  <a:ext cx="1714500" cy="294872"/>
                  <a:chOff x="3162300" y="4596092"/>
                  <a:chExt cx="1714500" cy="294872"/>
                </a:xfrm>
              </xdr:grpSpPr>
              <xdr:sp macro="" textlink="">
                <xdr:nvSpPr>
                  <xdr:cNvPr id="80" name="TextBox 79">
                    <a:extLst>
                      <a:ext uri="{FF2B5EF4-FFF2-40B4-BE49-F238E27FC236}">
                        <a16:creationId xmlns:a16="http://schemas.microsoft.com/office/drawing/2014/main" id="{FBFB8E07-3440-4C03-9CFD-EB965EDF6302}"/>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v2</a:t>
                    </a:r>
                  </a:p>
                </xdr:txBody>
              </xdr:sp>
              <xdr:sp macro="" textlink="'Dashboard Workings'!BW42">
                <xdr:nvSpPr>
                  <xdr:cNvPr id="81" name="TextBox 80">
                    <a:extLst>
                      <a:ext uri="{FF2B5EF4-FFF2-40B4-BE49-F238E27FC236}">
                        <a16:creationId xmlns:a16="http://schemas.microsoft.com/office/drawing/2014/main" id="{275EB05E-C2AA-45BB-B014-276BCF0A23BE}"/>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2215EB-742D-4B4D-A0AD-2AB926E0407A}"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42">
                <xdr:nvSpPr>
                  <xdr:cNvPr id="82" name="TextBox 81">
                    <a:extLst>
                      <a:ext uri="{FF2B5EF4-FFF2-40B4-BE49-F238E27FC236}">
                        <a16:creationId xmlns:a16="http://schemas.microsoft.com/office/drawing/2014/main" id="{E1E2AED5-23AD-4112-9352-038972FEDA26}"/>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728D79B-FC42-49BB-B3F3-44009377625C}"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4" name="Group 63">
                  <a:extLst>
                    <a:ext uri="{FF2B5EF4-FFF2-40B4-BE49-F238E27FC236}">
                      <a16:creationId xmlns:a16="http://schemas.microsoft.com/office/drawing/2014/main" id="{5F814B8F-7AA3-4D74-BC8D-145DC4366B3C}"/>
                    </a:ext>
                  </a:extLst>
                </xdr:cNvPr>
                <xdr:cNvGrpSpPr/>
              </xdr:nvGrpSpPr>
              <xdr:grpSpPr>
                <a:xfrm>
                  <a:off x="3162300" y="4919942"/>
                  <a:ext cx="1714500" cy="294872"/>
                  <a:chOff x="3162300" y="4596092"/>
                  <a:chExt cx="1714500" cy="294872"/>
                </a:xfrm>
              </xdr:grpSpPr>
              <xdr:sp macro="" textlink="">
                <xdr:nvSpPr>
                  <xdr:cNvPr id="77" name="TextBox 76">
                    <a:extLst>
                      <a:ext uri="{FF2B5EF4-FFF2-40B4-BE49-F238E27FC236}">
                        <a16:creationId xmlns:a16="http://schemas.microsoft.com/office/drawing/2014/main" id="{A166875A-5405-4538-8EE5-F7A1AA047A4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F4s v2</a:t>
                    </a:r>
                  </a:p>
                </xdr:txBody>
              </xdr:sp>
              <xdr:sp macro="" textlink="'Dashboard Workings'!BW43">
                <xdr:nvSpPr>
                  <xdr:cNvPr id="78" name="TextBox 77">
                    <a:extLst>
                      <a:ext uri="{FF2B5EF4-FFF2-40B4-BE49-F238E27FC236}">
                        <a16:creationId xmlns:a16="http://schemas.microsoft.com/office/drawing/2014/main" id="{62348787-370A-4D2B-82F2-495870A52ED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C8364D-63A7-41A0-979D-2688E09F02CF}"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43">
                <xdr:nvSpPr>
                  <xdr:cNvPr id="79" name="TextBox 78">
                    <a:extLst>
                      <a:ext uri="{FF2B5EF4-FFF2-40B4-BE49-F238E27FC236}">
                        <a16:creationId xmlns:a16="http://schemas.microsoft.com/office/drawing/2014/main" id="{70033AB2-9B39-41C5-9862-1E8D939FF01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D93D41D-BAD0-42CC-BFF6-AD1C9E38840D}"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5" name="Group 64">
                  <a:extLst>
                    <a:ext uri="{FF2B5EF4-FFF2-40B4-BE49-F238E27FC236}">
                      <a16:creationId xmlns:a16="http://schemas.microsoft.com/office/drawing/2014/main" id="{60414D4B-D217-4B87-B381-D37A4FC2FC3C}"/>
                    </a:ext>
                  </a:extLst>
                </xdr:cNvPr>
                <xdr:cNvGrpSpPr/>
              </xdr:nvGrpSpPr>
              <xdr:grpSpPr>
                <a:xfrm>
                  <a:off x="3163020" y="5224742"/>
                  <a:ext cx="1714500" cy="294872"/>
                  <a:chOff x="3162300" y="4596092"/>
                  <a:chExt cx="1714500" cy="294872"/>
                </a:xfrm>
              </xdr:grpSpPr>
              <xdr:sp macro="" textlink="">
                <xdr:nvSpPr>
                  <xdr:cNvPr id="74" name="TextBox 73">
                    <a:extLst>
                      <a:ext uri="{FF2B5EF4-FFF2-40B4-BE49-F238E27FC236}">
                        <a16:creationId xmlns:a16="http://schemas.microsoft.com/office/drawing/2014/main" id="{64A6D99E-87A8-405F-87CE-E0C1AD502C7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F8s v2</a:t>
                    </a:r>
                  </a:p>
                </xdr:txBody>
              </xdr:sp>
              <xdr:sp macro="" textlink="'Dashboard Workings'!BW44">
                <xdr:nvSpPr>
                  <xdr:cNvPr id="75" name="TextBox 74">
                    <a:extLst>
                      <a:ext uri="{FF2B5EF4-FFF2-40B4-BE49-F238E27FC236}">
                        <a16:creationId xmlns:a16="http://schemas.microsoft.com/office/drawing/2014/main" id="{4B547234-5571-45F1-85D6-DC664F348AC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EF764D-020C-457D-A0BA-7C27FB5ECF3F}"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44">
                <xdr:nvSpPr>
                  <xdr:cNvPr id="76" name="TextBox 75">
                    <a:extLst>
                      <a:ext uri="{FF2B5EF4-FFF2-40B4-BE49-F238E27FC236}">
                        <a16:creationId xmlns:a16="http://schemas.microsoft.com/office/drawing/2014/main" id="{CE6999EE-1234-4B79-8862-CB6463D2662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B8C1CA3-0C12-45D5-90BB-863B1BFE7928}"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6" name="Group 65">
                  <a:extLst>
                    <a:ext uri="{FF2B5EF4-FFF2-40B4-BE49-F238E27FC236}">
                      <a16:creationId xmlns:a16="http://schemas.microsoft.com/office/drawing/2014/main" id="{49D297C4-8514-4B8F-97CC-623F3DDA6C1B}"/>
                    </a:ext>
                  </a:extLst>
                </xdr:cNvPr>
                <xdr:cNvGrpSpPr/>
              </xdr:nvGrpSpPr>
              <xdr:grpSpPr>
                <a:xfrm>
                  <a:off x="3163020" y="5520017"/>
                  <a:ext cx="1714500" cy="294872"/>
                  <a:chOff x="3162300" y="4596092"/>
                  <a:chExt cx="1714500" cy="294872"/>
                </a:xfrm>
              </xdr:grpSpPr>
              <xdr:sp macro="" textlink="">
                <xdr:nvSpPr>
                  <xdr:cNvPr id="71" name="TextBox 70">
                    <a:extLst>
                      <a:ext uri="{FF2B5EF4-FFF2-40B4-BE49-F238E27FC236}">
                        <a16:creationId xmlns:a16="http://schemas.microsoft.com/office/drawing/2014/main" id="{2589C884-CE83-4A2F-BB96-725630345B4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F16s</a:t>
                    </a:r>
                  </a:p>
                </xdr:txBody>
              </xdr:sp>
              <xdr:sp macro="" textlink="'Dashboard Workings'!BW45">
                <xdr:nvSpPr>
                  <xdr:cNvPr id="72" name="TextBox 71">
                    <a:extLst>
                      <a:ext uri="{FF2B5EF4-FFF2-40B4-BE49-F238E27FC236}">
                        <a16:creationId xmlns:a16="http://schemas.microsoft.com/office/drawing/2014/main" id="{40A14E00-679A-4925-8C0A-4167F3BC8C1D}"/>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BFC1F95-2286-4FA0-8324-58C9AE6A1753}"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45">
                <xdr:nvSpPr>
                  <xdr:cNvPr id="73" name="TextBox 72">
                    <a:extLst>
                      <a:ext uri="{FF2B5EF4-FFF2-40B4-BE49-F238E27FC236}">
                        <a16:creationId xmlns:a16="http://schemas.microsoft.com/office/drawing/2014/main" id="{57533A01-49C6-4A7B-9379-D9B401EBA11A}"/>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638C980-82BE-4D1C-8714-627232B554DE}"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67" name="Group 66">
                  <a:extLst>
                    <a:ext uri="{FF2B5EF4-FFF2-40B4-BE49-F238E27FC236}">
                      <a16:creationId xmlns:a16="http://schemas.microsoft.com/office/drawing/2014/main" id="{44733C40-7C7F-4EE9-A4E9-9491874377DA}"/>
                    </a:ext>
                  </a:extLst>
                </xdr:cNvPr>
                <xdr:cNvGrpSpPr/>
              </xdr:nvGrpSpPr>
              <xdr:grpSpPr>
                <a:xfrm>
                  <a:off x="3163020" y="5815292"/>
                  <a:ext cx="1714500" cy="294872"/>
                  <a:chOff x="3162300" y="4596092"/>
                  <a:chExt cx="1714500" cy="294872"/>
                </a:xfrm>
              </xdr:grpSpPr>
              <xdr:sp macro="" textlink="">
                <xdr:nvSpPr>
                  <xdr:cNvPr id="68" name="TextBox 67">
                    <a:extLst>
                      <a:ext uri="{FF2B5EF4-FFF2-40B4-BE49-F238E27FC236}">
                        <a16:creationId xmlns:a16="http://schemas.microsoft.com/office/drawing/2014/main" id="{6FC08940-1F1F-43C5-8C89-6A4D7AD06E3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F32s</a:t>
                    </a:r>
                  </a:p>
                </xdr:txBody>
              </xdr:sp>
              <xdr:sp macro="" textlink="'Dashboard Workings'!BW46">
                <xdr:nvSpPr>
                  <xdr:cNvPr id="69" name="TextBox 68">
                    <a:extLst>
                      <a:ext uri="{FF2B5EF4-FFF2-40B4-BE49-F238E27FC236}">
                        <a16:creationId xmlns:a16="http://schemas.microsoft.com/office/drawing/2014/main" id="{594AD71E-A05E-40D2-8199-42AE902CF9B1}"/>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AB43FA-4F8A-4E20-A1AB-50700A7EE6A7}"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46">
                <xdr:nvSpPr>
                  <xdr:cNvPr id="70" name="TextBox 69">
                    <a:extLst>
                      <a:ext uri="{FF2B5EF4-FFF2-40B4-BE49-F238E27FC236}">
                        <a16:creationId xmlns:a16="http://schemas.microsoft.com/office/drawing/2014/main" id="{E6BF9D1E-9967-4298-883D-16BCF645936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29EDF5F-9876-47DC-B646-E0C55C650225}"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58" name="TextBox 57">
              <a:extLst>
                <a:ext uri="{FF2B5EF4-FFF2-40B4-BE49-F238E27FC236}">
                  <a16:creationId xmlns:a16="http://schemas.microsoft.com/office/drawing/2014/main" id="{808E743B-FE3F-46F2-97E6-934D141686F1}"/>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v1</a:t>
              </a:r>
            </a:p>
          </xdr:txBody>
        </xdr:sp>
        <xdr:sp macro="" textlink="'Dashboard Workings'!BW50">
          <xdr:nvSpPr>
            <xdr:cNvPr id="59" name="TextBox 58">
              <a:extLst>
                <a:ext uri="{FF2B5EF4-FFF2-40B4-BE49-F238E27FC236}">
                  <a16:creationId xmlns:a16="http://schemas.microsoft.com/office/drawing/2014/main" id="{55D70C89-0A8F-44AF-8016-969D1A37BBE3}"/>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3C65E56-3275-4FBE-90CA-E79E309CE8E0}" type="TxLink">
                <a:rPr lang="en-US" sz="1100" b="1" i="0" u="none" strike="noStrike">
                  <a:solidFill>
                    <a:schemeClr val="bg1"/>
                  </a:solidFill>
                  <a:latin typeface="Arial" panose="020B0604020202020204" pitchFamily="34" charset="0"/>
                  <a:cs typeface="Arial" panose="020B0604020202020204" pitchFamily="34" charset="0"/>
                </a:rPr>
                <a:pPr algn="ctr"/>
                <a:t> </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CC50">
          <xdr:nvSpPr>
            <xdr:cNvPr id="60" name="TextBox 59">
              <a:extLst>
                <a:ext uri="{FF2B5EF4-FFF2-40B4-BE49-F238E27FC236}">
                  <a16:creationId xmlns:a16="http://schemas.microsoft.com/office/drawing/2014/main" id="{8F7E8A4D-8C4A-4DFB-ABB4-B3FF57772FD9}"/>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444C4B5-7522-4264-A627-54D51239AEA8}" type="TxLink">
                <a:rPr lang="en-US" sz="1100" b="1" i="0" u="none" strike="noStrike">
                  <a:solidFill>
                    <a:schemeClr val="bg1"/>
                  </a:solidFill>
                  <a:latin typeface="Arial" panose="020B0604020202020204" pitchFamily="34" charset="0"/>
                  <a:cs typeface="Arial" panose="020B0604020202020204" pitchFamily="34" charset="0"/>
                </a:rPr>
                <a:pPr algn="r"/>
                <a:t>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2" name="Group 31">
            <a:extLst>
              <a:ext uri="{FF2B5EF4-FFF2-40B4-BE49-F238E27FC236}">
                <a16:creationId xmlns:a16="http://schemas.microsoft.com/office/drawing/2014/main" id="{6F4B8F3B-69B2-486C-B9B4-4B76C10F5F1F}"/>
              </a:ext>
            </a:extLst>
          </xdr:cNvPr>
          <xdr:cNvGrpSpPr/>
        </xdr:nvGrpSpPr>
        <xdr:grpSpPr>
          <a:xfrm>
            <a:off x="5029200" y="6381750"/>
            <a:ext cx="1744729" cy="294872"/>
            <a:chOff x="3104216" y="6396317"/>
            <a:chExt cx="1744729" cy="294872"/>
          </a:xfrm>
        </xdr:grpSpPr>
        <xdr:sp macro="" textlink="">
          <xdr:nvSpPr>
            <xdr:cNvPr id="53" name="Rectangle: Rounded Corners 52">
              <a:extLst>
                <a:ext uri="{FF2B5EF4-FFF2-40B4-BE49-F238E27FC236}">
                  <a16:creationId xmlns:a16="http://schemas.microsoft.com/office/drawing/2014/main" id="{811F97A6-8158-4B20-B874-746D99C94D1E}"/>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 name="Group 53">
              <a:extLst>
                <a:ext uri="{FF2B5EF4-FFF2-40B4-BE49-F238E27FC236}">
                  <a16:creationId xmlns:a16="http://schemas.microsoft.com/office/drawing/2014/main" id="{F65A973C-4492-46DD-A6A8-9C609DE87773}"/>
                </a:ext>
              </a:extLst>
            </xdr:cNvPr>
            <xdr:cNvGrpSpPr/>
          </xdr:nvGrpSpPr>
          <xdr:grpSpPr>
            <a:xfrm>
              <a:off x="3134445" y="6396317"/>
              <a:ext cx="1714500" cy="294872"/>
              <a:chOff x="3162300" y="4596092"/>
              <a:chExt cx="1714500" cy="294872"/>
            </a:xfrm>
          </xdr:grpSpPr>
          <xdr:sp macro="" textlink="">
            <xdr:nvSpPr>
              <xdr:cNvPr id="55" name="TextBox 54">
                <a:extLst>
                  <a:ext uri="{FF2B5EF4-FFF2-40B4-BE49-F238E27FC236}">
                    <a16:creationId xmlns:a16="http://schemas.microsoft.com/office/drawing/2014/main" id="{7731EAB6-18F3-435A-B3D3-524C812BF31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CH3">
            <xdr:nvSpPr>
              <xdr:cNvPr id="56" name="TextBox 55">
                <a:extLst>
                  <a:ext uri="{FF2B5EF4-FFF2-40B4-BE49-F238E27FC236}">
                    <a16:creationId xmlns:a16="http://schemas.microsoft.com/office/drawing/2014/main" id="{BB99C21E-F42B-4F2F-9ECC-FA8CB34C4AF3}"/>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11D52B6-7567-4DDA-AD2F-747B3A79CED3}" type="TxLink">
                  <a:rPr lang="en-US" sz="1200" b="1" i="0" u="none" strike="noStrike">
                    <a:solidFill>
                      <a:srgbClr val="000000"/>
                    </a:solidFill>
                    <a:latin typeface="Calibri"/>
                    <a:cs typeface="Calibri"/>
                  </a:rPr>
                  <a:pPr algn="r"/>
                  <a:t>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3" name="Group 32">
            <a:extLst>
              <a:ext uri="{FF2B5EF4-FFF2-40B4-BE49-F238E27FC236}">
                <a16:creationId xmlns:a16="http://schemas.microsoft.com/office/drawing/2014/main" id="{78DE85FC-59E5-46D9-A1FA-0E2CB8F691F8}"/>
              </a:ext>
            </a:extLst>
          </xdr:cNvPr>
          <xdr:cNvGrpSpPr/>
        </xdr:nvGrpSpPr>
        <xdr:grpSpPr>
          <a:xfrm>
            <a:off x="6973019" y="6386791"/>
            <a:ext cx="1744729" cy="294872"/>
            <a:chOff x="3104216" y="6396317"/>
            <a:chExt cx="1744729" cy="294872"/>
          </a:xfrm>
        </xdr:grpSpPr>
        <xdr:sp macro="" textlink="">
          <xdr:nvSpPr>
            <xdr:cNvPr id="49" name="Rectangle: Rounded Corners 48">
              <a:extLst>
                <a:ext uri="{FF2B5EF4-FFF2-40B4-BE49-F238E27FC236}">
                  <a16:creationId xmlns:a16="http://schemas.microsoft.com/office/drawing/2014/main" id="{6455B258-D0EB-45C5-9374-05DFC4F85B69}"/>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0" name="Group 49">
              <a:extLst>
                <a:ext uri="{FF2B5EF4-FFF2-40B4-BE49-F238E27FC236}">
                  <a16:creationId xmlns:a16="http://schemas.microsoft.com/office/drawing/2014/main" id="{9946D6A9-1648-44DE-B4D1-934E7FA2B04F}"/>
                </a:ext>
              </a:extLst>
            </xdr:cNvPr>
            <xdr:cNvGrpSpPr/>
          </xdr:nvGrpSpPr>
          <xdr:grpSpPr>
            <a:xfrm>
              <a:off x="3134445" y="6396317"/>
              <a:ext cx="1714500" cy="294872"/>
              <a:chOff x="3162300" y="4596092"/>
              <a:chExt cx="1714500" cy="294872"/>
            </a:xfrm>
          </xdr:grpSpPr>
          <xdr:sp macro="" textlink="">
            <xdr:nvSpPr>
              <xdr:cNvPr id="51" name="TextBox 50">
                <a:extLst>
                  <a:ext uri="{FF2B5EF4-FFF2-40B4-BE49-F238E27FC236}">
                    <a16:creationId xmlns:a16="http://schemas.microsoft.com/office/drawing/2014/main" id="{096D2E99-8077-47D2-8527-32CAFC6B57A6}"/>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CH4">
            <xdr:nvSpPr>
              <xdr:cNvPr id="52" name="TextBox 51">
                <a:extLst>
                  <a:ext uri="{FF2B5EF4-FFF2-40B4-BE49-F238E27FC236}">
                    <a16:creationId xmlns:a16="http://schemas.microsoft.com/office/drawing/2014/main" id="{FB102D28-2B9A-4536-B1F2-2A35440627CA}"/>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9D3ECB7-CD02-4083-A7E2-066EEA8B8DC1}" type="TxLink">
                  <a:rPr lang="en-US" sz="1200" b="1" i="0" u="none" strike="noStrike">
                    <a:solidFill>
                      <a:srgbClr val="000000"/>
                    </a:solidFill>
                    <a:latin typeface="Calibri"/>
                    <a:cs typeface="Calibri"/>
                  </a:rPr>
                  <a:pPr algn="r"/>
                  <a:t>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4" name="Group 33">
            <a:extLst>
              <a:ext uri="{FF2B5EF4-FFF2-40B4-BE49-F238E27FC236}">
                <a16:creationId xmlns:a16="http://schemas.microsoft.com/office/drawing/2014/main" id="{A36E699C-49F4-4DB0-8E4C-7A66B42631AB}"/>
              </a:ext>
            </a:extLst>
          </xdr:cNvPr>
          <xdr:cNvGrpSpPr/>
        </xdr:nvGrpSpPr>
        <xdr:grpSpPr>
          <a:xfrm>
            <a:off x="8878019" y="6386791"/>
            <a:ext cx="1744729" cy="294872"/>
            <a:chOff x="3104216" y="6396317"/>
            <a:chExt cx="1744729" cy="294872"/>
          </a:xfrm>
        </xdr:grpSpPr>
        <xdr:sp macro="" textlink="">
          <xdr:nvSpPr>
            <xdr:cNvPr id="45" name="Rectangle: Rounded Corners 44">
              <a:extLst>
                <a:ext uri="{FF2B5EF4-FFF2-40B4-BE49-F238E27FC236}">
                  <a16:creationId xmlns:a16="http://schemas.microsoft.com/office/drawing/2014/main" id="{BFD4A25E-373A-468A-946E-378C1671DF1B}"/>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6" name="Group 45">
              <a:extLst>
                <a:ext uri="{FF2B5EF4-FFF2-40B4-BE49-F238E27FC236}">
                  <a16:creationId xmlns:a16="http://schemas.microsoft.com/office/drawing/2014/main" id="{4ECEC69F-67D7-4BB9-9C1B-2EB392858FA3}"/>
                </a:ext>
              </a:extLst>
            </xdr:cNvPr>
            <xdr:cNvGrpSpPr/>
          </xdr:nvGrpSpPr>
          <xdr:grpSpPr>
            <a:xfrm>
              <a:off x="3134445" y="6396317"/>
              <a:ext cx="1714500" cy="294872"/>
              <a:chOff x="3162300" y="4596092"/>
              <a:chExt cx="1714500" cy="294872"/>
            </a:xfrm>
          </xdr:grpSpPr>
          <xdr:sp macro="" textlink="">
            <xdr:nvSpPr>
              <xdr:cNvPr id="47" name="TextBox 46">
                <a:extLst>
                  <a:ext uri="{FF2B5EF4-FFF2-40B4-BE49-F238E27FC236}">
                    <a16:creationId xmlns:a16="http://schemas.microsoft.com/office/drawing/2014/main" id="{C6200B53-249E-4919-BAC7-0E3BC396F85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CH5">
            <xdr:nvSpPr>
              <xdr:cNvPr id="48" name="TextBox 47">
                <a:extLst>
                  <a:ext uri="{FF2B5EF4-FFF2-40B4-BE49-F238E27FC236}">
                    <a16:creationId xmlns:a16="http://schemas.microsoft.com/office/drawing/2014/main" id="{55DAF6F5-A271-4BB4-B8F0-7E6E45EFAEF3}"/>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84BEF4-150F-483A-B840-C2E216C3DA72}" type="TxLink">
                  <a:rPr lang="en-US" sz="1200" b="1" i="0" u="none" strike="noStrike">
                    <a:solidFill>
                      <a:srgbClr val="000000"/>
                    </a:solidFill>
                    <a:latin typeface="Calibri"/>
                    <a:cs typeface="Calibri"/>
                  </a:rPr>
                  <a:pPr algn="r"/>
                  <a:t>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5" name="Group 34">
            <a:extLst>
              <a:ext uri="{FF2B5EF4-FFF2-40B4-BE49-F238E27FC236}">
                <a16:creationId xmlns:a16="http://schemas.microsoft.com/office/drawing/2014/main" id="{08638DE9-3AF7-4904-9318-8596235B505E}"/>
              </a:ext>
            </a:extLst>
          </xdr:cNvPr>
          <xdr:cNvGrpSpPr/>
        </xdr:nvGrpSpPr>
        <xdr:grpSpPr>
          <a:xfrm>
            <a:off x="10811594" y="6386791"/>
            <a:ext cx="1744729" cy="294872"/>
            <a:chOff x="3104216" y="6396317"/>
            <a:chExt cx="1744729" cy="294872"/>
          </a:xfrm>
        </xdr:grpSpPr>
        <xdr:sp macro="" textlink="">
          <xdr:nvSpPr>
            <xdr:cNvPr id="41" name="Rectangle: Rounded Corners 40">
              <a:extLst>
                <a:ext uri="{FF2B5EF4-FFF2-40B4-BE49-F238E27FC236}">
                  <a16:creationId xmlns:a16="http://schemas.microsoft.com/office/drawing/2014/main" id="{4642C0B8-DAC7-48AB-A1C4-F148439495BC}"/>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2" name="Group 41">
              <a:extLst>
                <a:ext uri="{FF2B5EF4-FFF2-40B4-BE49-F238E27FC236}">
                  <a16:creationId xmlns:a16="http://schemas.microsoft.com/office/drawing/2014/main" id="{31122C42-FB41-4902-89AF-2CDF425C2FC4}"/>
                </a:ext>
              </a:extLst>
            </xdr:cNvPr>
            <xdr:cNvGrpSpPr/>
          </xdr:nvGrpSpPr>
          <xdr:grpSpPr>
            <a:xfrm>
              <a:off x="3134445" y="6396317"/>
              <a:ext cx="1714500" cy="294872"/>
              <a:chOff x="3162300" y="4596092"/>
              <a:chExt cx="1714500" cy="294872"/>
            </a:xfrm>
          </xdr:grpSpPr>
          <xdr:sp macro="" textlink="">
            <xdr:nvSpPr>
              <xdr:cNvPr id="43" name="TextBox 42">
                <a:extLst>
                  <a:ext uri="{FF2B5EF4-FFF2-40B4-BE49-F238E27FC236}">
                    <a16:creationId xmlns:a16="http://schemas.microsoft.com/office/drawing/2014/main" id="{98425E60-8F7B-4B8B-839F-BDB43CCE3F20}"/>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CH6">
            <xdr:nvSpPr>
              <xdr:cNvPr id="44" name="TextBox 43">
                <a:extLst>
                  <a:ext uri="{FF2B5EF4-FFF2-40B4-BE49-F238E27FC236}">
                    <a16:creationId xmlns:a16="http://schemas.microsoft.com/office/drawing/2014/main" id="{44ABDD43-93A3-4928-BFE0-3F5A59AED9F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00C41AA-1B90-4CAD-AF66-F977A591683E}" type="TxLink">
                  <a:rPr lang="en-US" sz="1200" b="1" i="0" u="none" strike="noStrike">
                    <a:solidFill>
                      <a:srgbClr val="000000"/>
                    </a:solidFill>
                    <a:latin typeface="Calibri"/>
                    <a:cs typeface="Calibri"/>
                  </a:rPr>
                  <a:pPr algn="r"/>
                  <a:t>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36" name="Group 35">
            <a:extLst>
              <a:ext uri="{FF2B5EF4-FFF2-40B4-BE49-F238E27FC236}">
                <a16:creationId xmlns:a16="http://schemas.microsoft.com/office/drawing/2014/main" id="{D1924150-20F8-4B31-AB68-D3A743CA167A}"/>
              </a:ext>
            </a:extLst>
          </xdr:cNvPr>
          <xdr:cNvGrpSpPr/>
        </xdr:nvGrpSpPr>
        <xdr:grpSpPr>
          <a:xfrm>
            <a:off x="12707069" y="6377266"/>
            <a:ext cx="1744729" cy="294872"/>
            <a:chOff x="3104216" y="6396317"/>
            <a:chExt cx="1744729" cy="294872"/>
          </a:xfrm>
        </xdr:grpSpPr>
        <xdr:sp macro="" textlink="">
          <xdr:nvSpPr>
            <xdr:cNvPr id="37" name="Rectangle: Rounded Corners 36">
              <a:extLst>
                <a:ext uri="{FF2B5EF4-FFF2-40B4-BE49-F238E27FC236}">
                  <a16:creationId xmlns:a16="http://schemas.microsoft.com/office/drawing/2014/main" id="{9C9C091B-B330-43CA-B98C-0C3D38BB63EE}"/>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8" name="Group 37">
              <a:extLst>
                <a:ext uri="{FF2B5EF4-FFF2-40B4-BE49-F238E27FC236}">
                  <a16:creationId xmlns:a16="http://schemas.microsoft.com/office/drawing/2014/main" id="{17324A35-C856-4DA6-911C-F6D47AE8951C}"/>
                </a:ext>
              </a:extLst>
            </xdr:cNvPr>
            <xdr:cNvGrpSpPr/>
          </xdr:nvGrpSpPr>
          <xdr:grpSpPr>
            <a:xfrm>
              <a:off x="3134445" y="6396317"/>
              <a:ext cx="1714500" cy="294872"/>
              <a:chOff x="3162300" y="4596092"/>
              <a:chExt cx="1714500" cy="294872"/>
            </a:xfrm>
          </xdr:grpSpPr>
          <xdr:sp macro="" textlink="">
            <xdr:nvSpPr>
              <xdr:cNvPr id="39" name="TextBox 38">
                <a:extLst>
                  <a:ext uri="{FF2B5EF4-FFF2-40B4-BE49-F238E27FC236}">
                    <a16:creationId xmlns:a16="http://schemas.microsoft.com/office/drawing/2014/main" id="{2A7839C5-D31D-45C6-9544-B6159EA42CA2}"/>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CH7">
            <xdr:nvSpPr>
              <xdr:cNvPr id="40" name="TextBox 39">
                <a:extLst>
                  <a:ext uri="{FF2B5EF4-FFF2-40B4-BE49-F238E27FC236}">
                    <a16:creationId xmlns:a16="http://schemas.microsoft.com/office/drawing/2014/main" id="{D1359202-6CAA-4FE5-B387-8F4375D79AF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5D6D47C-7CAB-429A-B055-E1D4C32B761B}" type="TxLink">
                  <a:rPr lang="en-US" sz="1200" b="1" i="0" u="none" strike="noStrike">
                    <a:solidFill>
                      <a:srgbClr val="000000"/>
                    </a:solidFill>
                    <a:latin typeface="Calibri"/>
                    <a:cs typeface="Calibri"/>
                  </a:rPr>
                  <a:pPr algn="r"/>
                  <a:t>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clientData/>
  </xdr:twoCellAnchor>
  <xdr:twoCellAnchor>
    <xdr:from>
      <xdr:col>20</xdr:col>
      <xdr:colOff>314325</xdr:colOff>
      <xdr:row>4</xdr:row>
      <xdr:rowOff>152400</xdr:rowOff>
    </xdr:from>
    <xdr:to>
      <xdr:col>21</xdr:col>
      <xdr:colOff>428625</xdr:colOff>
      <xdr:row>6</xdr:row>
      <xdr:rowOff>47625</xdr:rowOff>
    </xdr:to>
    <xdr:grpSp>
      <xdr:nvGrpSpPr>
        <xdr:cNvPr id="249" name="Group 248">
          <a:hlinkClick xmlns:r="http://schemas.openxmlformats.org/officeDocument/2006/relationships" r:id="rId2"/>
          <a:extLst>
            <a:ext uri="{FF2B5EF4-FFF2-40B4-BE49-F238E27FC236}">
              <a16:creationId xmlns:a16="http://schemas.microsoft.com/office/drawing/2014/main" id="{409AEAA4-1E68-4E6D-95D3-2355FC71F669}"/>
            </a:ext>
          </a:extLst>
        </xdr:cNvPr>
        <xdr:cNvGrpSpPr/>
      </xdr:nvGrpSpPr>
      <xdr:grpSpPr>
        <a:xfrm>
          <a:off x="13141325" y="889000"/>
          <a:ext cx="755650" cy="263525"/>
          <a:chOff x="1123950" y="2124075"/>
          <a:chExt cx="723900" cy="276225"/>
        </a:xfrm>
      </xdr:grpSpPr>
      <xdr:sp macro="" textlink="">
        <xdr:nvSpPr>
          <xdr:cNvPr id="250" name="Rectangle: Rounded Corners 249">
            <a:extLst>
              <a:ext uri="{FF2B5EF4-FFF2-40B4-BE49-F238E27FC236}">
                <a16:creationId xmlns:a16="http://schemas.microsoft.com/office/drawing/2014/main" id="{77C4343D-5C5F-46C1-B74F-1B6BBA8DD015}"/>
              </a:ext>
            </a:extLst>
          </xdr:cNvPr>
          <xdr:cNvSpPr/>
        </xdr:nvSpPr>
        <xdr:spPr>
          <a:xfrm>
            <a:off x="1123950" y="2124075"/>
            <a:ext cx="723900" cy="2762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sp macro="" textlink="">
        <xdr:nvSpPr>
          <xdr:cNvPr id="251" name="Rectangle: Rounded Corners 250">
            <a:extLst>
              <a:ext uri="{FF2B5EF4-FFF2-40B4-BE49-F238E27FC236}">
                <a16:creationId xmlns:a16="http://schemas.microsoft.com/office/drawing/2014/main" id="{CBCDB3A1-41FC-4A0C-B84C-7DB69C611841}"/>
              </a:ext>
            </a:extLst>
          </xdr:cNvPr>
          <xdr:cNvSpPr/>
        </xdr:nvSpPr>
        <xdr:spPr>
          <a:xfrm>
            <a:off x="1571624" y="2152650"/>
            <a:ext cx="238125" cy="219075"/>
          </a:xfrm>
          <a:prstGeom prst="roundRect">
            <a:avLst/>
          </a:prstGeom>
          <a:gradFill>
            <a:gsLst>
              <a:gs pos="0">
                <a:schemeClr val="accent2"/>
              </a:gs>
              <a:gs pos="30000">
                <a:schemeClr val="accent2"/>
              </a:gs>
              <a:gs pos="100000">
                <a:schemeClr val="accent4"/>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grpSp>
    <xdr:clientData/>
  </xdr:twoCellAnchor>
  <xdr:twoCellAnchor>
    <xdr:from>
      <xdr:col>18</xdr:col>
      <xdr:colOff>61232</xdr:colOff>
      <xdr:row>4</xdr:row>
      <xdr:rowOff>57152</xdr:rowOff>
    </xdr:from>
    <xdr:to>
      <xdr:col>20</xdr:col>
      <xdr:colOff>257175</xdr:colOff>
      <xdr:row>7</xdr:row>
      <xdr:rowOff>16330</xdr:rowOff>
    </xdr:to>
    <xdr:sp macro="" textlink="">
      <xdr:nvSpPr>
        <xdr:cNvPr id="252" name="TextBox 251">
          <a:extLst>
            <a:ext uri="{FF2B5EF4-FFF2-40B4-BE49-F238E27FC236}">
              <a16:creationId xmlns:a16="http://schemas.microsoft.com/office/drawing/2014/main" id="{0823C8F1-38EB-4793-BDB4-D6D0E9FD2387}"/>
            </a:ext>
          </a:extLst>
        </xdr:cNvPr>
        <xdr:cNvSpPr txBox="1"/>
      </xdr:nvSpPr>
      <xdr:spPr>
        <a:xfrm>
          <a:off x="11034032" y="819152"/>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solidFill>
                <a:schemeClr val="bg1"/>
              </a:solidFill>
              <a:latin typeface="Arial" panose="020B0604020202020204" pitchFamily="34" charset="0"/>
              <a:cs typeface="Arial" panose="020B0604020202020204" pitchFamily="34" charset="0"/>
            </a:rPr>
            <a:t>Current</a:t>
          </a:r>
        </a:p>
      </xdr:txBody>
    </xdr:sp>
    <xdr:clientData/>
  </xdr:twoCellAnchor>
  <xdr:twoCellAnchor>
    <xdr:from>
      <xdr:col>21</xdr:col>
      <xdr:colOff>604157</xdr:colOff>
      <xdr:row>4</xdr:row>
      <xdr:rowOff>47627</xdr:rowOff>
    </xdr:from>
    <xdr:to>
      <xdr:col>24</xdr:col>
      <xdr:colOff>190500</xdr:colOff>
      <xdr:row>7</xdr:row>
      <xdr:rowOff>6805</xdr:rowOff>
    </xdr:to>
    <xdr:sp macro="" textlink="">
      <xdr:nvSpPr>
        <xdr:cNvPr id="253" name="TextBox 252">
          <a:extLst>
            <a:ext uri="{FF2B5EF4-FFF2-40B4-BE49-F238E27FC236}">
              <a16:creationId xmlns:a16="http://schemas.microsoft.com/office/drawing/2014/main" id="{2E0D71BE-9058-49D6-AA64-BA98E28BA960}"/>
            </a:ext>
          </a:extLst>
        </xdr:cNvPr>
        <xdr:cNvSpPr txBox="1"/>
      </xdr:nvSpPr>
      <xdr:spPr>
        <a:xfrm>
          <a:off x="13405757" y="809627"/>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flip="none" rotWithShape="1">
                <a:gsLst>
                  <a:gs pos="0">
                    <a:schemeClr val="accent2"/>
                  </a:gs>
                  <a:gs pos="17000">
                    <a:schemeClr val="accent2">
                      <a:lumMod val="75000"/>
                    </a:schemeClr>
                  </a:gs>
                  <a:gs pos="100000">
                    <a:schemeClr val="accent4"/>
                  </a:gs>
                </a:gsLst>
                <a:lin ang="2700000" scaled="1"/>
                <a:tileRect/>
              </a:gradFill>
              <a:latin typeface="Arial" panose="020B0604020202020204" pitchFamily="34" charset="0"/>
              <a:ea typeface="+mn-ea"/>
              <a:cs typeface="Arial" panose="020B0604020202020204" pitchFamily="34" charset="0"/>
            </a:rPr>
            <a:t>New</a:t>
          </a:r>
        </a:p>
      </xdr:txBody>
    </xdr:sp>
    <xdr:clientData/>
  </xdr:twoCellAnchor>
  <xdr:twoCellAnchor>
    <xdr:from>
      <xdr:col>24</xdr:col>
      <xdr:colOff>261257</xdr:colOff>
      <xdr:row>4</xdr:row>
      <xdr:rowOff>66677</xdr:rowOff>
    </xdr:from>
    <xdr:to>
      <xdr:col>26</xdr:col>
      <xdr:colOff>457200</xdr:colOff>
      <xdr:row>7</xdr:row>
      <xdr:rowOff>25855</xdr:rowOff>
    </xdr:to>
    <xdr:sp macro="" textlink="">
      <xdr:nvSpPr>
        <xdr:cNvPr id="254" name="TextBox 253">
          <a:extLst>
            <a:ext uri="{FF2B5EF4-FFF2-40B4-BE49-F238E27FC236}">
              <a16:creationId xmlns:a16="http://schemas.microsoft.com/office/drawing/2014/main" id="{65F0F288-724C-4D20-80B7-CDB5ED8752E1}"/>
            </a:ext>
          </a:extLst>
        </xdr:cNvPr>
        <xdr:cNvSpPr txBox="1"/>
      </xdr:nvSpPr>
      <xdr:spPr>
        <a:xfrm>
          <a:off x="14891657" y="828677"/>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RI VM's:</a:t>
          </a:r>
          <a:r>
            <a:rPr lang="en-ZA" sz="2400" b="1" baseline="0">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 </a:t>
          </a:r>
          <a:endPar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endParaRPr>
        </a:p>
      </xdr:txBody>
    </xdr:sp>
    <xdr:clientData/>
  </xdr:twoCellAnchor>
  <xdr:twoCellAnchor>
    <xdr:from>
      <xdr:col>26</xdr:col>
      <xdr:colOff>394608</xdr:colOff>
      <xdr:row>4</xdr:row>
      <xdr:rowOff>66677</xdr:rowOff>
    </xdr:from>
    <xdr:to>
      <xdr:col>28</xdr:col>
      <xdr:colOff>295276</xdr:colOff>
      <xdr:row>7</xdr:row>
      <xdr:rowOff>25855</xdr:rowOff>
    </xdr:to>
    <xdr:sp macro="" textlink="'Dashboard Workings'!D67">
      <xdr:nvSpPr>
        <xdr:cNvPr id="255" name="TextBox 254">
          <a:extLst>
            <a:ext uri="{FF2B5EF4-FFF2-40B4-BE49-F238E27FC236}">
              <a16:creationId xmlns:a16="http://schemas.microsoft.com/office/drawing/2014/main" id="{AA1B9E86-39FB-4680-B663-709AB3DE05E9}"/>
            </a:ext>
          </a:extLst>
        </xdr:cNvPr>
        <xdr:cNvSpPr txBox="1"/>
      </xdr:nvSpPr>
      <xdr:spPr>
        <a:xfrm>
          <a:off x="16244208" y="828677"/>
          <a:ext cx="1119868"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B16A502-1A07-4683-8160-A1007E965118}" type="TxLink">
            <a:rPr lang="en-US" sz="2400" b="1" i="0" u="none" strike="noStrike">
              <a:solidFill>
                <a:schemeClr val="bg1"/>
              </a:solidFill>
              <a:latin typeface="Calibri"/>
              <a:cs typeface="Calibri"/>
            </a:rPr>
            <a:pPr algn="l"/>
            <a:t>123</a:t>
          </a:fld>
          <a:endParaRPr lang="en-ZA" sz="4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86445</xdr:colOff>
      <xdr:row>8</xdr:row>
      <xdr:rowOff>186017</xdr:rowOff>
    </xdr:from>
    <xdr:to>
      <xdr:col>23</xdr:col>
      <xdr:colOff>438151</xdr:colOff>
      <xdr:row>18</xdr:row>
      <xdr:rowOff>95250</xdr:rowOff>
    </xdr:to>
    <xdr:grpSp>
      <xdr:nvGrpSpPr>
        <xdr:cNvPr id="256" name="Group 255">
          <a:extLst>
            <a:ext uri="{FF2B5EF4-FFF2-40B4-BE49-F238E27FC236}">
              <a16:creationId xmlns:a16="http://schemas.microsoft.com/office/drawing/2014/main" id="{0B704244-5653-4E6F-9F98-3FE00207ED2C}"/>
            </a:ext>
          </a:extLst>
        </xdr:cNvPr>
        <xdr:cNvGrpSpPr/>
      </xdr:nvGrpSpPr>
      <xdr:grpSpPr>
        <a:xfrm>
          <a:off x="9065345" y="1659217"/>
          <a:ext cx="6123856" cy="1750733"/>
          <a:chOff x="5839545" y="1710017"/>
          <a:chExt cx="5838106" cy="1814233"/>
        </a:xfrm>
      </xdr:grpSpPr>
      <xdr:sp macro="" textlink="">
        <xdr:nvSpPr>
          <xdr:cNvPr id="257" name="Rectangle: Rounded Corners 256">
            <a:extLst>
              <a:ext uri="{FF2B5EF4-FFF2-40B4-BE49-F238E27FC236}">
                <a16:creationId xmlns:a16="http://schemas.microsoft.com/office/drawing/2014/main" id="{59D87A91-11C9-401B-9080-AB63CBEECD00}"/>
              </a:ext>
            </a:extLst>
          </xdr:cNvPr>
          <xdr:cNvSpPr/>
        </xdr:nvSpPr>
        <xdr:spPr>
          <a:xfrm>
            <a:off x="5839545" y="1710017"/>
            <a:ext cx="5838106" cy="1795184"/>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58" name="Chart 257">
            <a:extLst>
              <a:ext uri="{FF2B5EF4-FFF2-40B4-BE49-F238E27FC236}">
                <a16:creationId xmlns:a16="http://schemas.microsoft.com/office/drawing/2014/main" id="{0578EBE5-5CDF-4C00-B0D2-15CEDE22E91B}"/>
              </a:ext>
            </a:extLst>
          </xdr:cNvPr>
          <xdr:cNvGraphicFramePr>
            <a:graphicFrameLocks/>
          </xdr:cNvGraphicFramePr>
        </xdr:nvGraphicFramePr>
        <xdr:xfrm>
          <a:off x="5867400" y="1714500"/>
          <a:ext cx="5753100" cy="180975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581025</xdr:colOff>
      <xdr:row>10</xdr:row>
      <xdr:rowOff>47626</xdr:rowOff>
    </xdr:from>
    <xdr:to>
      <xdr:col>7</xdr:col>
      <xdr:colOff>38100</xdr:colOff>
      <xdr:row>12</xdr:row>
      <xdr:rowOff>66676</xdr:rowOff>
    </xdr:to>
    <xdr:sp macro="" textlink="">
      <xdr:nvSpPr>
        <xdr:cNvPr id="259" name="Rectangle: Rounded Corners 258">
          <a:extLst>
            <a:ext uri="{FF2B5EF4-FFF2-40B4-BE49-F238E27FC236}">
              <a16:creationId xmlns:a16="http://schemas.microsoft.com/office/drawing/2014/main" id="{14DEA1AE-9FF5-4F8F-B9D3-6BA1861D3594}"/>
            </a:ext>
          </a:extLst>
        </xdr:cNvPr>
        <xdr:cNvSpPr/>
      </xdr:nvSpPr>
      <xdr:spPr>
        <a:xfrm>
          <a:off x="581025" y="1952626"/>
          <a:ext cx="3724275" cy="400050"/>
        </a:xfrm>
        <a:prstGeom prst="roundRect">
          <a:avLst>
            <a:gd name="adj" fmla="val 10606"/>
          </a:avLst>
        </a:prstGeom>
        <a:gradFill flip="none" rotWithShape="1">
          <a:gsLst>
            <a:gs pos="4000">
              <a:schemeClr val="accent6">
                <a:alpha val="91000"/>
              </a:schemeClr>
            </a:gs>
            <a:gs pos="39000">
              <a:schemeClr val="accent6">
                <a:lumMod val="75000"/>
              </a:schemeClr>
            </a:gs>
            <a:gs pos="100000">
              <a:schemeClr val="tx1">
                <a:lumMod val="75000"/>
                <a:lumOff val="2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85725</xdr:colOff>
      <xdr:row>10</xdr:row>
      <xdr:rowOff>2</xdr:rowOff>
    </xdr:from>
    <xdr:to>
      <xdr:col>6</xdr:col>
      <xdr:colOff>304801</xdr:colOff>
      <xdr:row>12</xdr:row>
      <xdr:rowOff>149680</xdr:rowOff>
    </xdr:to>
    <xdr:sp macro="" textlink="">
      <xdr:nvSpPr>
        <xdr:cNvPr id="260" name="TextBox 259">
          <a:extLst>
            <a:ext uri="{FF2B5EF4-FFF2-40B4-BE49-F238E27FC236}">
              <a16:creationId xmlns:a16="http://schemas.microsoft.com/office/drawing/2014/main" id="{1FDDA28D-D322-4FBA-89DC-587594481D14}"/>
            </a:ext>
          </a:extLst>
        </xdr:cNvPr>
        <xdr:cNvSpPr txBox="1"/>
      </xdr:nvSpPr>
      <xdr:spPr>
        <a:xfrm>
          <a:off x="1304925" y="1905002"/>
          <a:ext cx="265747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ea typeface="+mn-ea"/>
              <a:cs typeface="Arial" panose="020B0604020202020204" pitchFamily="34" charset="0"/>
            </a:rPr>
            <a:t>VM RI</a:t>
          </a:r>
          <a:r>
            <a:rPr lang="en-ZA" sz="2400" b="1">
              <a:solidFill>
                <a:schemeClr val="bg1"/>
              </a:solidFill>
              <a:latin typeface="Arial" panose="020B0604020202020204" pitchFamily="34" charset="0"/>
              <a:cs typeface="Arial" panose="020B0604020202020204" pitchFamily="34" charset="0"/>
            </a:rPr>
            <a:t> </a:t>
          </a:r>
          <a:r>
            <a:rPr lang="en-ZA" sz="2400" b="1">
              <a:solidFill>
                <a:schemeClr val="bg1"/>
              </a:solidFill>
              <a:latin typeface="Arial" panose="020B0604020202020204" pitchFamily="34" charset="0"/>
              <a:ea typeface="+mn-ea"/>
              <a:cs typeface="Arial" panose="020B0604020202020204" pitchFamily="34" charset="0"/>
            </a:rPr>
            <a:t>Costs</a:t>
          </a:r>
        </a:p>
      </xdr:txBody>
    </xdr:sp>
    <xdr:clientData/>
  </xdr:twoCellAnchor>
  <xdr:twoCellAnchor>
    <xdr:from>
      <xdr:col>2</xdr:col>
      <xdr:colOff>95250</xdr:colOff>
      <xdr:row>13</xdr:row>
      <xdr:rowOff>57152</xdr:rowOff>
    </xdr:from>
    <xdr:to>
      <xdr:col>6</xdr:col>
      <xdr:colOff>295276</xdr:colOff>
      <xdr:row>16</xdr:row>
      <xdr:rowOff>16330</xdr:rowOff>
    </xdr:to>
    <xdr:sp macro="" textlink="">
      <xdr:nvSpPr>
        <xdr:cNvPr id="261" name="TextBox 260">
          <a:extLst>
            <a:ext uri="{FF2B5EF4-FFF2-40B4-BE49-F238E27FC236}">
              <a16:creationId xmlns:a16="http://schemas.microsoft.com/office/drawing/2014/main" id="{2E3A76E8-82C3-40FE-93A2-4BBF7AEAEED5}"/>
            </a:ext>
          </a:extLst>
        </xdr:cNvPr>
        <xdr:cNvSpPr txBox="1"/>
      </xdr:nvSpPr>
      <xdr:spPr>
        <a:xfrm>
          <a:off x="1314450" y="2533652"/>
          <a:ext cx="2638426"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ZA" sz="2400" b="1">
              <a:solidFill>
                <a:schemeClr val="bg1"/>
              </a:solidFill>
              <a:latin typeface="Arial" panose="020B0604020202020204" pitchFamily="34" charset="0"/>
              <a:cs typeface="Arial" panose="020B0604020202020204" pitchFamily="34" charset="0"/>
            </a:rPr>
            <a:t>RI</a:t>
          </a:r>
          <a:r>
            <a:rPr lang="en-ZA" sz="2400" b="1" baseline="0">
              <a:solidFill>
                <a:schemeClr val="bg1"/>
              </a:solidFill>
              <a:latin typeface="Arial" panose="020B0604020202020204" pitchFamily="34" charset="0"/>
              <a:cs typeface="Arial" panose="020B0604020202020204" pitchFamily="34" charset="0"/>
            </a:rPr>
            <a:t> Details</a:t>
          </a:r>
          <a:endParaRPr lang="en-ZA" sz="24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581025</xdr:colOff>
      <xdr:row>2</xdr:row>
      <xdr:rowOff>47625</xdr:rowOff>
    </xdr:from>
    <xdr:to>
      <xdr:col>28</xdr:col>
      <xdr:colOff>495300</xdr:colOff>
      <xdr:row>36</xdr:row>
      <xdr:rowOff>171450</xdr:rowOff>
    </xdr:to>
    <xdr:sp macro="" textlink="">
      <xdr:nvSpPr>
        <xdr:cNvPr id="2" name="Rectangle: Rounded Corners 1">
          <a:extLst>
            <a:ext uri="{FF2B5EF4-FFF2-40B4-BE49-F238E27FC236}">
              <a16:creationId xmlns:a16="http://schemas.microsoft.com/office/drawing/2014/main" id="{0982907B-BFF7-4BF4-A915-E059195EABF1}"/>
            </a:ext>
          </a:extLst>
        </xdr:cNvPr>
        <xdr:cNvSpPr/>
      </xdr:nvSpPr>
      <xdr:spPr>
        <a:xfrm>
          <a:off x="581025" y="428625"/>
          <a:ext cx="16983075" cy="6600825"/>
        </a:xfrm>
        <a:prstGeom prst="roundRect">
          <a:avLst>
            <a:gd name="adj" fmla="val 10606"/>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19770</xdr:colOff>
      <xdr:row>2</xdr:row>
      <xdr:rowOff>33617</xdr:rowOff>
    </xdr:from>
    <xdr:to>
      <xdr:col>28</xdr:col>
      <xdr:colOff>546366</xdr:colOff>
      <xdr:row>36</xdr:row>
      <xdr:rowOff>169768</xdr:rowOff>
    </xdr:to>
    <xdr:sp macro="" textlink="">
      <xdr:nvSpPr>
        <xdr:cNvPr id="3" name="Rectangle: Rounded Corners 2">
          <a:extLst>
            <a:ext uri="{FF2B5EF4-FFF2-40B4-BE49-F238E27FC236}">
              <a16:creationId xmlns:a16="http://schemas.microsoft.com/office/drawing/2014/main" id="{7848CC06-126D-45F3-9D5D-91F1D268665B}"/>
            </a:ext>
          </a:extLst>
        </xdr:cNvPr>
        <xdr:cNvSpPr/>
      </xdr:nvSpPr>
      <xdr:spPr>
        <a:xfrm>
          <a:off x="629370" y="414617"/>
          <a:ext cx="16985796" cy="6613151"/>
        </a:xfrm>
        <a:prstGeom prst="roundRect">
          <a:avLst>
            <a:gd name="adj" fmla="val 10606"/>
          </a:avLst>
        </a:prstGeom>
        <a:gradFill>
          <a:gsLst>
            <a:gs pos="0">
              <a:srgbClr val="1E2D31"/>
            </a:gs>
            <a:gs pos="30000">
              <a:srgbClr val="232227"/>
            </a:gs>
            <a:gs pos="100000">
              <a:srgbClr val="2F292D"/>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1</xdr:col>
      <xdr:colOff>19071</xdr:colOff>
      <xdr:row>0</xdr:row>
      <xdr:rowOff>176894</xdr:rowOff>
    </xdr:from>
    <xdr:to>
      <xdr:col>7</xdr:col>
      <xdr:colOff>40822</xdr:colOff>
      <xdr:row>10</xdr:row>
      <xdr:rowOff>109199</xdr:rowOff>
    </xdr:to>
    <xdr:pic>
      <xdr:nvPicPr>
        <xdr:cNvPr id="5" name="Picture 4">
          <a:extLst>
            <a:ext uri="{FF2B5EF4-FFF2-40B4-BE49-F238E27FC236}">
              <a16:creationId xmlns:a16="http://schemas.microsoft.com/office/drawing/2014/main" id="{815CBEE2-3E5B-4928-AE5F-6BF70C06EA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31392" y="176894"/>
          <a:ext cx="3695680" cy="1837305"/>
        </a:xfrm>
        <a:prstGeom prst="rect">
          <a:avLst/>
        </a:prstGeom>
      </xdr:spPr>
    </xdr:pic>
    <xdr:clientData/>
  </xdr:twoCellAnchor>
  <xdr:twoCellAnchor>
    <xdr:from>
      <xdr:col>7</xdr:col>
      <xdr:colOff>13607</xdr:colOff>
      <xdr:row>4</xdr:row>
      <xdr:rowOff>95252</xdr:rowOff>
    </xdr:from>
    <xdr:to>
      <xdr:col>15</xdr:col>
      <xdr:colOff>530678</xdr:colOff>
      <xdr:row>7</xdr:row>
      <xdr:rowOff>54430</xdr:rowOff>
    </xdr:to>
    <xdr:sp macro="" textlink="">
      <xdr:nvSpPr>
        <xdr:cNvPr id="6" name="TextBox 5">
          <a:extLst>
            <a:ext uri="{FF2B5EF4-FFF2-40B4-BE49-F238E27FC236}">
              <a16:creationId xmlns:a16="http://schemas.microsoft.com/office/drawing/2014/main" id="{9B088BA0-8C8D-4D6F-A5FF-5B43F41F57CC}"/>
            </a:ext>
          </a:extLst>
        </xdr:cNvPr>
        <xdr:cNvSpPr txBox="1"/>
      </xdr:nvSpPr>
      <xdr:spPr>
        <a:xfrm>
          <a:off x="4299857" y="857252"/>
          <a:ext cx="5415642"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solidFill>
                <a:schemeClr val="bg1"/>
              </a:solidFill>
              <a:latin typeface="Arial" panose="020B0604020202020204" pitchFamily="34" charset="0"/>
              <a:cs typeface="Arial" panose="020B0604020202020204" pitchFamily="34" charset="0"/>
            </a:rPr>
            <a:t>Comparisson of VM Costs</a:t>
          </a:r>
        </a:p>
      </xdr:txBody>
    </xdr:sp>
    <xdr:clientData/>
  </xdr:twoCellAnchor>
  <xdr:twoCellAnchor>
    <xdr:from>
      <xdr:col>14</xdr:col>
      <xdr:colOff>70997</xdr:colOff>
      <xdr:row>7</xdr:row>
      <xdr:rowOff>90767</xdr:rowOff>
    </xdr:from>
    <xdr:to>
      <xdr:col>18</xdr:col>
      <xdr:colOff>510585</xdr:colOff>
      <xdr:row>19</xdr:row>
      <xdr:rowOff>148115</xdr:rowOff>
    </xdr:to>
    <xdr:grpSp>
      <xdr:nvGrpSpPr>
        <xdr:cNvPr id="31" name="Group 30">
          <a:extLst>
            <a:ext uri="{FF2B5EF4-FFF2-40B4-BE49-F238E27FC236}">
              <a16:creationId xmlns:a16="http://schemas.microsoft.com/office/drawing/2014/main" id="{E75974BB-8C38-4635-A9FC-D19D6F682A43}"/>
            </a:ext>
          </a:extLst>
        </xdr:cNvPr>
        <xdr:cNvGrpSpPr/>
      </xdr:nvGrpSpPr>
      <xdr:grpSpPr>
        <a:xfrm>
          <a:off x="9049897" y="1379817"/>
          <a:ext cx="3004988" cy="2267148"/>
          <a:chOff x="4620986" y="1469572"/>
          <a:chExt cx="2877988" cy="2343348"/>
        </a:xfrm>
      </xdr:grpSpPr>
      <xdr:grpSp>
        <xdr:nvGrpSpPr>
          <xdr:cNvPr id="19" name="Group 18">
            <a:extLst>
              <a:ext uri="{FF2B5EF4-FFF2-40B4-BE49-F238E27FC236}">
                <a16:creationId xmlns:a16="http://schemas.microsoft.com/office/drawing/2014/main" id="{5044877D-E1AB-428E-9B7C-B3E691B6E14D}"/>
              </a:ext>
            </a:extLst>
          </xdr:cNvPr>
          <xdr:cNvGrpSpPr/>
        </xdr:nvGrpSpPr>
        <xdr:grpSpPr>
          <a:xfrm>
            <a:off x="4620986" y="1469572"/>
            <a:ext cx="2877988" cy="2343348"/>
            <a:chOff x="4620986" y="1469572"/>
            <a:chExt cx="2877988" cy="2343348"/>
          </a:xfrm>
        </xdr:grpSpPr>
        <xdr:grpSp>
          <xdr:nvGrpSpPr>
            <xdr:cNvPr id="18" name="Group 17">
              <a:extLst>
                <a:ext uri="{FF2B5EF4-FFF2-40B4-BE49-F238E27FC236}">
                  <a16:creationId xmlns:a16="http://schemas.microsoft.com/office/drawing/2014/main" id="{E332AC2F-82D9-4A84-96AC-5DFB32DAC30D}"/>
                </a:ext>
              </a:extLst>
            </xdr:cNvPr>
            <xdr:cNvGrpSpPr/>
          </xdr:nvGrpSpPr>
          <xdr:grpSpPr>
            <a:xfrm>
              <a:off x="4620986" y="1469572"/>
              <a:ext cx="2877988" cy="2343348"/>
              <a:chOff x="18369643" y="2286000"/>
              <a:chExt cx="2891595" cy="2343348"/>
            </a:xfrm>
          </xdr:grpSpPr>
          <xdr:sp macro="" textlink="">
            <xdr:nvSpPr>
              <xdr:cNvPr id="16" name="Freeform: Shape 15">
                <a:extLst>
                  <a:ext uri="{FF2B5EF4-FFF2-40B4-BE49-F238E27FC236}">
                    <a16:creationId xmlns:a16="http://schemas.microsoft.com/office/drawing/2014/main" id="{18A7CC8A-CD64-4306-B8C4-B770E0E0A601}"/>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sp macro="" textlink="">
            <xdr:nvSpPr>
              <xdr:cNvPr id="17" name="Freeform: Shape 16">
                <a:extLst>
                  <a:ext uri="{FF2B5EF4-FFF2-40B4-BE49-F238E27FC236}">
                    <a16:creationId xmlns:a16="http://schemas.microsoft.com/office/drawing/2014/main" id="{C539FAD9-C6D7-41C5-8640-FD9041D5F831}"/>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10" name="TextBox 9">
              <a:extLst>
                <a:ext uri="{FF2B5EF4-FFF2-40B4-BE49-F238E27FC236}">
                  <a16:creationId xmlns:a16="http://schemas.microsoft.com/office/drawing/2014/main" id="{5D4FE0E6-4FCF-4830-8B10-D67F1AFE0110}"/>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Current Azure Cost</a:t>
              </a:r>
            </a:p>
          </xdr:txBody>
        </xdr:sp>
      </xdr:grpSp>
      <xdr:sp macro="" textlink="'Dashboard Workings'!D63">
        <xdr:nvSpPr>
          <xdr:cNvPr id="30" name="TextBox 29">
            <a:extLst>
              <a:ext uri="{FF2B5EF4-FFF2-40B4-BE49-F238E27FC236}">
                <a16:creationId xmlns:a16="http://schemas.microsoft.com/office/drawing/2014/main" id="{B2A48D1A-2EC0-4BE5-84A6-98886C1CFB64}"/>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62B1227-D35E-457B-AA78-BEF55F787759}" type="TxLink">
              <a:rPr lang="en-US" sz="1600" b="1" i="0" u="none" strike="noStrike">
                <a:solidFill>
                  <a:schemeClr val="bg1"/>
                </a:solidFill>
                <a:latin typeface="Calibri"/>
                <a:cs typeface="Calibri"/>
              </a:rPr>
              <a:pPr algn="r"/>
              <a:t>£ 25900.38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18</xdr:col>
      <xdr:colOff>569258</xdr:colOff>
      <xdr:row>7</xdr:row>
      <xdr:rowOff>90767</xdr:rowOff>
    </xdr:from>
    <xdr:to>
      <xdr:col>23</xdr:col>
      <xdr:colOff>399246</xdr:colOff>
      <xdr:row>19</xdr:row>
      <xdr:rowOff>148115</xdr:rowOff>
    </xdr:to>
    <xdr:grpSp>
      <xdr:nvGrpSpPr>
        <xdr:cNvPr id="32" name="Group 31">
          <a:extLst>
            <a:ext uri="{FF2B5EF4-FFF2-40B4-BE49-F238E27FC236}">
              <a16:creationId xmlns:a16="http://schemas.microsoft.com/office/drawing/2014/main" id="{C5F25F72-C686-4148-AD8D-A09C81D63F04}"/>
            </a:ext>
          </a:extLst>
        </xdr:cNvPr>
        <xdr:cNvGrpSpPr/>
      </xdr:nvGrpSpPr>
      <xdr:grpSpPr>
        <a:xfrm>
          <a:off x="12113558" y="1379817"/>
          <a:ext cx="3036738" cy="2267148"/>
          <a:chOff x="4620986" y="1469572"/>
          <a:chExt cx="2877988" cy="2343348"/>
        </a:xfrm>
      </xdr:grpSpPr>
      <xdr:grpSp>
        <xdr:nvGrpSpPr>
          <xdr:cNvPr id="33" name="Group 32">
            <a:extLst>
              <a:ext uri="{FF2B5EF4-FFF2-40B4-BE49-F238E27FC236}">
                <a16:creationId xmlns:a16="http://schemas.microsoft.com/office/drawing/2014/main" id="{5536BFBE-CF48-4237-A02F-2DA8B72F91BE}"/>
              </a:ext>
            </a:extLst>
          </xdr:cNvPr>
          <xdr:cNvGrpSpPr/>
        </xdr:nvGrpSpPr>
        <xdr:grpSpPr>
          <a:xfrm>
            <a:off x="4620986" y="1469572"/>
            <a:ext cx="2877988" cy="2343348"/>
            <a:chOff x="4620986" y="1469572"/>
            <a:chExt cx="2877988" cy="2343348"/>
          </a:xfrm>
        </xdr:grpSpPr>
        <xdr:grpSp>
          <xdr:nvGrpSpPr>
            <xdr:cNvPr id="35" name="Group 34">
              <a:extLst>
                <a:ext uri="{FF2B5EF4-FFF2-40B4-BE49-F238E27FC236}">
                  <a16:creationId xmlns:a16="http://schemas.microsoft.com/office/drawing/2014/main" id="{232CB140-30F7-4FDF-A611-F1B65F4EA835}"/>
                </a:ext>
              </a:extLst>
            </xdr:cNvPr>
            <xdr:cNvGrpSpPr/>
          </xdr:nvGrpSpPr>
          <xdr:grpSpPr>
            <a:xfrm>
              <a:off x="4620986" y="1469572"/>
              <a:ext cx="2877988" cy="2343348"/>
              <a:chOff x="18369643" y="2286000"/>
              <a:chExt cx="2891595" cy="2343348"/>
            </a:xfrm>
          </xdr:grpSpPr>
          <xdr:sp macro="" textlink="">
            <xdr:nvSpPr>
              <xdr:cNvPr id="37" name="Freeform: Shape 36">
                <a:extLst>
                  <a:ext uri="{FF2B5EF4-FFF2-40B4-BE49-F238E27FC236}">
                    <a16:creationId xmlns:a16="http://schemas.microsoft.com/office/drawing/2014/main" id="{08EB5452-9A1E-4127-BC29-A012FDAAE762}"/>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sp macro="" textlink="">
            <xdr:nvSpPr>
              <xdr:cNvPr id="38" name="Freeform: Shape 37">
                <a:extLst>
                  <a:ext uri="{FF2B5EF4-FFF2-40B4-BE49-F238E27FC236}">
                    <a16:creationId xmlns:a16="http://schemas.microsoft.com/office/drawing/2014/main" id="{F13DDE6A-045C-494F-864F-D32D60747CD8}"/>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36" name="TextBox 35">
              <a:extLst>
                <a:ext uri="{FF2B5EF4-FFF2-40B4-BE49-F238E27FC236}">
                  <a16:creationId xmlns:a16="http://schemas.microsoft.com/office/drawing/2014/main" id="{9B7D8370-0C52-4B26-BA74-5594A47D6157}"/>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New Azure Cost</a:t>
              </a:r>
            </a:p>
          </xdr:txBody>
        </xdr:sp>
      </xdr:grpSp>
      <xdr:sp macro="" textlink="'Dashboard Workings'!D64">
        <xdr:nvSpPr>
          <xdr:cNvPr id="34" name="TextBox 33">
            <a:extLst>
              <a:ext uri="{FF2B5EF4-FFF2-40B4-BE49-F238E27FC236}">
                <a16:creationId xmlns:a16="http://schemas.microsoft.com/office/drawing/2014/main" id="{B4B4969E-4089-4136-B25D-2AA2EB5F7EA4}"/>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6DA701D-BCD4-4C43-A1E1-54A5E45DCF2F}" type="TxLink">
              <a:rPr lang="en-US" sz="1600" b="1" i="0" u="none" strike="noStrike">
                <a:solidFill>
                  <a:schemeClr val="bg1"/>
                </a:solidFill>
                <a:latin typeface="Calibri"/>
                <a:cs typeface="Calibri"/>
              </a:rPr>
              <a:pPr algn="r"/>
              <a:t>£ 45788.77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23</xdr:col>
      <xdr:colOff>457920</xdr:colOff>
      <xdr:row>7</xdr:row>
      <xdr:rowOff>90767</xdr:rowOff>
    </xdr:from>
    <xdr:to>
      <xdr:col>28</xdr:col>
      <xdr:colOff>287908</xdr:colOff>
      <xdr:row>19</xdr:row>
      <xdr:rowOff>148115</xdr:rowOff>
    </xdr:to>
    <xdr:grpSp>
      <xdr:nvGrpSpPr>
        <xdr:cNvPr id="39" name="Group 38">
          <a:extLst>
            <a:ext uri="{FF2B5EF4-FFF2-40B4-BE49-F238E27FC236}">
              <a16:creationId xmlns:a16="http://schemas.microsoft.com/office/drawing/2014/main" id="{55FE522C-4AC1-420F-B4B3-A11FFB4F974E}"/>
            </a:ext>
          </a:extLst>
        </xdr:cNvPr>
        <xdr:cNvGrpSpPr/>
      </xdr:nvGrpSpPr>
      <xdr:grpSpPr>
        <a:xfrm>
          <a:off x="15208970" y="1379817"/>
          <a:ext cx="3036738" cy="2267148"/>
          <a:chOff x="4620986" y="1469572"/>
          <a:chExt cx="2877988" cy="2343348"/>
        </a:xfrm>
      </xdr:grpSpPr>
      <xdr:grpSp>
        <xdr:nvGrpSpPr>
          <xdr:cNvPr id="40" name="Group 39">
            <a:extLst>
              <a:ext uri="{FF2B5EF4-FFF2-40B4-BE49-F238E27FC236}">
                <a16:creationId xmlns:a16="http://schemas.microsoft.com/office/drawing/2014/main" id="{3399B4F4-F06D-4CD9-87F2-6C3EF7BBB5BB}"/>
              </a:ext>
            </a:extLst>
          </xdr:cNvPr>
          <xdr:cNvGrpSpPr/>
        </xdr:nvGrpSpPr>
        <xdr:grpSpPr>
          <a:xfrm>
            <a:off x="4620986" y="1469572"/>
            <a:ext cx="2877988" cy="2343348"/>
            <a:chOff x="4620986" y="1469572"/>
            <a:chExt cx="2877988" cy="2343348"/>
          </a:xfrm>
        </xdr:grpSpPr>
        <xdr:grpSp>
          <xdr:nvGrpSpPr>
            <xdr:cNvPr id="42" name="Group 41">
              <a:extLst>
                <a:ext uri="{FF2B5EF4-FFF2-40B4-BE49-F238E27FC236}">
                  <a16:creationId xmlns:a16="http://schemas.microsoft.com/office/drawing/2014/main" id="{4228F734-E15F-46C2-B887-1F42A4314CDB}"/>
                </a:ext>
              </a:extLst>
            </xdr:cNvPr>
            <xdr:cNvGrpSpPr/>
          </xdr:nvGrpSpPr>
          <xdr:grpSpPr>
            <a:xfrm>
              <a:off x="4620986" y="1469572"/>
              <a:ext cx="2877988" cy="2343348"/>
              <a:chOff x="18369643" y="2286000"/>
              <a:chExt cx="2891595" cy="2343348"/>
            </a:xfrm>
          </xdr:grpSpPr>
          <xdr:sp macro="" textlink="">
            <xdr:nvSpPr>
              <xdr:cNvPr id="44" name="Freeform: Shape 43">
                <a:extLst>
                  <a:ext uri="{FF2B5EF4-FFF2-40B4-BE49-F238E27FC236}">
                    <a16:creationId xmlns:a16="http://schemas.microsoft.com/office/drawing/2014/main" id="{F6DF151D-1AB0-4659-B0DC-CEDBBAC19C8F}"/>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gradFill>
                    <a:gsLst>
                      <a:gs pos="0">
                        <a:schemeClr val="accent2"/>
                      </a:gs>
                      <a:gs pos="17000">
                        <a:schemeClr val="accent2">
                          <a:lumMod val="75000"/>
                        </a:schemeClr>
                      </a:gs>
                      <a:gs pos="100000">
                        <a:schemeClr val="accent4"/>
                      </a:gs>
                    </a:gsLst>
                    <a:lin ang="2700000" scaled="1"/>
                  </a:gradFill>
                </a:endParaRPr>
              </a:p>
            </xdr:txBody>
          </xdr:sp>
          <xdr:sp macro="" textlink="">
            <xdr:nvSpPr>
              <xdr:cNvPr id="45" name="Freeform: Shape 44">
                <a:extLst>
                  <a:ext uri="{FF2B5EF4-FFF2-40B4-BE49-F238E27FC236}">
                    <a16:creationId xmlns:a16="http://schemas.microsoft.com/office/drawing/2014/main" id="{19CDDE54-3366-466B-945E-3544482992A0}"/>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43" name="TextBox 42">
              <a:extLst>
                <a:ext uri="{FF2B5EF4-FFF2-40B4-BE49-F238E27FC236}">
                  <a16:creationId xmlns:a16="http://schemas.microsoft.com/office/drawing/2014/main" id="{E266EF7E-CC69-4132-8F13-479B68A7B400}"/>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Savings</a:t>
              </a:r>
            </a:p>
          </xdr:txBody>
        </xdr:sp>
      </xdr:grpSp>
      <xdr:sp macro="" textlink="'Dashboard Workings'!D65">
        <xdr:nvSpPr>
          <xdr:cNvPr id="41" name="TextBox 40">
            <a:extLst>
              <a:ext uri="{FF2B5EF4-FFF2-40B4-BE49-F238E27FC236}">
                <a16:creationId xmlns:a16="http://schemas.microsoft.com/office/drawing/2014/main" id="{82311F59-3923-4F6B-8E8F-533C2FCE9CF7}"/>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3E3A04-E3FC-47EA-8FFC-3499D9C692D3}" type="TxLink">
              <a:rPr lang="en-US" sz="1600" b="1" i="0" u="none" strike="noStrike">
                <a:solidFill>
                  <a:schemeClr val="bg1"/>
                </a:solidFill>
                <a:latin typeface="Calibri"/>
                <a:cs typeface="Calibri"/>
              </a:rPr>
              <a:pPr algn="r"/>
              <a:t>£ -19888.39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9</xdr:col>
      <xdr:colOff>182336</xdr:colOff>
      <xdr:row>7</xdr:row>
      <xdr:rowOff>90767</xdr:rowOff>
    </xdr:from>
    <xdr:to>
      <xdr:col>14</xdr:col>
      <xdr:colOff>12324</xdr:colOff>
      <xdr:row>19</xdr:row>
      <xdr:rowOff>148115</xdr:rowOff>
    </xdr:to>
    <xdr:grpSp>
      <xdr:nvGrpSpPr>
        <xdr:cNvPr id="53" name="Group 52">
          <a:extLst>
            <a:ext uri="{FF2B5EF4-FFF2-40B4-BE49-F238E27FC236}">
              <a16:creationId xmlns:a16="http://schemas.microsoft.com/office/drawing/2014/main" id="{A81A0566-D7B0-49FE-BA6C-373720D95F1C}"/>
            </a:ext>
          </a:extLst>
        </xdr:cNvPr>
        <xdr:cNvGrpSpPr/>
      </xdr:nvGrpSpPr>
      <xdr:grpSpPr>
        <a:xfrm>
          <a:off x="5954486" y="1379817"/>
          <a:ext cx="3036738" cy="2267148"/>
          <a:chOff x="4620986" y="1469572"/>
          <a:chExt cx="2877988" cy="2343348"/>
        </a:xfrm>
      </xdr:grpSpPr>
      <xdr:grpSp>
        <xdr:nvGrpSpPr>
          <xdr:cNvPr id="54" name="Group 53">
            <a:extLst>
              <a:ext uri="{FF2B5EF4-FFF2-40B4-BE49-F238E27FC236}">
                <a16:creationId xmlns:a16="http://schemas.microsoft.com/office/drawing/2014/main" id="{48791AE6-B32A-4B5D-8552-122BE64CD4B3}"/>
              </a:ext>
            </a:extLst>
          </xdr:cNvPr>
          <xdr:cNvGrpSpPr/>
        </xdr:nvGrpSpPr>
        <xdr:grpSpPr>
          <a:xfrm>
            <a:off x="4620986" y="1469572"/>
            <a:ext cx="2877988" cy="2343348"/>
            <a:chOff x="4620986" y="1469572"/>
            <a:chExt cx="2877988" cy="2343348"/>
          </a:xfrm>
        </xdr:grpSpPr>
        <xdr:grpSp>
          <xdr:nvGrpSpPr>
            <xdr:cNvPr id="56" name="Group 55">
              <a:extLst>
                <a:ext uri="{FF2B5EF4-FFF2-40B4-BE49-F238E27FC236}">
                  <a16:creationId xmlns:a16="http://schemas.microsoft.com/office/drawing/2014/main" id="{4DE63302-27DE-4724-9291-D3DC8A34ED75}"/>
                </a:ext>
              </a:extLst>
            </xdr:cNvPr>
            <xdr:cNvGrpSpPr/>
          </xdr:nvGrpSpPr>
          <xdr:grpSpPr>
            <a:xfrm>
              <a:off x="4620986" y="1469572"/>
              <a:ext cx="2877988" cy="2343348"/>
              <a:chOff x="18369643" y="2286000"/>
              <a:chExt cx="2891595" cy="2343348"/>
            </a:xfrm>
          </xdr:grpSpPr>
          <xdr:sp macro="" textlink="">
            <xdr:nvSpPr>
              <xdr:cNvPr id="58" name="Freeform: Shape 57">
                <a:extLst>
                  <a:ext uri="{FF2B5EF4-FFF2-40B4-BE49-F238E27FC236}">
                    <a16:creationId xmlns:a16="http://schemas.microsoft.com/office/drawing/2014/main" id="{EB8CF798-F3F6-4FEB-9AFB-9547C58D5109}"/>
                  </a:ext>
                </a:extLst>
              </xdr:cNvPr>
              <xdr:cNvSpPr/>
            </xdr:nvSpPr>
            <xdr:spPr>
              <a:xfrm rot="900000">
                <a:off x="18369643" y="3340311"/>
                <a:ext cx="2786125" cy="1289037"/>
              </a:xfrm>
              <a:custGeom>
                <a:avLst/>
                <a:gdLst>
                  <a:gd name="connsiteX0" fmla="*/ 149802 w 2786125"/>
                  <a:gd name="connsiteY0" fmla="*/ 3812 h 1289037"/>
                  <a:gd name="connsiteX1" fmla="*/ 187613 w 2786125"/>
                  <a:gd name="connsiteY1" fmla="*/ 0 h 1289037"/>
                  <a:gd name="connsiteX2" fmla="*/ 2660294 w 2786125"/>
                  <a:gd name="connsiteY2" fmla="*/ 1 h 1289037"/>
                  <a:gd name="connsiteX3" fmla="*/ 2779686 w 2786125"/>
                  <a:gd name="connsiteY3" fmla="*/ 445578 h 1289037"/>
                  <a:gd name="connsiteX4" fmla="*/ 2647023 w 2786125"/>
                  <a:gd name="connsiteY4" fmla="*/ 675356 h 1289037"/>
                  <a:gd name="connsiteX5" fmla="*/ 380765 w 2786125"/>
                  <a:gd name="connsiteY5" fmla="*/ 1282598 h 1289037"/>
                  <a:gd name="connsiteX6" fmla="*/ 150987 w 2786125"/>
                  <a:gd name="connsiteY6" fmla="*/ 1149935 h 1289037"/>
                  <a:gd name="connsiteX7" fmla="*/ 0 w 2786125"/>
                  <a:gd name="connsiteY7" fmla="*/ 586444 h 1289037"/>
                  <a:gd name="connsiteX8" fmla="*/ 0 w 2786125"/>
                  <a:gd name="connsiteY8" fmla="*/ 187613 h 1289037"/>
                  <a:gd name="connsiteX9" fmla="*/ 149802 w 2786125"/>
                  <a:gd name="connsiteY9" fmla="*/ 3812 h 12890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786125" h="1289037">
                    <a:moveTo>
                      <a:pt x="149802" y="3812"/>
                    </a:moveTo>
                    <a:cubicBezTo>
                      <a:pt x="162016" y="1312"/>
                      <a:pt x="174661" y="0"/>
                      <a:pt x="187613" y="0"/>
                    </a:cubicBezTo>
                    <a:lnTo>
                      <a:pt x="2660294" y="1"/>
                    </a:lnTo>
                    <a:lnTo>
                      <a:pt x="2779686" y="445578"/>
                    </a:lnTo>
                    <a:cubicBezTo>
                      <a:pt x="2806504" y="545663"/>
                      <a:pt x="2747109" y="648538"/>
                      <a:pt x="2647023" y="675356"/>
                    </a:cubicBezTo>
                    <a:lnTo>
                      <a:pt x="380765" y="1282598"/>
                    </a:lnTo>
                    <a:cubicBezTo>
                      <a:pt x="280680" y="1309415"/>
                      <a:pt x="177805" y="1250021"/>
                      <a:pt x="150987" y="1149935"/>
                    </a:cubicBezTo>
                    <a:lnTo>
                      <a:pt x="0" y="586444"/>
                    </a:lnTo>
                    <a:lnTo>
                      <a:pt x="0" y="187613"/>
                    </a:lnTo>
                    <a:cubicBezTo>
                      <a:pt x="1" y="96949"/>
                      <a:pt x="64311" y="21306"/>
                      <a:pt x="149802" y="3812"/>
                    </a:cubicBezTo>
                    <a:close/>
                  </a:path>
                </a:pathLst>
              </a:custGeom>
              <a:gradFill flip="none" rotWithShape="1">
                <a:gsLst>
                  <a:gs pos="0">
                    <a:schemeClr val="accent2"/>
                  </a:gs>
                  <a:gs pos="26000">
                    <a:schemeClr val="accent2"/>
                  </a:gs>
                  <a:gs pos="100000">
                    <a:schemeClr val="accent4"/>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sp macro="" textlink="">
            <xdr:nvSpPr>
              <xdr:cNvPr id="59" name="Freeform: Shape 58">
                <a:extLst>
                  <a:ext uri="{FF2B5EF4-FFF2-40B4-BE49-F238E27FC236}">
                    <a16:creationId xmlns:a16="http://schemas.microsoft.com/office/drawing/2014/main" id="{C19E266E-A793-465C-AEB1-0583A5926EDE}"/>
                  </a:ext>
                </a:extLst>
              </xdr:cNvPr>
              <xdr:cNvSpPr/>
            </xdr:nvSpPr>
            <xdr:spPr>
              <a:xfrm rot="900000">
                <a:off x="18384775" y="2286000"/>
                <a:ext cx="2876463" cy="1626182"/>
              </a:xfrm>
              <a:custGeom>
                <a:avLst/>
                <a:gdLst>
                  <a:gd name="connsiteX0" fmla="*/ 139102 w 2876463"/>
                  <a:gd name="connsiteY0" fmla="*/ 613681 h 1626182"/>
                  <a:gd name="connsiteX1" fmla="*/ 2405360 w 2876463"/>
                  <a:gd name="connsiteY1" fmla="*/ 6439 h 1626182"/>
                  <a:gd name="connsiteX2" fmla="*/ 2635138 w 2876463"/>
                  <a:gd name="connsiteY2" fmla="*/ 139102 h 1626182"/>
                  <a:gd name="connsiteX3" fmla="*/ 2876463 w 2876463"/>
                  <a:gd name="connsiteY3" fmla="*/ 1039739 h 1626182"/>
                  <a:gd name="connsiteX4" fmla="*/ 403782 w 2876463"/>
                  <a:gd name="connsiteY4" fmla="*/ 1039738 h 1626182"/>
                  <a:gd name="connsiteX5" fmla="*/ 216169 w 2876463"/>
                  <a:gd name="connsiteY5" fmla="*/ 1227351 h 1626182"/>
                  <a:gd name="connsiteX6" fmla="*/ 216169 w 2876463"/>
                  <a:gd name="connsiteY6" fmla="*/ 1626182 h 1626182"/>
                  <a:gd name="connsiteX7" fmla="*/ 6439 w 2876463"/>
                  <a:gd name="connsiteY7" fmla="*/ 843459 h 1626182"/>
                  <a:gd name="connsiteX8" fmla="*/ 139102 w 2876463"/>
                  <a:gd name="connsiteY8" fmla="*/ 613681 h 16261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76463" h="1626182">
                    <a:moveTo>
                      <a:pt x="139102" y="613681"/>
                    </a:moveTo>
                    <a:lnTo>
                      <a:pt x="2405360" y="6439"/>
                    </a:lnTo>
                    <a:cubicBezTo>
                      <a:pt x="2505445" y="-20378"/>
                      <a:pt x="2608320" y="39016"/>
                      <a:pt x="2635138" y="139102"/>
                    </a:cubicBezTo>
                    <a:lnTo>
                      <a:pt x="2876463" y="1039739"/>
                    </a:lnTo>
                    <a:lnTo>
                      <a:pt x="403782" y="1039738"/>
                    </a:lnTo>
                    <a:cubicBezTo>
                      <a:pt x="300167" y="1039738"/>
                      <a:pt x="216170" y="1123735"/>
                      <a:pt x="216169" y="1227351"/>
                    </a:cubicBezTo>
                    <a:lnTo>
                      <a:pt x="216169" y="1626182"/>
                    </a:lnTo>
                    <a:lnTo>
                      <a:pt x="6439" y="843459"/>
                    </a:lnTo>
                    <a:cubicBezTo>
                      <a:pt x="-20378" y="743374"/>
                      <a:pt x="39016" y="640499"/>
                      <a:pt x="139102" y="613681"/>
                    </a:cubicBezTo>
                    <a:close/>
                  </a:path>
                </a:pathLst>
              </a:cu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ZA" sz="1100"/>
              </a:p>
            </xdr:txBody>
          </xdr:sp>
        </xdr:grpSp>
        <xdr:sp macro="" textlink="">
          <xdr:nvSpPr>
            <xdr:cNvPr id="57" name="TextBox 56">
              <a:extLst>
                <a:ext uri="{FF2B5EF4-FFF2-40B4-BE49-F238E27FC236}">
                  <a16:creationId xmlns:a16="http://schemas.microsoft.com/office/drawing/2014/main" id="{BE5EFE50-17D6-4C6C-8620-72F61FED6B71}"/>
                </a:ext>
              </a:extLst>
            </xdr:cNvPr>
            <xdr:cNvSpPr txBox="1"/>
          </xdr:nvSpPr>
          <xdr:spPr>
            <a:xfrm>
              <a:off x="4755697" y="3120117"/>
              <a:ext cx="2669721"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600" b="1">
                  <a:solidFill>
                    <a:schemeClr val="bg1"/>
                  </a:solidFill>
                  <a:latin typeface="Arial" panose="020B0604020202020204" pitchFamily="34" charset="0"/>
                  <a:cs typeface="Arial" panose="020B0604020202020204" pitchFamily="34" charset="0"/>
                </a:rPr>
                <a:t>RI</a:t>
              </a:r>
              <a:r>
                <a:rPr lang="en-ZA" sz="1600" b="1" baseline="0">
                  <a:solidFill>
                    <a:schemeClr val="bg1"/>
                  </a:solidFill>
                  <a:latin typeface="Arial" panose="020B0604020202020204" pitchFamily="34" charset="0"/>
                  <a:cs typeface="Arial" panose="020B0604020202020204" pitchFamily="34" charset="0"/>
                </a:rPr>
                <a:t> Monthly Cost</a:t>
              </a:r>
              <a:endParaRPr lang="en-ZA" sz="1600" b="1">
                <a:solidFill>
                  <a:schemeClr val="bg1"/>
                </a:solidFill>
                <a:latin typeface="Arial" panose="020B0604020202020204" pitchFamily="34" charset="0"/>
                <a:cs typeface="Arial" panose="020B0604020202020204" pitchFamily="34" charset="0"/>
              </a:endParaRPr>
            </a:p>
          </xdr:txBody>
        </xdr:sp>
      </xdr:grpSp>
      <xdr:sp macro="" textlink="'Dashboard Workings'!D66">
        <xdr:nvSpPr>
          <xdr:cNvPr id="55" name="TextBox 54">
            <a:extLst>
              <a:ext uri="{FF2B5EF4-FFF2-40B4-BE49-F238E27FC236}">
                <a16:creationId xmlns:a16="http://schemas.microsoft.com/office/drawing/2014/main" id="{612198A4-37AC-4296-9B77-F3208D4019D1}"/>
              </a:ext>
            </a:extLst>
          </xdr:cNvPr>
          <xdr:cNvSpPr txBox="1"/>
        </xdr:nvSpPr>
        <xdr:spPr>
          <a:xfrm>
            <a:off x="5514975" y="1900517"/>
            <a:ext cx="1819275"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961CB0B-D7D1-47E6-80CE-33B05F6DBFB3}" type="TxLink">
              <a:rPr lang="en-US" sz="1600" b="1" i="0" u="none" strike="noStrike">
                <a:solidFill>
                  <a:schemeClr val="bg1"/>
                </a:solidFill>
                <a:latin typeface="Calibri"/>
                <a:cs typeface="Calibri"/>
              </a:rPr>
              <a:pPr algn="r"/>
              <a:t>£ 12413.04 /month</a:t>
            </a:fld>
            <a:endParaRPr lang="en-ZA" sz="16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13</xdr:col>
      <xdr:colOff>476250</xdr:colOff>
      <xdr:row>19</xdr:row>
      <xdr:rowOff>142874</xdr:rowOff>
    </xdr:from>
    <xdr:to>
      <xdr:col>17</xdr:col>
      <xdr:colOff>57150</xdr:colOff>
      <xdr:row>24</xdr:row>
      <xdr:rowOff>171449</xdr:rowOff>
    </xdr:to>
    <xdr:sp macro="" textlink="">
      <xdr:nvSpPr>
        <xdr:cNvPr id="260" name="Rectangle: Rounded Corners 259">
          <a:extLst>
            <a:ext uri="{FF2B5EF4-FFF2-40B4-BE49-F238E27FC236}">
              <a16:creationId xmlns:a16="http://schemas.microsoft.com/office/drawing/2014/main" id="{C4A2E0B9-6633-4FD6-BDB1-1F3940907811}"/>
            </a:ext>
          </a:extLst>
        </xdr:cNvPr>
        <xdr:cNvSpPr/>
      </xdr:nvSpPr>
      <xdr:spPr>
        <a:xfrm>
          <a:off x="8401050" y="3762374"/>
          <a:ext cx="2019300" cy="981075"/>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229319</xdr:colOff>
      <xdr:row>19</xdr:row>
      <xdr:rowOff>166966</xdr:rowOff>
    </xdr:from>
    <xdr:to>
      <xdr:col>28</xdr:col>
      <xdr:colOff>408765</xdr:colOff>
      <xdr:row>35</xdr:row>
      <xdr:rowOff>190499</xdr:rowOff>
    </xdr:to>
    <xdr:grpSp>
      <xdr:nvGrpSpPr>
        <xdr:cNvPr id="4" name="Group 3">
          <a:extLst>
            <a:ext uri="{FF2B5EF4-FFF2-40B4-BE49-F238E27FC236}">
              <a16:creationId xmlns:a16="http://schemas.microsoft.com/office/drawing/2014/main" id="{563F5A04-3EAE-4E7C-8273-7D466C47C88B}"/>
            </a:ext>
          </a:extLst>
        </xdr:cNvPr>
        <xdr:cNvGrpSpPr/>
      </xdr:nvGrpSpPr>
      <xdr:grpSpPr>
        <a:xfrm>
          <a:off x="6001469" y="3665816"/>
          <a:ext cx="12365096" cy="2963583"/>
          <a:chOff x="2991569" y="3767416"/>
          <a:chExt cx="11761846" cy="3071533"/>
        </a:xfrm>
      </xdr:grpSpPr>
      <xdr:sp macro="" textlink="">
        <xdr:nvSpPr>
          <xdr:cNvPr id="279" name="Rectangle: Rounded Corners 278">
            <a:extLst>
              <a:ext uri="{FF2B5EF4-FFF2-40B4-BE49-F238E27FC236}">
                <a16:creationId xmlns:a16="http://schemas.microsoft.com/office/drawing/2014/main" id="{5937890C-2573-4D2C-9720-F41D13D85373}"/>
              </a:ext>
            </a:extLst>
          </xdr:cNvPr>
          <xdr:cNvSpPr/>
        </xdr:nvSpPr>
        <xdr:spPr>
          <a:xfrm>
            <a:off x="2991569" y="3767416"/>
            <a:ext cx="11543581" cy="3071533"/>
          </a:xfrm>
          <a:prstGeom prst="roundRect">
            <a:avLst>
              <a:gd name="adj" fmla="val 10606"/>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36" name="Group 335">
            <a:extLst>
              <a:ext uri="{FF2B5EF4-FFF2-40B4-BE49-F238E27FC236}">
                <a16:creationId xmlns:a16="http://schemas.microsoft.com/office/drawing/2014/main" id="{A2268F8F-0F3A-4E79-82A5-E488B2C5F71D}"/>
              </a:ext>
            </a:extLst>
          </xdr:cNvPr>
          <xdr:cNvGrpSpPr/>
        </xdr:nvGrpSpPr>
        <xdr:grpSpPr>
          <a:xfrm>
            <a:off x="3094691" y="3867151"/>
            <a:ext cx="2055870" cy="2476500"/>
            <a:chOff x="3094691" y="3867151"/>
            <a:chExt cx="2055870" cy="2476500"/>
          </a:xfrm>
        </xdr:grpSpPr>
        <xdr:grpSp>
          <xdr:nvGrpSpPr>
            <xdr:cNvPr id="298" name="Group 297">
              <a:extLst>
                <a:ext uri="{FF2B5EF4-FFF2-40B4-BE49-F238E27FC236}">
                  <a16:creationId xmlns:a16="http://schemas.microsoft.com/office/drawing/2014/main" id="{1529D743-31C4-4056-ACBC-211E27AC32D7}"/>
                </a:ext>
              </a:extLst>
            </xdr:cNvPr>
            <xdr:cNvGrpSpPr/>
          </xdr:nvGrpSpPr>
          <xdr:grpSpPr>
            <a:xfrm>
              <a:off x="3094691" y="3867151"/>
              <a:ext cx="2055870" cy="2476500"/>
              <a:chOff x="3094691" y="3867151"/>
              <a:chExt cx="2055870" cy="2476500"/>
            </a:xfrm>
          </xdr:grpSpPr>
          <xdr:grpSp>
            <xdr:nvGrpSpPr>
              <xdr:cNvPr id="285" name="Group 284">
                <a:extLst>
                  <a:ext uri="{FF2B5EF4-FFF2-40B4-BE49-F238E27FC236}">
                    <a16:creationId xmlns:a16="http://schemas.microsoft.com/office/drawing/2014/main" id="{D50ECB6F-F4A6-49E0-9D56-8D9AAD71D752}"/>
                  </a:ext>
                </a:extLst>
              </xdr:cNvPr>
              <xdr:cNvGrpSpPr/>
            </xdr:nvGrpSpPr>
            <xdr:grpSpPr>
              <a:xfrm>
                <a:off x="3094691" y="3867151"/>
                <a:ext cx="1734484" cy="2476500"/>
                <a:chOff x="3094691" y="3867151"/>
                <a:chExt cx="1734484" cy="2476500"/>
              </a:xfrm>
            </xdr:grpSpPr>
            <xdr:sp macro="" textlink="">
              <xdr:nvSpPr>
                <xdr:cNvPr id="280" name="Rectangle: Rounded Corners 279">
                  <a:extLst>
                    <a:ext uri="{FF2B5EF4-FFF2-40B4-BE49-F238E27FC236}">
                      <a16:creationId xmlns:a16="http://schemas.microsoft.com/office/drawing/2014/main" id="{6015FD01-57C2-4839-B2C2-57ACEB0ACB44}"/>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4" name="TextBox 283">
                  <a:extLst>
                    <a:ext uri="{FF2B5EF4-FFF2-40B4-BE49-F238E27FC236}">
                      <a16:creationId xmlns:a16="http://schemas.microsoft.com/office/drawing/2014/main" id="{F02DBC1F-301B-4ADA-BEDE-0AFD2A5BEAC1}"/>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B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297" name="Group 296">
                <a:extLst>
                  <a:ext uri="{FF2B5EF4-FFF2-40B4-BE49-F238E27FC236}">
                    <a16:creationId xmlns:a16="http://schemas.microsoft.com/office/drawing/2014/main" id="{20EDA776-3819-4E15-AAF4-18F87C3506BE}"/>
                  </a:ext>
                </a:extLst>
              </xdr:cNvPr>
              <xdr:cNvGrpSpPr/>
            </xdr:nvGrpSpPr>
            <xdr:grpSpPr>
              <a:xfrm>
                <a:off x="3095625" y="4276724"/>
                <a:ext cx="2054936" cy="304397"/>
                <a:chOff x="3095625" y="4229099"/>
                <a:chExt cx="2054936" cy="304397"/>
              </a:xfrm>
            </xdr:grpSpPr>
            <xdr:sp macro="" textlink="">
              <xdr:nvSpPr>
                <xdr:cNvPr id="293" name="Rectangle: Rounded Corners 292">
                  <a:extLst>
                    <a:ext uri="{FF2B5EF4-FFF2-40B4-BE49-F238E27FC236}">
                      <a16:creationId xmlns:a16="http://schemas.microsoft.com/office/drawing/2014/main" id="{353A10BC-2324-42D2-9C3B-07F1E3BE86FC}"/>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90" name="Group 289">
                  <a:extLst>
                    <a:ext uri="{FF2B5EF4-FFF2-40B4-BE49-F238E27FC236}">
                      <a16:creationId xmlns:a16="http://schemas.microsoft.com/office/drawing/2014/main" id="{02DD8154-B1C1-49CC-B2D0-85A66336D63F}"/>
                    </a:ext>
                  </a:extLst>
                </xdr:cNvPr>
                <xdr:cNvGrpSpPr/>
              </xdr:nvGrpSpPr>
              <xdr:grpSpPr>
                <a:xfrm>
                  <a:off x="3152775" y="4238624"/>
                  <a:ext cx="1997786" cy="294872"/>
                  <a:chOff x="8410575" y="3800474"/>
                  <a:chExt cx="1997786" cy="294872"/>
                </a:xfrm>
              </xdr:grpSpPr>
              <xdr:sp macro="" textlink="">
                <xdr:nvSpPr>
                  <xdr:cNvPr id="291" name="TextBox 290">
                    <a:extLst>
                      <a:ext uri="{FF2B5EF4-FFF2-40B4-BE49-F238E27FC236}">
                        <a16:creationId xmlns:a16="http://schemas.microsoft.com/office/drawing/2014/main" id="{4E26F602-A604-473B-9564-8B3FD1E9DF50}"/>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292" name="TextBox 291">
                    <a:extLst>
                      <a:ext uri="{FF2B5EF4-FFF2-40B4-BE49-F238E27FC236}">
                        <a16:creationId xmlns:a16="http://schemas.microsoft.com/office/drawing/2014/main" id="{1A9F1468-00BD-4731-AF83-47196DA39C53}"/>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335" name="Group 334">
              <a:extLst>
                <a:ext uri="{FF2B5EF4-FFF2-40B4-BE49-F238E27FC236}">
                  <a16:creationId xmlns:a16="http://schemas.microsoft.com/office/drawing/2014/main" id="{C8A23914-A048-4B90-A8BF-D8DAF2213E87}"/>
                </a:ext>
              </a:extLst>
            </xdr:cNvPr>
            <xdr:cNvGrpSpPr/>
          </xdr:nvGrpSpPr>
          <xdr:grpSpPr>
            <a:xfrm>
              <a:off x="3162300" y="4615142"/>
              <a:ext cx="1715220" cy="1495022"/>
              <a:chOff x="3162300" y="4615142"/>
              <a:chExt cx="1715220" cy="1495022"/>
            </a:xfrm>
          </xdr:grpSpPr>
          <xdr:grpSp>
            <xdr:nvGrpSpPr>
              <xdr:cNvPr id="295" name="Group 294">
                <a:extLst>
                  <a:ext uri="{FF2B5EF4-FFF2-40B4-BE49-F238E27FC236}">
                    <a16:creationId xmlns:a16="http://schemas.microsoft.com/office/drawing/2014/main" id="{35A9895E-2E83-4348-990B-D183DC3F8828}"/>
                  </a:ext>
                </a:extLst>
              </xdr:cNvPr>
              <xdr:cNvGrpSpPr/>
            </xdr:nvGrpSpPr>
            <xdr:grpSpPr>
              <a:xfrm>
                <a:off x="3162300" y="4615142"/>
                <a:ext cx="1714500" cy="294872"/>
                <a:chOff x="3162300" y="4596092"/>
                <a:chExt cx="1714500" cy="294872"/>
              </a:xfrm>
            </xdr:grpSpPr>
            <xdr:sp macro="" textlink="">
              <xdr:nvSpPr>
                <xdr:cNvPr id="270" name="TextBox 269">
                  <a:extLst>
                    <a:ext uri="{FF2B5EF4-FFF2-40B4-BE49-F238E27FC236}">
                      <a16:creationId xmlns:a16="http://schemas.microsoft.com/office/drawing/2014/main" id="{DEC0A24D-575D-409B-A954-88A07A3D6C07}"/>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B1ms</a:t>
                  </a:r>
                </a:p>
              </xdr:txBody>
            </xdr:sp>
            <xdr:sp macro="" textlink="'Dashboard Workings'!F2">
              <xdr:nvSpPr>
                <xdr:cNvPr id="271" name="TextBox 270">
                  <a:extLst>
                    <a:ext uri="{FF2B5EF4-FFF2-40B4-BE49-F238E27FC236}">
                      <a16:creationId xmlns:a16="http://schemas.microsoft.com/office/drawing/2014/main" id="{58387C0E-6F35-4DB3-A60F-08C3A0BD61E9}"/>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F64D144-0D55-4E07-9FA9-5ADC4C6EAE4C}"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
              <xdr:nvSpPr>
                <xdr:cNvPr id="294" name="TextBox 293">
                  <a:extLst>
                    <a:ext uri="{FF2B5EF4-FFF2-40B4-BE49-F238E27FC236}">
                      <a16:creationId xmlns:a16="http://schemas.microsoft.com/office/drawing/2014/main" id="{86329A5D-F32E-4DFC-9533-B0F816AFEC8B}"/>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7B3CF0-A7C1-45F3-B654-EA24435665CC}"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299" name="Group 298">
                <a:extLst>
                  <a:ext uri="{FF2B5EF4-FFF2-40B4-BE49-F238E27FC236}">
                    <a16:creationId xmlns:a16="http://schemas.microsoft.com/office/drawing/2014/main" id="{219D15E2-08D7-4EDA-88C6-A3959E96F504}"/>
                  </a:ext>
                </a:extLst>
              </xdr:cNvPr>
              <xdr:cNvGrpSpPr/>
            </xdr:nvGrpSpPr>
            <xdr:grpSpPr>
              <a:xfrm>
                <a:off x="3162300" y="4919942"/>
                <a:ext cx="1714500" cy="294872"/>
                <a:chOff x="3162300" y="4596092"/>
                <a:chExt cx="1714500" cy="294872"/>
              </a:xfrm>
            </xdr:grpSpPr>
            <xdr:sp macro="" textlink="">
              <xdr:nvSpPr>
                <xdr:cNvPr id="300" name="TextBox 299">
                  <a:extLst>
                    <a:ext uri="{FF2B5EF4-FFF2-40B4-BE49-F238E27FC236}">
                      <a16:creationId xmlns:a16="http://schemas.microsoft.com/office/drawing/2014/main" id="{146C6AD4-6DC0-4710-BAB1-D9DC5E8C2E7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B2ms</a:t>
                  </a:r>
                </a:p>
              </xdr:txBody>
            </xdr:sp>
            <xdr:sp macro="" textlink="'Dashboard Workings'!F3">
              <xdr:nvSpPr>
                <xdr:cNvPr id="301" name="TextBox 300">
                  <a:extLst>
                    <a:ext uri="{FF2B5EF4-FFF2-40B4-BE49-F238E27FC236}">
                      <a16:creationId xmlns:a16="http://schemas.microsoft.com/office/drawing/2014/main" id="{0436FE23-BABE-45FD-99F0-FF41B9EAE57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A7121F3-CC49-4CDC-A74A-1044FD6888E4}" type="TxLink">
                    <a:rPr lang="en-US" sz="1100" b="1" i="0" u="none" strike="noStrike">
                      <a:solidFill>
                        <a:schemeClr val="bg1"/>
                      </a:solidFill>
                      <a:latin typeface="Arial" panose="020B0604020202020204" pitchFamily="34" charset="0"/>
                      <a:cs typeface="Arial" panose="020B0604020202020204" pitchFamily="34" charset="0"/>
                    </a:rPr>
                    <a:pPr algn="ctr"/>
                    <a:t>1</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
              <xdr:nvSpPr>
                <xdr:cNvPr id="302" name="TextBox 301">
                  <a:extLst>
                    <a:ext uri="{FF2B5EF4-FFF2-40B4-BE49-F238E27FC236}">
                      <a16:creationId xmlns:a16="http://schemas.microsoft.com/office/drawing/2014/main" id="{01248E32-5F1F-4CD0-8802-5313F252D767}"/>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98C339A-2EA4-485F-8E1A-F166E4F6800C}" type="TxLink">
                    <a:rPr lang="en-US" sz="1100" b="1" i="0" u="none" strike="noStrike">
                      <a:solidFill>
                        <a:schemeClr val="bg1"/>
                      </a:solidFill>
                      <a:latin typeface="Arial" panose="020B0604020202020204" pitchFamily="34" charset="0"/>
                      <a:cs typeface="Arial" panose="020B0604020202020204" pitchFamily="34" charset="0"/>
                    </a:rPr>
                    <a:pPr algn="r"/>
                    <a:t> £30.56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03" name="Group 302">
                <a:extLst>
                  <a:ext uri="{FF2B5EF4-FFF2-40B4-BE49-F238E27FC236}">
                    <a16:creationId xmlns:a16="http://schemas.microsoft.com/office/drawing/2014/main" id="{3B258DF1-92CD-4CD1-A749-8EFF1AFFF644}"/>
                  </a:ext>
                </a:extLst>
              </xdr:cNvPr>
              <xdr:cNvGrpSpPr/>
            </xdr:nvGrpSpPr>
            <xdr:grpSpPr>
              <a:xfrm>
                <a:off x="3163020" y="5224742"/>
                <a:ext cx="1714500" cy="294872"/>
                <a:chOff x="3162300" y="4596092"/>
                <a:chExt cx="1714500" cy="294872"/>
              </a:xfrm>
            </xdr:grpSpPr>
            <xdr:sp macro="" textlink="">
              <xdr:nvSpPr>
                <xdr:cNvPr id="304" name="TextBox 303">
                  <a:extLst>
                    <a:ext uri="{FF2B5EF4-FFF2-40B4-BE49-F238E27FC236}">
                      <a16:creationId xmlns:a16="http://schemas.microsoft.com/office/drawing/2014/main" id="{B3CD1DC3-C68D-4EFB-B899-2FC73F707BA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B4ms</a:t>
                  </a:r>
                </a:p>
              </xdr:txBody>
            </xdr:sp>
            <xdr:sp macro="" textlink="'Dashboard Workings'!F4">
              <xdr:nvSpPr>
                <xdr:cNvPr id="305" name="TextBox 304">
                  <a:extLst>
                    <a:ext uri="{FF2B5EF4-FFF2-40B4-BE49-F238E27FC236}">
                      <a16:creationId xmlns:a16="http://schemas.microsoft.com/office/drawing/2014/main" id="{D609C4BA-A401-4476-862E-584B5FFC8D3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82BA26-C446-4924-ACB0-6469AFF898DF}" type="TxLink">
                    <a:rPr lang="en-US" sz="1100" b="1" i="0" u="none" strike="noStrike">
                      <a:solidFill>
                        <a:schemeClr val="bg1"/>
                      </a:solidFill>
                      <a:latin typeface="Arial" panose="020B0604020202020204" pitchFamily="34" charset="0"/>
                      <a:cs typeface="Arial" panose="020B0604020202020204" pitchFamily="34" charset="0"/>
                    </a:rPr>
                    <a:pPr algn="ctr"/>
                    <a:t>2</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
              <xdr:nvSpPr>
                <xdr:cNvPr id="306" name="TextBox 305">
                  <a:extLst>
                    <a:ext uri="{FF2B5EF4-FFF2-40B4-BE49-F238E27FC236}">
                      <a16:creationId xmlns:a16="http://schemas.microsoft.com/office/drawing/2014/main" id="{28EC417E-AED8-4C0A-A70B-E0369D7C7402}"/>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DAC567-56D9-4BA4-822B-CCA06538F63A}" type="TxLink">
                    <a:rPr lang="en-US" sz="1100" b="1" i="0" u="none" strike="noStrike">
                      <a:solidFill>
                        <a:schemeClr val="bg1"/>
                      </a:solidFill>
                      <a:latin typeface="Arial" panose="020B0604020202020204" pitchFamily="34" charset="0"/>
                      <a:cs typeface="Arial" panose="020B0604020202020204" pitchFamily="34" charset="0"/>
                    </a:rPr>
                    <a:pPr algn="r"/>
                    <a:t> £122.23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20" name="Group 319">
                <a:extLst>
                  <a:ext uri="{FF2B5EF4-FFF2-40B4-BE49-F238E27FC236}">
                    <a16:creationId xmlns:a16="http://schemas.microsoft.com/office/drawing/2014/main" id="{9E6C20CE-7295-4FFA-92CF-9DC01470B427}"/>
                  </a:ext>
                </a:extLst>
              </xdr:cNvPr>
              <xdr:cNvGrpSpPr/>
            </xdr:nvGrpSpPr>
            <xdr:grpSpPr>
              <a:xfrm>
                <a:off x="3163020" y="5520017"/>
                <a:ext cx="1714500" cy="294872"/>
                <a:chOff x="3162300" y="4596092"/>
                <a:chExt cx="1714500" cy="294872"/>
              </a:xfrm>
            </xdr:grpSpPr>
            <xdr:sp macro="" textlink="">
              <xdr:nvSpPr>
                <xdr:cNvPr id="321" name="TextBox 320">
                  <a:extLst>
                    <a:ext uri="{FF2B5EF4-FFF2-40B4-BE49-F238E27FC236}">
                      <a16:creationId xmlns:a16="http://schemas.microsoft.com/office/drawing/2014/main" id="{615DE89B-AC1A-43B7-B8F7-0D5E698D572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B8ms</a:t>
                  </a:r>
                </a:p>
              </xdr:txBody>
            </xdr:sp>
            <xdr:sp macro="" textlink="'Dashboard Workings'!F5">
              <xdr:nvSpPr>
                <xdr:cNvPr id="322" name="TextBox 321">
                  <a:extLst>
                    <a:ext uri="{FF2B5EF4-FFF2-40B4-BE49-F238E27FC236}">
                      <a16:creationId xmlns:a16="http://schemas.microsoft.com/office/drawing/2014/main" id="{E3D32655-5578-40F1-BAB8-1F9852A3689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5763BA4-3240-4E92-A45E-1BA49992C21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5">
              <xdr:nvSpPr>
                <xdr:cNvPr id="323" name="TextBox 322">
                  <a:extLst>
                    <a:ext uri="{FF2B5EF4-FFF2-40B4-BE49-F238E27FC236}">
                      <a16:creationId xmlns:a16="http://schemas.microsoft.com/office/drawing/2014/main" id="{55F3F02E-D11B-4D55-A3B0-522771C3005F}"/>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132F9BF-117E-4699-A0A7-B1833CB7ABC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24" name="Group 323">
                <a:extLst>
                  <a:ext uri="{FF2B5EF4-FFF2-40B4-BE49-F238E27FC236}">
                    <a16:creationId xmlns:a16="http://schemas.microsoft.com/office/drawing/2014/main" id="{C7BED44A-DC8A-47D6-A5C7-F6CAA53A7A85}"/>
                  </a:ext>
                </a:extLst>
              </xdr:cNvPr>
              <xdr:cNvGrpSpPr/>
            </xdr:nvGrpSpPr>
            <xdr:grpSpPr>
              <a:xfrm>
                <a:off x="3163020" y="5815292"/>
                <a:ext cx="1714500" cy="294872"/>
                <a:chOff x="3162300" y="4596092"/>
                <a:chExt cx="1714500" cy="294872"/>
              </a:xfrm>
            </xdr:grpSpPr>
            <xdr:sp macro="" textlink="">
              <xdr:nvSpPr>
                <xdr:cNvPr id="325" name="TextBox 324">
                  <a:extLst>
                    <a:ext uri="{FF2B5EF4-FFF2-40B4-BE49-F238E27FC236}">
                      <a16:creationId xmlns:a16="http://schemas.microsoft.com/office/drawing/2014/main" id="{567F5509-0A5D-4167-A29A-AABCCC73BEA2}"/>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B12ms</a:t>
                  </a:r>
                </a:p>
              </xdr:txBody>
            </xdr:sp>
            <xdr:sp macro="" textlink="'Dashboard Workings'!F6">
              <xdr:nvSpPr>
                <xdr:cNvPr id="326" name="TextBox 325">
                  <a:extLst>
                    <a:ext uri="{FF2B5EF4-FFF2-40B4-BE49-F238E27FC236}">
                      <a16:creationId xmlns:a16="http://schemas.microsoft.com/office/drawing/2014/main" id="{B95BA19E-A49E-4C0B-9477-FE9ECE6BEA8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E964E1-F41E-4196-88CF-14EC79A9C6D1}"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6">
              <xdr:nvSpPr>
                <xdr:cNvPr id="327" name="TextBox 326">
                  <a:extLst>
                    <a:ext uri="{FF2B5EF4-FFF2-40B4-BE49-F238E27FC236}">
                      <a16:creationId xmlns:a16="http://schemas.microsoft.com/office/drawing/2014/main" id="{D79705A7-213C-4F26-BFBD-3426948682E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8C9B475-E780-4F70-9339-433B7D0867D4}"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528" name="Group 527">
            <a:extLst>
              <a:ext uri="{FF2B5EF4-FFF2-40B4-BE49-F238E27FC236}">
                <a16:creationId xmlns:a16="http://schemas.microsoft.com/office/drawing/2014/main" id="{89E0FB1F-8FB7-4597-B37E-89F6397A9030}"/>
              </a:ext>
            </a:extLst>
          </xdr:cNvPr>
          <xdr:cNvGrpSpPr/>
        </xdr:nvGrpSpPr>
        <xdr:grpSpPr>
          <a:xfrm>
            <a:off x="3104216" y="6396317"/>
            <a:ext cx="1744729" cy="294872"/>
            <a:chOff x="3104216" y="6396317"/>
            <a:chExt cx="1744729" cy="294872"/>
          </a:xfrm>
        </xdr:grpSpPr>
        <xdr:sp macro="" textlink="">
          <xdr:nvSpPr>
            <xdr:cNvPr id="330" name="Rectangle: Rounded Corners 329">
              <a:extLst>
                <a:ext uri="{FF2B5EF4-FFF2-40B4-BE49-F238E27FC236}">
                  <a16:creationId xmlns:a16="http://schemas.microsoft.com/office/drawing/2014/main" id="{6144F934-2DA7-4DAE-A50B-96DDDA394484}"/>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31" name="Group 330">
              <a:extLst>
                <a:ext uri="{FF2B5EF4-FFF2-40B4-BE49-F238E27FC236}">
                  <a16:creationId xmlns:a16="http://schemas.microsoft.com/office/drawing/2014/main" id="{CA45E05F-5A7F-48B1-9F7A-98D56156785C}"/>
                </a:ext>
              </a:extLst>
            </xdr:cNvPr>
            <xdr:cNvGrpSpPr/>
          </xdr:nvGrpSpPr>
          <xdr:grpSpPr>
            <a:xfrm>
              <a:off x="3134445" y="6396317"/>
              <a:ext cx="1714500" cy="294872"/>
              <a:chOff x="3162300" y="4596092"/>
              <a:chExt cx="1714500" cy="294872"/>
            </a:xfrm>
          </xdr:grpSpPr>
          <xdr:sp macro="" textlink="">
            <xdr:nvSpPr>
              <xdr:cNvPr id="332" name="TextBox 331">
                <a:extLst>
                  <a:ext uri="{FF2B5EF4-FFF2-40B4-BE49-F238E27FC236}">
                    <a16:creationId xmlns:a16="http://schemas.microsoft.com/office/drawing/2014/main" id="{9D456C01-4E00-434A-A5FE-72E521D5842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2">
            <xdr:nvSpPr>
              <xdr:cNvPr id="334" name="TextBox 333">
                <a:extLst>
                  <a:ext uri="{FF2B5EF4-FFF2-40B4-BE49-F238E27FC236}">
                    <a16:creationId xmlns:a16="http://schemas.microsoft.com/office/drawing/2014/main" id="{42562C29-68B1-4A4D-8290-0A3BE6931C3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8B2915C-CA93-46AC-A162-F21A16D4E41B}" type="TxLink">
                  <a:rPr lang="en-US" sz="1200" b="1" i="0" u="none" strike="noStrike">
                    <a:solidFill>
                      <a:srgbClr val="000000"/>
                    </a:solidFill>
                    <a:latin typeface="Calibri"/>
                    <a:cs typeface="Calibri"/>
                  </a:rPr>
                  <a:pPr algn="r"/>
                  <a:t> £152.79 </a:t>
                </a:fld>
                <a:endParaRPr lang="en-ZA" sz="1200" b="1">
                  <a:solidFill>
                    <a:schemeClr val="tx1">
                      <a:lumMod val="85000"/>
                      <a:lumOff val="15000"/>
                    </a:schemeClr>
                  </a:solidFill>
                  <a:latin typeface="Arial" panose="020B0604020202020204" pitchFamily="34" charset="0"/>
                  <a:cs typeface="Arial" panose="020B0604020202020204" pitchFamily="34" charset="0"/>
                </a:endParaRPr>
              </a:p>
            </xdr:txBody>
          </xdr:sp>
        </xdr:grpSp>
      </xdr:grpSp>
      <xdr:grpSp>
        <xdr:nvGrpSpPr>
          <xdr:cNvPr id="337" name="Group 336">
            <a:extLst>
              <a:ext uri="{FF2B5EF4-FFF2-40B4-BE49-F238E27FC236}">
                <a16:creationId xmlns:a16="http://schemas.microsoft.com/office/drawing/2014/main" id="{A9158759-EFAD-4508-97F8-6E1D09E6DCDF}"/>
              </a:ext>
            </a:extLst>
          </xdr:cNvPr>
          <xdr:cNvGrpSpPr/>
        </xdr:nvGrpSpPr>
        <xdr:grpSpPr>
          <a:xfrm>
            <a:off x="5018741" y="3857626"/>
            <a:ext cx="2055870" cy="2476500"/>
            <a:chOff x="3094691" y="3867151"/>
            <a:chExt cx="2055870" cy="2476500"/>
          </a:xfrm>
        </xdr:grpSpPr>
        <xdr:grpSp>
          <xdr:nvGrpSpPr>
            <xdr:cNvPr id="338" name="Group 337">
              <a:extLst>
                <a:ext uri="{FF2B5EF4-FFF2-40B4-BE49-F238E27FC236}">
                  <a16:creationId xmlns:a16="http://schemas.microsoft.com/office/drawing/2014/main" id="{93FAA993-A079-40B9-9B67-689900FF3B16}"/>
                </a:ext>
              </a:extLst>
            </xdr:cNvPr>
            <xdr:cNvGrpSpPr/>
          </xdr:nvGrpSpPr>
          <xdr:grpSpPr>
            <a:xfrm>
              <a:off x="3094691" y="3867151"/>
              <a:ext cx="2055870" cy="2476500"/>
              <a:chOff x="3094691" y="3867151"/>
              <a:chExt cx="2055870" cy="2476500"/>
            </a:xfrm>
          </xdr:grpSpPr>
          <xdr:grpSp>
            <xdr:nvGrpSpPr>
              <xdr:cNvPr id="360" name="Group 359">
                <a:extLst>
                  <a:ext uri="{FF2B5EF4-FFF2-40B4-BE49-F238E27FC236}">
                    <a16:creationId xmlns:a16="http://schemas.microsoft.com/office/drawing/2014/main" id="{30C4F315-FA1B-4525-A53F-251DB330057D}"/>
                  </a:ext>
                </a:extLst>
              </xdr:cNvPr>
              <xdr:cNvGrpSpPr/>
            </xdr:nvGrpSpPr>
            <xdr:grpSpPr>
              <a:xfrm>
                <a:off x="3094691" y="3867151"/>
                <a:ext cx="1734484" cy="2476500"/>
                <a:chOff x="3094691" y="3867151"/>
                <a:chExt cx="1734484" cy="2476500"/>
              </a:xfrm>
            </xdr:grpSpPr>
            <xdr:sp macro="" textlink="">
              <xdr:nvSpPr>
                <xdr:cNvPr id="366" name="Rectangle: Rounded Corners 365">
                  <a:extLst>
                    <a:ext uri="{FF2B5EF4-FFF2-40B4-BE49-F238E27FC236}">
                      <a16:creationId xmlns:a16="http://schemas.microsoft.com/office/drawing/2014/main" id="{5D9EB695-371D-48F3-A8C2-79947F6577AA}"/>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7" name="TextBox 366">
                  <a:extLst>
                    <a:ext uri="{FF2B5EF4-FFF2-40B4-BE49-F238E27FC236}">
                      <a16:creationId xmlns:a16="http://schemas.microsoft.com/office/drawing/2014/main" id="{8A562C52-EFBF-47E6-8F85-56E83D3DD03E}"/>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361" name="Group 360">
                <a:extLst>
                  <a:ext uri="{FF2B5EF4-FFF2-40B4-BE49-F238E27FC236}">
                    <a16:creationId xmlns:a16="http://schemas.microsoft.com/office/drawing/2014/main" id="{26191B3B-2508-4D58-87F3-4DD63E1EF359}"/>
                  </a:ext>
                </a:extLst>
              </xdr:cNvPr>
              <xdr:cNvGrpSpPr/>
            </xdr:nvGrpSpPr>
            <xdr:grpSpPr>
              <a:xfrm>
                <a:off x="3095625" y="4276724"/>
                <a:ext cx="2054936" cy="304397"/>
                <a:chOff x="3095625" y="4229099"/>
                <a:chExt cx="2054936" cy="304397"/>
              </a:xfrm>
            </xdr:grpSpPr>
            <xdr:sp macro="" textlink="">
              <xdr:nvSpPr>
                <xdr:cNvPr id="362" name="Rectangle: Rounded Corners 361">
                  <a:extLst>
                    <a:ext uri="{FF2B5EF4-FFF2-40B4-BE49-F238E27FC236}">
                      <a16:creationId xmlns:a16="http://schemas.microsoft.com/office/drawing/2014/main" id="{EFF1867F-34E0-41BD-A76D-556360C42DAD}"/>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63" name="Group 362">
                  <a:extLst>
                    <a:ext uri="{FF2B5EF4-FFF2-40B4-BE49-F238E27FC236}">
                      <a16:creationId xmlns:a16="http://schemas.microsoft.com/office/drawing/2014/main" id="{CF80517C-581A-42DF-9D96-6DDB7873709E}"/>
                    </a:ext>
                  </a:extLst>
                </xdr:cNvPr>
                <xdr:cNvGrpSpPr/>
              </xdr:nvGrpSpPr>
              <xdr:grpSpPr>
                <a:xfrm>
                  <a:off x="3152775" y="4238624"/>
                  <a:ext cx="1997786" cy="294872"/>
                  <a:chOff x="8410575" y="3800474"/>
                  <a:chExt cx="1997786" cy="294872"/>
                </a:xfrm>
              </xdr:grpSpPr>
              <xdr:sp macro="" textlink="">
                <xdr:nvSpPr>
                  <xdr:cNvPr id="364" name="TextBox 363">
                    <a:extLst>
                      <a:ext uri="{FF2B5EF4-FFF2-40B4-BE49-F238E27FC236}">
                        <a16:creationId xmlns:a16="http://schemas.microsoft.com/office/drawing/2014/main" id="{CCFBA51E-144D-4F06-8081-7357A6F6CB56}"/>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365" name="TextBox 364">
                    <a:extLst>
                      <a:ext uri="{FF2B5EF4-FFF2-40B4-BE49-F238E27FC236}">
                        <a16:creationId xmlns:a16="http://schemas.microsoft.com/office/drawing/2014/main" id="{CAAFCE45-1B4D-4403-9124-C8F609810952}"/>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339" name="Group 338">
              <a:extLst>
                <a:ext uri="{FF2B5EF4-FFF2-40B4-BE49-F238E27FC236}">
                  <a16:creationId xmlns:a16="http://schemas.microsoft.com/office/drawing/2014/main" id="{887E5173-4ABE-41E4-AA92-53516DF63EBE}"/>
                </a:ext>
              </a:extLst>
            </xdr:cNvPr>
            <xdr:cNvGrpSpPr/>
          </xdr:nvGrpSpPr>
          <xdr:grpSpPr>
            <a:xfrm>
              <a:off x="3162300" y="4615142"/>
              <a:ext cx="1715220" cy="1199747"/>
              <a:chOff x="3162300" y="4615142"/>
              <a:chExt cx="1715220" cy="1199747"/>
            </a:xfrm>
          </xdr:grpSpPr>
          <xdr:grpSp>
            <xdr:nvGrpSpPr>
              <xdr:cNvPr id="340" name="Group 339">
                <a:extLst>
                  <a:ext uri="{FF2B5EF4-FFF2-40B4-BE49-F238E27FC236}">
                    <a16:creationId xmlns:a16="http://schemas.microsoft.com/office/drawing/2014/main" id="{EE5463B4-E963-446B-A8B4-2FFA48380B9F}"/>
                  </a:ext>
                </a:extLst>
              </xdr:cNvPr>
              <xdr:cNvGrpSpPr/>
            </xdr:nvGrpSpPr>
            <xdr:grpSpPr>
              <a:xfrm>
                <a:off x="3162300" y="4615142"/>
                <a:ext cx="1714501" cy="294872"/>
                <a:chOff x="3162300" y="4596092"/>
                <a:chExt cx="1714501" cy="294872"/>
              </a:xfrm>
            </xdr:grpSpPr>
            <xdr:sp macro="" textlink="">
              <xdr:nvSpPr>
                <xdr:cNvPr id="357" name="TextBox 356">
                  <a:extLst>
                    <a:ext uri="{FF2B5EF4-FFF2-40B4-BE49-F238E27FC236}">
                      <a16:creationId xmlns:a16="http://schemas.microsoft.com/office/drawing/2014/main" id="{E5D10913-3E82-44F6-8580-C148D40CA7E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 v3</a:t>
                  </a:r>
                </a:p>
              </xdr:txBody>
            </xdr:sp>
            <xdr:sp macro="" textlink="'Dashboard Workings'!F9">
              <xdr:nvSpPr>
                <xdr:cNvPr id="358" name="TextBox 357">
                  <a:extLst>
                    <a:ext uri="{FF2B5EF4-FFF2-40B4-BE49-F238E27FC236}">
                      <a16:creationId xmlns:a16="http://schemas.microsoft.com/office/drawing/2014/main" id="{FEB2F96D-6ACF-44E8-92BB-34F65A63203E}"/>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9252403-D400-401B-AB60-6F1C345C93C6}"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9">
              <xdr:nvSpPr>
                <xdr:cNvPr id="359" name="TextBox 358">
                  <a:extLst>
                    <a:ext uri="{FF2B5EF4-FFF2-40B4-BE49-F238E27FC236}">
                      <a16:creationId xmlns:a16="http://schemas.microsoft.com/office/drawing/2014/main" id="{CB9DEBAB-FE58-4D9F-89C3-38A0D1DC155C}"/>
                    </a:ext>
                  </a:extLst>
                </xdr:cNvPr>
                <xdr:cNvSpPr txBox="1"/>
              </xdr:nvSpPr>
              <xdr:spPr>
                <a:xfrm>
                  <a:off x="4114801" y="4596092"/>
                  <a:ext cx="76200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6150AA8-FFD1-485A-A0F1-ABA79613275F}"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41" name="Group 340">
                <a:extLst>
                  <a:ext uri="{FF2B5EF4-FFF2-40B4-BE49-F238E27FC236}">
                    <a16:creationId xmlns:a16="http://schemas.microsoft.com/office/drawing/2014/main" id="{0F9944C0-1B7B-4DD6-8418-F696FB815D25}"/>
                  </a:ext>
                </a:extLst>
              </xdr:cNvPr>
              <xdr:cNvGrpSpPr/>
            </xdr:nvGrpSpPr>
            <xdr:grpSpPr>
              <a:xfrm>
                <a:off x="3162300" y="4919942"/>
                <a:ext cx="1714500" cy="294872"/>
                <a:chOff x="3162300" y="4596092"/>
                <a:chExt cx="1714500" cy="294872"/>
              </a:xfrm>
            </xdr:grpSpPr>
            <xdr:sp macro="" textlink="">
              <xdr:nvSpPr>
                <xdr:cNvPr id="354" name="TextBox 353">
                  <a:extLst>
                    <a:ext uri="{FF2B5EF4-FFF2-40B4-BE49-F238E27FC236}">
                      <a16:creationId xmlns:a16="http://schemas.microsoft.com/office/drawing/2014/main" id="{C1EC5752-E3D3-4F78-849F-4A27CAA81FC4}"/>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 v3</a:t>
                  </a:r>
                </a:p>
              </xdr:txBody>
            </xdr:sp>
            <xdr:sp macro="" textlink="'Dashboard Workings'!F10">
              <xdr:nvSpPr>
                <xdr:cNvPr id="355" name="TextBox 354">
                  <a:extLst>
                    <a:ext uri="{FF2B5EF4-FFF2-40B4-BE49-F238E27FC236}">
                      <a16:creationId xmlns:a16="http://schemas.microsoft.com/office/drawing/2014/main" id="{FB0FF17F-1429-4DFF-8118-9691EB1E1CB5}"/>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355F10-EE49-4BB8-A787-655E61E5A99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0">
              <xdr:nvSpPr>
                <xdr:cNvPr id="356" name="TextBox 355">
                  <a:extLst>
                    <a:ext uri="{FF2B5EF4-FFF2-40B4-BE49-F238E27FC236}">
                      <a16:creationId xmlns:a16="http://schemas.microsoft.com/office/drawing/2014/main" id="{5ACB7FE6-AE7D-4D3B-9474-F511C93784B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C19E15A-7497-47FF-8250-AADC3BB5382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42" name="Group 341">
                <a:extLst>
                  <a:ext uri="{FF2B5EF4-FFF2-40B4-BE49-F238E27FC236}">
                    <a16:creationId xmlns:a16="http://schemas.microsoft.com/office/drawing/2014/main" id="{BA7CCCFC-CA7D-4CEC-B34F-41B0550FB52C}"/>
                  </a:ext>
                </a:extLst>
              </xdr:cNvPr>
              <xdr:cNvGrpSpPr/>
            </xdr:nvGrpSpPr>
            <xdr:grpSpPr>
              <a:xfrm>
                <a:off x="3163020" y="5224742"/>
                <a:ext cx="1714500" cy="294872"/>
                <a:chOff x="3162300" y="4596092"/>
                <a:chExt cx="1714500" cy="294872"/>
              </a:xfrm>
            </xdr:grpSpPr>
            <xdr:sp macro="" textlink="">
              <xdr:nvSpPr>
                <xdr:cNvPr id="351" name="TextBox 350">
                  <a:extLst>
                    <a:ext uri="{FF2B5EF4-FFF2-40B4-BE49-F238E27FC236}">
                      <a16:creationId xmlns:a16="http://schemas.microsoft.com/office/drawing/2014/main" id="{BF335E2F-E19F-406F-A7DC-BD774EAE3B1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D13</a:t>
                  </a:r>
                </a:p>
              </xdr:txBody>
            </xdr:sp>
            <xdr:sp macro="" textlink="'Dashboard Workings'!F11">
              <xdr:nvSpPr>
                <xdr:cNvPr id="352" name="TextBox 351">
                  <a:extLst>
                    <a:ext uri="{FF2B5EF4-FFF2-40B4-BE49-F238E27FC236}">
                      <a16:creationId xmlns:a16="http://schemas.microsoft.com/office/drawing/2014/main" id="{01C6F510-41D7-443B-9CD1-B024415EDB52}"/>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4E82507-7FB3-4C1D-9CAC-D6121093D59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1">
              <xdr:nvSpPr>
                <xdr:cNvPr id="353" name="TextBox 352">
                  <a:extLst>
                    <a:ext uri="{FF2B5EF4-FFF2-40B4-BE49-F238E27FC236}">
                      <a16:creationId xmlns:a16="http://schemas.microsoft.com/office/drawing/2014/main" id="{68E861ED-3CED-49B1-AC14-74F547CE48DE}"/>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7BBB352-B1C6-493E-9EAB-B57904F45586}"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43" name="Group 342">
                <a:extLst>
                  <a:ext uri="{FF2B5EF4-FFF2-40B4-BE49-F238E27FC236}">
                    <a16:creationId xmlns:a16="http://schemas.microsoft.com/office/drawing/2014/main" id="{B0665331-3E7F-48E6-BCEC-1C8EDC544645}"/>
                  </a:ext>
                </a:extLst>
              </xdr:cNvPr>
              <xdr:cNvGrpSpPr/>
            </xdr:nvGrpSpPr>
            <xdr:grpSpPr>
              <a:xfrm>
                <a:off x="3163020" y="5520017"/>
                <a:ext cx="1714500" cy="294872"/>
                <a:chOff x="3162300" y="4596092"/>
                <a:chExt cx="1714500" cy="294872"/>
              </a:xfrm>
            </xdr:grpSpPr>
            <xdr:sp macro="" textlink="">
              <xdr:nvSpPr>
                <xdr:cNvPr id="348" name="TextBox 347">
                  <a:extLst>
                    <a:ext uri="{FF2B5EF4-FFF2-40B4-BE49-F238E27FC236}">
                      <a16:creationId xmlns:a16="http://schemas.microsoft.com/office/drawing/2014/main" id="{EA826D27-6BE8-4F67-B345-EBEFBD3F5330}"/>
                    </a:ext>
                  </a:extLst>
                </xdr:cNvPr>
                <xdr:cNvSpPr txBox="1"/>
              </xdr:nvSpPr>
              <xdr:spPr>
                <a:xfrm>
                  <a:off x="3162300"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DS13v2</a:t>
                  </a:r>
                </a:p>
              </xdr:txBody>
            </xdr:sp>
            <xdr:sp macro="" textlink="'Dashboard Workings'!F12">
              <xdr:nvSpPr>
                <xdr:cNvPr id="349" name="TextBox 348">
                  <a:extLst>
                    <a:ext uri="{FF2B5EF4-FFF2-40B4-BE49-F238E27FC236}">
                      <a16:creationId xmlns:a16="http://schemas.microsoft.com/office/drawing/2014/main" id="{2F5BFB29-22EF-4962-8CB8-BE3E0192BA16}"/>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383CCC-68BD-470F-A4B4-5C9686AFD18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2">
              <xdr:nvSpPr>
                <xdr:cNvPr id="350" name="TextBox 349">
                  <a:extLst>
                    <a:ext uri="{FF2B5EF4-FFF2-40B4-BE49-F238E27FC236}">
                      <a16:creationId xmlns:a16="http://schemas.microsoft.com/office/drawing/2014/main" id="{1E50F424-A427-4694-A856-2D4B7A03929A}"/>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CB5AFCC-7B39-4B7D-9C18-EC5FBF969D8C}"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grpSp>
        <xdr:nvGrpSpPr>
          <xdr:cNvPr id="368" name="Group 367">
            <a:extLst>
              <a:ext uri="{FF2B5EF4-FFF2-40B4-BE49-F238E27FC236}">
                <a16:creationId xmlns:a16="http://schemas.microsoft.com/office/drawing/2014/main" id="{3434C2AB-9EE7-4860-8E08-03309B155968}"/>
              </a:ext>
            </a:extLst>
          </xdr:cNvPr>
          <xdr:cNvGrpSpPr/>
        </xdr:nvGrpSpPr>
        <xdr:grpSpPr>
          <a:xfrm>
            <a:off x="6953250" y="3848100"/>
            <a:ext cx="2055870" cy="2476500"/>
            <a:chOff x="3094691" y="3867151"/>
            <a:chExt cx="2055870" cy="2476500"/>
          </a:xfrm>
        </xdr:grpSpPr>
        <xdr:grpSp>
          <xdr:nvGrpSpPr>
            <xdr:cNvPr id="369" name="Group 368">
              <a:extLst>
                <a:ext uri="{FF2B5EF4-FFF2-40B4-BE49-F238E27FC236}">
                  <a16:creationId xmlns:a16="http://schemas.microsoft.com/office/drawing/2014/main" id="{8991BEBD-1598-4A79-A30F-44BB57CA476D}"/>
                </a:ext>
              </a:extLst>
            </xdr:cNvPr>
            <xdr:cNvGrpSpPr/>
          </xdr:nvGrpSpPr>
          <xdr:grpSpPr>
            <a:xfrm>
              <a:off x="3094691" y="3867151"/>
              <a:ext cx="2055870" cy="2476500"/>
              <a:chOff x="3094691" y="3867151"/>
              <a:chExt cx="2055870" cy="2476500"/>
            </a:xfrm>
          </xdr:grpSpPr>
          <xdr:grpSp>
            <xdr:nvGrpSpPr>
              <xdr:cNvPr id="391" name="Group 390">
                <a:extLst>
                  <a:ext uri="{FF2B5EF4-FFF2-40B4-BE49-F238E27FC236}">
                    <a16:creationId xmlns:a16="http://schemas.microsoft.com/office/drawing/2014/main" id="{D4157F0F-9B8F-477D-8B62-F34630440242}"/>
                  </a:ext>
                </a:extLst>
              </xdr:cNvPr>
              <xdr:cNvGrpSpPr/>
            </xdr:nvGrpSpPr>
            <xdr:grpSpPr>
              <a:xfrm>
                <a:off x="3094691" y="3867151"/>
                <a:ext cx="1734484" cy="2476500"/>
                <a:chOff x="3094691" y="3867151"/>
                <a:chExt cx="1734484" cy="2476500"/>
              </a:xfrm>
            </xdr:grpSpPr>
            <xdr:sp macro="" textlink="">
              <xdr:nvSpPr>
                <xdr:cNvPr id="397" name="Rectangle: Rounded Corners 396">
                  <a:extLst>
                    <a:ext uri="{FF2B5EF4-FFF2-40B4-BE49-F238E27FC236}">
                      <a16:creationId xmlns:a16="http://schemas.microsoft.com/office/drawing/2014/main" id="{9E755EA1-89B9-4A1A-A582-BBB9A8FEA2EB}"/>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8" name="TextBox 397">
                  <a:extLst>
                    <a:ext uri="{FF2B5EF4-FFF2-40B4-BE49-F238E27FC236}">
                      <a16:creationId xmlns:a16="http://schemas.microsoft.com/office/drawing/2014/main" id="{94AC8567-F5BF-4798-89D4-0AB360234104}"/>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D'as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392" name="Group 391">
                <a:extLst>
                  <a:ext uri="{FF2B5EF4-FFF2-40B4-BE49-F238E27FC236}">
                    <a16:creationId xmlns:a16="http://schemas.microsoft.com/office/drawing/2014/main" id="{A36B9597-7C67-4650-A2B0-F4C8F8B22645}"/>
                  </a:ext>
                </a:extLst>
              </xdr:cNvPr>
              <xdr:cNvGrpSpPr/>
            </xdr:nvGrpSpPr>
            <xdr:grpSpPr>
              <a:xfrm>
                <a:off x="3095625" y="4276724"/>
                <a:ext cx="2054936" cy="304397"/>
                <a:chOff x="3095625" y="4229099"/>
                <a:chExt cx="2054936" cy="304397"/>
              </a:xfrm>
            </xdr:grpSpPr>
            <xdr:sp macro="" textlink="">
              <xdr:nvSpPr>
                <xdr:cNvPr id="393" name="Rectangle: Rounded Corners 392">
                  <a:extLst>
                    <a:ext uri="{FF2B5EF4-FFF2-40B4-BE49-F238E27FC236}">
                      <a16:creationId xmlns:a16="http://schemas.microsoft.com/office/drawing/2014/main" id="{1F7AC3B3-D4E2-4527-AA6A-ADB8E238EF06}"/>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94" name="Group 393">
                  <a:extLst>
                    <a:ext uri="{FF2B5EF4-FFF2-40B4-BE49-F238E27FC236}">
                      <a16:creationId xmlns:a16="http://schemas.microsoft.com/office/drawing/2014/main" id="{F832C44C-4ABD-486A-9573-31DB0D55475F}"/>
                    </a:ext>
                  </a:extLst>
                </xdr:cNvPr>
                <xdr:cNvGrpSpPr/>
              </xdr:nvGrpSpPr>
              <xdr:grpSpPr>
                <a:xfrm>
                  <a:off x="3152775" y="4238624"/>
                  <a:ext cx="1997786" cy="294872"/>
                  <a:chOff x="8410575" y="3800474"/>
                  <a:chExt cx="1997786" cy="294872"/>
                </a:xfrm>
              </xdr:grpSpPr>
              <xdr:sp macro="" textlink="">
                <xdr:nvSpPr>
                  <xdr:cNvPr id="395" name="TextBox 394">
                    <a:extLst>
                      <a:ext uri="{FF2B5EF4-FFF2-40B4-BE49-F238E27FC236}">
                        <a16:creationId xmlns:a16="http://schemas.microsoft.com/office/drawing/2014/main" id="{71CDAE35-9D31-4F25-8E98-5F92F40C054A}"/>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396" name="TextBox 395">
                    <a:extLst>
                      <a:ext uri="{FF2B5EF4-FFF2-40B4-BE49-F238E27FC236}">
                        <a16:creationId xmlns:a16="http://schemas.microsoft.com/office/drawing/2014/main" id="{8D79D82A-D523-4906-BC4A-1516D7EA565A}"/>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370" name="Group 369">
              <a:extLst>
                <a:ext uri="{FF2B5EF4-FFF2-40B4-BE49-F238E27FC236}">
                  <a16:creationId xmlns:a16="http://schemas.microsoft.com/office/drawing/2014/main" id="{9F47E683-8645-4BCF-82B2-2CB0D74E83B8}"/>
                </a:ext>
              </a:extLst>
            </xdr:cNvPr>
            <xdr:cNvGrpSpPr/>
          </xdr:nvGrpSpPr>
          <xdr:grpSpPr>
            <a:xfrm>
              <a:off x="3162300" y="4615142"/>
              <a:ext cx="1715220" cy="1495022"/>
              <a:chOff x="3162300" y="4615142"/>
              <a:chExt cx="1715220" cy="1495022"/>
            </a:xfrm>
          </xdr:grpSpPr>
          <xdr:grpSp>
            <xdr:nvGrpSpPr>
              <xdr:cNvPr id="371" name="Group 370">
                <a:extLst>
                  <a:ext uri="{FF2B5EF4-FFF2-40B4-BE49-F238E27FC236}">
                    <a16:creationId xmlns:a16="http://schemas.microsoft.com/office/drawing/2014/main" id="{0D4E96B0-C10D-4B09-8EA0-726BD3C355BA}"/>
                  </a:ext>
                </a:extLst>
              </xdr:cNvPr>
              <xdr:cNvGrpSpPr/>
            </xdr:nvGrpSpPr>
            <xdr:grpSpPr>
              <a:xfrm>
                <a:off x="3162300" y="4615142"/>
                <a:ext cx="1714500" cy="294872"/>
                <a:chOff x="3162300" y="4596092"/>
                <a:chExt cx="1714500" cy="294872"/>
              </a:xfrm>
            </xdr:grpSpPr>
            <xdr:sp macro="" textlink="">
              <xdr:nvSpPr>
                <xdr:cNvPr id="388" name="TextBox 387">
                  <a:extLst>
                    <a:ext uri="{FF2B5EF4-FFF2-40B4-BE49-F238E27FC236}">
                      <a16:creationId xmlns:a16="http://schemas.microsoft.com/office/drawing/2014/main" id="{02810871-5943-4545-B054-F76B522D9DC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D2as</a:t>
                  </a:r>
                </a:p>
              </xdr:txBody>
            </xdr:sp>
            <xdr:sp macro="" textlink="'Dashboard Workings'!F13">
              <xdr:nvSpPr>
                <xdr:cNvPr id="389" name="TextBox 388">
                  <a:extLst>
                    <a:ext uri="{FF2B5EF4-FFF2-40B4-BE49-F238E27FC236}">
                      <a16:creationId xmlns:a16="http://schemas.microsoft.com/office/drawing/2014/main" id="{56548ECC-2995-4CC4-9C05-535423780838}"/>
                    </a:ext>
                  </a:extLst>
                </xdr:cNvPr>
                <xdr:cNvSpPr txBox="1"/>
              </xdr:nvSpPr>
              <xdr:spPr>
                <a:xfrm>
                  <a:off x="3743325"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C850D8A-20F2-4CFA-B214-06768515E2DA}"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3">
              <xdr:nvSpPr>
                <xdr:cNvPr id="390" name="TextBox 389">
                  <a:extLst>
                    <a:ext uri="{FF2B5EF4-FFF2-40B4-BE49-F238E27FC236}">
                      <a16:creationId xmlns:a16="http://schemas.microsoft.com/office/drawing/2014/main" id="{C4E1DE33-0657-4FE3-93BA-ED3A75E7FA0D}"/>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C850CF-DD63-48BF-B3B7-66126B55ED92}"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72" name="Group 371">
                <a:extLst>
                  <a:ext uri="{FF2B5EF4-FFF2-40B4-BE49-F238E27FC236}">
                    <a16:creationId xmlns:a16="http://schemas.microsoft.com/office/drawing/2014/main" id="{96662FCC-8E6A-4244-A78E-87B80391A8EA}"/>
                  </a:ext>
                </a:extLst>
              </xdr:cNvPr>
              <xdr:cNvGrpSpPr/>
            </xdr:nvGrpSpPr>
            <xdr:grpSpPr>
              <a:xfrm>
                <a:off x="3162300" y="4919942"/>
                <a:ext cx="1714500" cy="294872"/>
                <a:chOff x="3162300" y="4596092"/>
                <a:chExt cx="1714500" cy="294872"/>
              </a:xfrm>
            </xdr:grpSpPr>
            <xdr:sp macro="" textlink="">
              <xdr:nvSpPr>
                <xdr:cNvPr id="385" name="TextBox 384">
                  <a:extLst>
                    <a:ext uri="{FF2B5EF4-FFF2-40B4-BE49-F238E27FC236}">
                      <a16:creationId xmlns:a16="http://schemas.microsoft.com/office/drawing/2014/main" id="{D70048EE-C2B3-4526-9B3E-1650C0E4DAB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D4as</a:t>
                  </a:r>
                </a:p>
              </xdr:txBody>
            </xdr:sp>
            <xdr:sp macro="" textlink="'Dashboard Workings'!F14">
              <xdr:nvSpPr>
                <xdr:cNvPr id="386" name="TextBox 385">
                  <a:extLst>
                    <a:ext uri="{FF2B5EF4-FFF2-40B4-BE49-F238E27FC236}">
                      <a16:creationId xmlns:a16="http://schemas.microsoft.com/office/drawing/2014/main" id="{76C32C31-357D-47D5-972C-58B0E2154AD9}"/>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B04ADE-F9D9-4D1B-A28A-5EA4D8918DA6}"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4">
              <xdr:nvSpPr>
                <xdr:cNvPr id="387" name="TextBox 386">
                  <a:extLst>
                    <a:ext uri="{FF2B5EF4-FFF2-40B4-BE49-F238E27FC236}">
                      <a16:creationId xmlns:a16="http://schemas.microsoft.com/office/drawing/2014/main" id="{D75185FE-7D33-4C9C-BA0A-ADD481C86A21}"/>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DD1BFAD-8097-4954-B7D5-12DC72D54FC7}"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73" name="Group 372">
                <a:extLst>
                  <a:ext uri="{FF2B5EF4-FFF2-40B4-BE49-F238E27FC236}">
                    <a16:creationId xmlns:a16="http://schemas.microsoft.com/office/drawing/2014/main" id="{BF68A504-3083-4901-9BDA-94DD0D3B1BF5}"/>
                  </a:ext>
                </a:extLst>
              </xdr:cNvPr>
              <xdr:cNvGrpSpPr/>
            </xdr:nvGrpSpPr>
            <xdr:grpSpPr>
              <a:xfrm>
                <a:off x="3163020" y="5224742"/>
                <a:ext cx="1714500" cy="294872"/>
                <a:chOff x="3162300" y="4596092"/>
                <a:chExt cx="1714500" cy="294872"/>
              </a:xfrm>
            </xdr:grpSpPr>
            <xdr:sp macro="" textlink="">
              <xdr:nvSpPr>
                <xdr:cNvPr id="382" name="TextBox 381">
                  <a:extLst>
                    <a:ext uri="{FF2B5EF4-FFF2-40B4-BE49-F238E27FC236}">
                      <a16:creationId xmlns:a16="http://schemas.microsoft.com/office/drawing/2014/main" id="{17619883-17AC-437C-8E59-43F489E09DE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D8as</a:t>
                  </a:r>
                </a:p>
              </xdr:txBody>
            </xdr:sp>
            <xdr:sp macro="" textlink="'Dashboard Workings'!F15">
              <xdr:nvSpPr>
                <xdr:cNvPr id="383" name="TextBox 382">
                  <a:extLst>
                    <a:ext uri="{FF2B5EF4-FFF2-40B4-BE49-F238E27FC236}">
                      <a16:creationId xmlns:a16="http://schemas.microsoft.com/office/drawing/2014/main" id="{D888A8BD-FE65-4F06-92EC-3597196ED60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9EADAC-14C2-4450-987C-AB4DE8FF3C4D}"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5">
              <xdr:nvSpPr>
                <xdr:cNvPr id="384" name="TextBox 383">
                  <a:extLst>
                    <a:ext uri="{FF2B5EF4-FFF2-40B4-BE49-F238E27FC236}">
                      <a16:creationId xmlns:a16="http://schemas.microsoft.com/office/drawing/2014/main" id="{FEFCABCB-D710-44F0-ACBC-0330AD46D9D6}"/>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D6A6BF8-520D-44B7-9EAE-3A065E70D25D}"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74" name="Group 373">
                <a:extLst>
                  <a:ext uri="{FF2B5EF4-FFF2-40B4-BE49-F238E27FC236}">
                    <a16:creationId xmlns:a16="http://schemas.microsoft.com/office/drawing/2014/main" id="{BB472D78-F7A4-4EE0-8D27-38C7B61314E0}"/>
                  </a:ext>
                </a:extLst>
              </xdr:cNvPr>
              <xdr:cNvGrpSpPr/>
            </xdr:nvGrpSpPr>
            <xdr:grpSpPr>
              <a:xfrm>
                <a:off x="3163020" y="5520017"/>
                <a:ext cx="1714500" cy="294872"/>
                <a:chOff x="3162300" y="4596092"/>
                <a:chExt cx="1714500" cy="294872"/>
              </a:xfrm>
            </xdr:grpSpPr>
            <xdr:sp macro="" textlink="">
              <xdr:nvSpPr>
                <xdr:cNvPr id="379" name="TextBox 378">
                  <a:extLst>
                    <a:ext uri="{FF2B5EF4-FFF2-40B4-BE49-F238E27FC236}">
                      <a16:creationId xmlns:a16="http://schemas.microsoft.com/office/drawing/2014/main" id="{682778E7-3FB4-44D2-8C01-87EBADB0157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D16as</a:t>
                  </a:r>
                </a:p>
              </xdr:txBody>
            </xdr:sp>
            <xdr:sp macro="" textlink="'Dashboard Workings'!F16">
              <xdr:nvSpPr>
                <xdr:cNvPr id="380" name="TextBox 379">
                  <a:extLst>
                    <a:ext uri="{FF2B5EF4-FFF2-40B4-BE49-F238E27FC236}">
                      <a16:creationId xmlns:a16="http://schemas.microsoft.com/office/drawing/2014/main" id="{0AD1D0F5-845A-449C-A681-993CB5D8BD8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C1CACC2-4E51-4ACB-8E19-E7A0C44B962A}"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6">
              <xdr:nvSpPr>
                <xdr:cNvPr id="381" name="TextBox 380">
                  <a:extLst>
                    <a:ext uri="{FF2B5EF4-FFF2-40B4-BE49-F238E27FC236}">
                      <a16:creationId xmlns:a16="http://schemas.microsoft.com/office/drawing/2014/main" id="{2D6D9B1B-753B-4AE0-A297-6502208543D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80ECCEA-DD00-4B92-97D9-510B1891A549}"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375" name="Group 374">
                <a:extLst>
                  <a:ext uri="{FF2B5EF4-FFF2-40B4-BE49-F238E27FC236}">
                    <a16:creationId xmlns:a16="http://schemas.microsoft.com/office/drawing/2014/main" id="{6C6CC3F8-3CFB-45E0-8C39-8F3FBA46C8FE}"/>
                  </a:ext>
                </a:extLst>
              </xdr:cNvPr>
              <xdr:cNvGrpSpPr/>
            </xdr:nvGrpSpPr>
            <xdr:grpSpPr>
              <a:xfrm>
                <a:off x="3163020" y="5815292"/>
                <a:ext cx="1714500" cy="294872"/>
                <a:chOff x="3162300" y="4596092"/>
                <a:chExt cx="1714500" cy="294872"/>
              </a:xfrm>
            </xdr:grpSpPr>
            <xdr:sp macro="" textlink="">
              <xdr:nvSpPr>
                <xdr:cNvPr id="376" name="TextBox 375">
                  <a:extLst>
                    <a:ext uri="{FF2B5EF4-FFF2-40B4-BE49-F238E27FC236}">
                      <a16:creationId xmlns:a16="http://schemas.microsoft.com/office/drawing/2014/main" id="{45B9BF82-79AA-455E-999F-6FEE7712DBD3}"/>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D32as</a:t>
                  </a:r>
                </a:p>
              </xdr:txBody>
            </xdr:sp>
            <xdr:sp macro="" textlink="'Dashboard Workings'!F17">
              <xdr:nvSpPr>
                <xdr:cNvPr id="377" name="TextBox 376">
                  <a:extLst>
                    <a:ext uri="{FF2B5EF4-FFF2-40B4-BE49-F238E27FC236}">
                      <a16:creationId xmlns:a16="http://schemas.microsoft.com/office/drawing/2014/main" id="{DC20BD27-55A9-4346-9674-D1DA24EFA00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9D61B7E-A5F8-4968-8365-F429ECED6D72}"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17">
              <xdr:nvSpPr>
                <xdr:cNvPr id="378" name="TextBox 377">
                  <a:extLst>
                    <a:ext uri="{FF2B5EF4-FFF2-40B4-BE49-F238E27FC236}">
                      <a16:creationId xmlns:a16="http://schemas.microsoft.com/office/drawing/2014/main" id="{BAAC4192-8296-4561-837D-44A1DFEE94AC}"/>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FDA6E94-4B2F-448E-9D59-00B82155F1F0}"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430" name="TextBox 429">
            <a:extLst>
              <a:ext uri="{FF2B5EF4-FFF2-40B4-BE49-F238E27FC236}">
                <a16:creationId xmlns:a16="http://schemas.microsoft.com/office/drawing/2014/main" id="{1BDF70E5-310E-45B6-9893-6F4825F6DC71}"/>
              </a:ext>
            </a:extLst>
          </xdr:cNvPr>
          <xdr:cNvSpPr txBox="1"/>
        </xdr:nvSpPr>
        <xdr:spPr>
          <a:xfrm>
            <a:off x="6287220" y="40245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rgbClr val="D53B3B"/>
                </a:solidFill>
                <a:latin typeface="Arial" panose="020B0604020202020204" pitchFamily="34" charset="0"/>
                <a:cs typeface="Arial" panose="020B0604020202020204" pitchFamily="34" charset="0"/>
              </a:rPr>
              <a:t>Old</a:t>
            </a:r>
          </a:p>
        </xdr:txBody>
      </xdr:sp>
      <xdr:sp macro="" textlink="">
        <xdr:nvSpPr>
          <xdr:cNvPr id="431" name="TextBox 430">
            <a:extLst>
              <a:ext uri="{FF2B5EF4-FFF2-40B4-BE49-F238E27FC236}">
                <a16:creationId xmlns:a16="http://schemas.microsoft.com/office/drawing/2014/main" id="{048A76F2-0259-418C-9026-795976B100C0}"/>
              </a:ext>
            </a:extLst>
          </xdr:cNvPr>
          <xdr:cNvSpPr txBox="1"/>
        </xdr:nvSpPr>
        <xdr:spPr>
          <a:xfrm>
            <a:off x="8287470" y="404364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436" name="Group 435">
            <a:extLst>
              <a:ext uri="{FF2B5EF4-FFF2-40B4-BE49-F238E27FC236}">
                <a16:creationId xmlns:a16="http://schemas.microsoft.com/office/drawing/2014/main" id="{DDA3B5FD-EDCA-4484-8C60-A67C87CDE478}"/>
              </a:ext>
            </a:extLst>
          </xdr:cNvPr>
          <xdr:cNvGrpSpPr/>
        </xdr:nvGrpSpPr>
        <xdr:grpSpPr>
          <a:xfrm>
            <a:off x="8867775" y="3838575"/>
            <a:ext cx="2055870" cy="2495147"/>
            <a:chOff x="8867775" y="3838575"/>
            <a:chExt cx="2055870" cy="2495147"/>
          </a:xfrm>
        </xdr:grpSpPr>
        <xdr:grpSp>
          <xdr:nvGrpSpPr>
            <xdr:cNvPr id="399" name="Group 398">
              <a:extLst>
                <a:ext uri="{FF2B5EF4-FFF2-40B4-BE49-F238E27FC236}">
                  <a16:creationId xmlns:a16="http://schemas.microsoft.com/office/drawing/2014/main" id="{A78B13A6-7C92-4BE6-A228-C804BBAF1DD1}"/>
                </a:ext>
              </a:extLst>
            </xdr:cNvPr>
            <xdr:cNvGrpSpPr/>
          </xdr:nvGrpSpPr>
          <xdr:grpSpPr>
            <a:xfrm>
              <a:off x="8867775" y="3838575"/>
              <a:ext cx="2055870" cy="2476500"/>
              <a:chOff x="3094691" y="3867151"/>
              <a:chExt cx="2055870" cy="2476500"/>
            </a:xfrm>
          </xdr:grpSpPr>
          <xdr:grpSp>
            <xdr:nvGrpSpPr>
              <xdr:cNvPr id="400" name="Group 399">
                <a:extLst>
                  <a:ext uri="{FF2B5EF4-FFF2-40B4-BE49-F238E27FC236}">
                    <a16:creationId xmlns:a16="http://schemas.microsoft.com/office/drawing/2014/main" id="{66B12B24-3731-41FC-AF8A-827208BA44AE}"/>
                  </a:ext>
                </a:extLst>
              </xdr:cNvPr>
              <xdr:cNvGrpSpPr/>
            </xdr:nvGrpSpPr>
            <xdr:grpSpPr>
              <a:xfrm>
                <a:off x="3094691" y="3867151"/>
                <a:ext cx="2055870" cy="2476500"/>
                <a:chOff x="3094691" y="3867151"/>
                <a:chExt cx="2055870" cy="2476500"/>
              </a:xfrm>
            </xdr:grpSpPr>
            <xdr:grpSp>
              <xdr:nvGrpSpPr>
                <xdr:cNvPr id="422" name="Group 421">
                  <a:extLst>
                    <a:ext uri="{FF2B5EF4-FFF2-40B4-BE49-F238E27FC236}">
                      <a16:creationId xmlns:a16="http://schemas.microsoft.com/office/drawing/2014/main" id="{76FFF452-6E14-42C9-A856-B4BC5FBD3D30}"/>
                    </a:ext>
                  </a:extLst>
                </xdr:cNvPr>
                <xdr:cNvGrpSpPr/>
              </xdr:nvGrpSpPr>
              <xdr:grpSpPr>
                <a:xfrm>
                  <a:off x="3094691" y="3867151"/>
                  <a:ext cx="1734484" cy="2476500"/>
                  <a:chOff x="3094691" y="3867151"/>
                  <a:chExt cx="1734484" cy="2476500"/>
                </a:xfrm>
              </xdr:grpSpPr>
              <xdr:sp macro="" textlink="">
                <xdr:nvSpPr>
                  <xdr:cNvPr id="428" name="Rectangle: Rounded Corners 427">
                    <a:extLst>
                      <a:ext uri="{FF2B5EF4-FFF2-40B4-BE49-F238E27FC236}">
                        <a16:creationId xmlns:a16="http://schemas.microsoft.com/office/drawing/2014/main" id="{4959BA83-9F6F-44C0-AD4D-E070AFE9DE8A}"/>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9" name="TextBox 428">
                    <a:extLst>
                      <a:ext uri="{FF2B5EF4-FFF2-40B4-BE49-F238E27FC236}">
                        <a16:creationId xmlns:a16="http://schemas.microsoft.com/office/drawing/2014/main" id="{D001107C-1FB8-41E2-9609-D2F7A0CEA5FE}"/>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D'ds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423" name="Group 422">
                  <a:extLst>
                    <a:ext uri="{FF2B5EF4-FFF2-40B4-BE49-F238E27FC236}">
                      <a16:creationId xmlns:a16="http://schemas.microsoft.com/office/drawing/2014/main" id="{5E896AC9-2734-48CE-8E93-62153463ADA5}"/>
                    </a:ext>
                  </a:extLst>
                </xdr:cNvPr>
                <xdr:cNvGrpSpPr/>
              </xdr:nvGrpSpPr>
              <xdr:grpSpPr>
                <a:xfrm>
                  <a:off x="3095625" y="4276724"/>
                  <a:ext cx="2054936" cy="304397"/>
                  <a:chOff x="3095625" y="4229099"/>
                  <a:chExt cx="2054936" cy="304397"/>
                </a:xfrm>
              </xdr:grpSpPr>
              <xdr:sp macro="" textlink="">
                <xdr:nvSpPr>
                  <xdr:cNvPr id="424" name="Rectangle: Rounded Corners 423">
                    <a:extLst>
                      <a:ext uri="{FF2B5EF4-FFF2-40B4-BE49-F238E27FC236}">
                        <a16:creationId xmlns:a16="http://schemas.microsoft.com/office/drawing/2014/main" id="{039E48EC-7B5E-4698-ABA1-0AD8BB5BBCC4}"/>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25" name="Group 424">
                    <a:extLst>
                      <a:ext uri="{FF2B5EF4-FFF2-40B4-BE49-F238E27FC236}">
                        <a16:creationId xmlns:a16="http://schemas.microsoft.com/office/drawing/2014/main" id="{62832610-A62E-4A43-A5B7-B26C55E2B0AB}"/>
                      </a:ext>
                    </a:extLst>
                  </xdr:cNvPr>
                  <xdr:cNvGrpSpPr/>
                </xdr:nvGrpSpPr>
                <xdr:grpSpPr>
                  <a:xfrm>
                    <a:off x="3152775" y="4238624"/>
                    <a:ext cx="1997786" cy="294872"/>
                    <a:chOff x="8410575" y="3800474"/>
                    <a:chExt cx="1997786" cy="294872"/>
                  </a:xfrm>
                </xdr:grpSpPr>
                <xdr:sp macro="" textlink="">
                  <xdr:nvSpPr>
                    <xdr:cNvPr id="426" name="TextBox 425">
                      <a:extLst>
                        <a:ext uri="{FF2B5EF4-FFF2-40B4-BE49-F238E27FC236}">
                          <a16:creationId xmlns:a16="http://schemas.microsoft.com/office/drawing/2014/main" id="{12D6765F-3DEE-4280-96E4-70B2AB157353}"/>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427" name="TextBox 426">
                      <a:extLst>
                        <a:ext uri="{FF2B5EF4-FFF2-40B4-BE49-F238E27FC236}">
                          <a16:creationId xmlns:a16="http://schemas.microsoft.com/office/drawing/2014/main" id="{7BECBEE8-0D29-491C-A92C-35D94D3FE673}"/>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401" name="Group 400">
                <a:extLst>
                  <a:ext uri="{FF2B5EF4-FFF2-40B4-BE49-F238E27FC236}">
                    <a16:creationId xmlns:a16="http://schemas.microsoft.com/office/drawing/2014/main" id="{1BF2DEBF-542C-41E5-B616-B562256FA3C1}"/>
                  </a:ext>
                </a:extLst>
              </xdr:cNvPr>
              <xdr:cNvGrpSpPr/>
            </xdr:nvGrpSpPr>
            <xdr:grpSpPr>
              <a:xfrm>
                <a:off x="3162300" y="4615142"/>
                <a:ext cx="1715220" cy="1495022"/>
                <a:chOff x="3162300" y="4615142"/>
                <a:chExt cx="1715220" cy="1495022"/>
              </a:xfrm>
            </xdr:grpSpPr>
            <xdr:grpSp>
              <xdr:nvGrpSpPr>
                <xdr:cNvPr id="402" name="Group 401">
                  <a:extLst>
                    <a:ext uri="{FF2B5EF4-FFF2-40B4-BE49-F238E27FC236}">
                      <a16:creationId xmlns:a16="http://schemas.microsoft.com/office/drawing/2014/main" id="{CE1DBBAE-EB81-4C94-B20D-22D4E8F4A84C}"/>
                    </a:ext>
                  </a:extLst>
                </xdr:cNvPr>
                <xdr:cNvGrpSpPr/>
              </xdr:nvGrpSpPr>
              <xdr:grpSpPr>
                <a:xfrm>
                  <a:off x="3162300" y="4615142"/>
                  <a:ext cx="1714500" cy="294872"/>
                  <a:chOff x="3162300" y="4596092"/>
                  <a:chExt cx="1714500" cy="294872"/>
                </a:xfrm>
              </xdr:grpSpPr>
              <xdr:sp macro="" textlink="">
                <xdr:nvSpPr>
                  <xdr:cNvPr id="419" name="TextBox 418">
                    <a:extLst>
                      <a:ext uri="{FF2B5EF4-FFF2-40B4-BE49-F238E27FC236}">
                        <a16:creationId xmlns:a16="http://schemas.microsoft.com/office/drawing/2014/main" id="{52ADE082-297C-41FE-9172-E75E90152DEE}"/>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D2ds</a:t>
                    </a:r>
                  </a:p>
                </xdr:txBody>
              </xdr:sp>
              <xdr:sp macro="" textlink="'Dashboard Workings'!F21">
                <xdr:nvSpPr>
                  <xdr:cNvPr id="420" name="TextBox 419">
                    <a:extLst>
                      <a:ext uri="{FF2B5EF4-FFF2-40B4-BE49-F238E27FC236}">
                        <a16:creationId xmlns:a16="http://schemas.microsoft.com/office/drawing/2014/main" id="{CC89B028-5BDB-4BAE-91E1-4C8C3328C11C}"/>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40CC32-D1BF-445E-832E-D218C1B0831A}" type="TxLink">
                      <a:rPr lang="en-US" sz="1100" b="1" i="0" u="none" strike="noStrike">
                        <a:solidFill>
                          <a:schemeClr val="bg1"/>
                        </a:solidFill>
                        <a:latin typeface="Arial" panose="020B0604020202020204" pitchFamily="34" charset="0"/>
                        <a:cs typeface="Arial" panose="020B0604020202020204" pitchFamily="34" charset="0"/>
                      </a:rPr>
                      <a:pPr algn="ctr"/>
                      <a:t>14</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1">
                <xdr:nvSpPr>
                  <xdr:cNvPr id="421" name="TextBox 420">
                    <a:extLst>
                      <a:ext uri="{FF2B5EF4-FFF2-40B4-BE49-F238E27FC236}">
                        <a16:creationId xmlns:a16="http://schemas.microsoft.com/office/drawing/2014/main" id="{8DBD27BC-F09B-4638-86B5-52D9E863E037}"/>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212136C-FE10-4152-921E-415631C69E8B}" type="TxLink">
                      <a:rPr lang="en-US" sz="1100" b="1" i="0" u="none" strike="noStrike">
                        <a:solidFill>
                          <a:schemeClr val="bg1"/>
                        </a:solidFill>
                        <a:latin typeface="Arial" panose="020B0604020202020204" pitchFamily="34" charset="0"/>
                        <a:cs typeface="Arial" panose="020B0604020202020204" pitchFamily="34" charset="0"/>
                      </a:rPr>
                      <a:pPr algn="r"/>
                      <a:t> £611.27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03" name="Group 402">
                  <a:extLst>
                    <a:ext uri="{FF2B5EF4-FFF2-40B4-BE49-F238E27FC236}">
                      <a16:creationId xmlns:a16="http://schemas.microsoft.com/office/drawing/2014/main" id="{EDC4987C-5096-4524-BCDE-5EE43905D12B}"/>
                    </a:ext>
                  </a:extLst>
                </xdr:cNvPr>
                <xdr:cNvGrpSpPr/>
              </xdr:nvGrpSpPr>
              <xdr:grpSpPr>
                <a:xfrm>
                  <a:off x="3162300" y="4919942"/>
                  <a:ext cx="1714500" cy="294872"/>
                  <a:chOff x="3162300" y="4596092"/>
                  <a:chExt cx="1714500" cy="294872"/>
                </a:xfrm>
              </xdr:grpSpPr>
              <xdr:sp macro="" textlink="">
                <xdr:nvSpPr>
                  <xdr:cNvPr id="416" name="TextBox 415">
                    <a:extLst>
                      <a:ext uri="{FF2B5EF4-FFF2-40B4-BE49-F238E27FC236}">
                        <a16:creationId xmlns:a16="http://schemas.microsoft.com/office/drawing/2014/main" id="{9053D943-3F7B-4B8E-9AF2-8B68BB57D1A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D4ds</a:t>
                    </a:r>
                  </a:p>
                </xdr:txBody>
              </xdr:sp>
              <xdr:sp macro="" textlink="'Dashboard Workings'!F22">
                <xdr:nvSpPr>
                  <xdr:cNvPr id="417" name="TextBox 416">
                    <a:extLst>
                      <a:ext uri="{FF2B5EF4-FFF2-40B4-BE49-F238E27FC236}">
                        <a16:creationId xmlns:a16="http://schemas.microsoft.com/office/drawing/2014/main" id="{EA9F5ED8-09C8-4673-8243-8A4E27B1F01D}"/>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873AA38-E75C-46B3-A9D0-71826F608E42}" type="TxLink">
                      <a:rPr lang="en-US" sz="1100" b="1" i="0" u="none" strike="noStrike">
                        <a:solidFill>
                          <a:schemeClr val="bg1"/>
                        </a:solidFill>
                        <a:latin typeface="Arial" panose="020B0604020202020204" pitchFamily="34" charset="0"/>
                        <a:cs typeface="Arial" panose="020B0604020202020204" pitchFamily="34" charset="0"/>
                      </a:rPr>
                      <a:pPr algn="ctr"/>
                      <a:t>14</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2">
                <xdr:nvSpPr>
                  <xdr:cNvPr id="418" name="TextBox 417">
                    <a:extLst>
                      <a:ext uri="{FF2B5EF4-FFF2-40B4-BE49-F238E27FC236}">
                        <a16:creationId xmlns:a16="http://schemas.microsoft.com/office/drawing/2014/main" id="{5C787716-C961-4C58-B75F-585B3E58D118}"/>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8E29537-E31C-4BAC-90FA-A032B32B5EE3}" type="TxLink">
                      <a:rPr lang="en-US" sz="1100" b="1" i="0" u="none" strike="noStrike">
                        <a:solidFill>
                          <a:schemeClr val="bg1"/>
                        </a:solidFill>
                        <a:latin typeface="Arial" panose="020B0604020202020204" pitchFamily="34" charset="0"/>
                        <a:cs typeface="Arial" panose="020B0604020202020204" pitchFamily="34" charset="0"/>
                      </a:rPr>
                      <a:pPr algn="r"/>
                      <a:t> £1,222.54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04" name="Group 403">
                  <a:extLst>
                    <a:ext uri="{FF2B5EF4-FFF2-40B4-BE49-F238E27FC236}">
                      <a16:creationId xmlns:a16="http://schemas.microsoft.com/office/drawing/2014/main" id="{B939FB0E-4389-4E96-98C9-AE598CB4EE97}"/>
                    </a:ext>
                  </a:extLst>
                </xdr:cNvPr>
                <xdr:cNvGrpSpPr/>
              </xdr:nvGrpSpPr>
              <xdr:grpSpPr>
                <a:xfrm>
                  <a:off x="3163020" y="5224742"/>
                  <a:ext cx="1714500" cy="294872"/>
                  <a:chOff x="3162300" y="4596092"/>
                  <a:chExt cx="1714500" cy="294872"/>
                </a:xfrm>
              </xdr:grpSpPr>
              <xdr:sp macro="" textlink="">
                <xdr:nvSpPr>
                  <xdr:cNvPr id="413" name="TextBox 412">
                    <a:extLst>
                      <a:ext uri="{FF2B5EF4-FFF2-40B4-BE49-F238E27FC236}">
                        <a16:creationId xmlns:a16="http://schemas.microsoft.com/office/drawing/2014/main" id="{C70E9E84-6A46-4929-97AF-28ABA17BD53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D8ds</a:t>
                    </a:r>
                  </a:p>
                </xdr:txBody>
              </xdr:sp>
              <xdr:sp macro="" textlink="'Dashboard Workings'!F23">
                <xdr:nvSpPr>
                  <xdr:cNvPr id="414" name="TextBox 413">
                    <a:extLst>
                      <a:ext uri="{FF2B5EF4-FFF2-40B4-BE49-F238E27FC236}">
                        <a16:creationId xmlns:a16="http://schemas.microsoft.com/office/drawing/2014/main" id="{82A1473D-5E4B-41A3-9C2D-7BEC198C8753}"/>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925AE1-8B43-488D-8EA9-BD31D283D64D}" type="TxLink">
                      <a:rPr lang="en-US" sz="1100" b="1" i="0" u="none" strike="noStrike">
                        <a:solidFill>
                          <a:schemeClr val="bg1"/>
                        </a:solidFill>
                        <a:latin typeface="Arial" panose="020B0604020202020204" pitchFamily="34" charset="0"/>
                        <a:cs typeface="Arial" panose="020B0604020202020204" pitchFamily="34" charset="0"/>
                      </a:rPr>
                      <a:pPr algn="ctr"/>
                      <a:t>6</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3">
                <xdr:nvSpPr>
                  <xdr:cNvPr id="415" name="TextBox 414">
                    <a:extLst>
                      <a:ext uri="{FF2B5EF4-FFF2-40B4-BE49-F238E27FC236}">
                        <a16:creationId xmlns:a16="http://schemas.microsoft.com/office/drawing/2014/main" id="{E1483E5D-EA12-4295-A92C-C1B059D7D30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FFB443E-A0BA-4550-977C-DB03C214FDBD}" type="TxLink">
                      <a:rPr lang="en-US" sz="1100" b="1" i="0" u="none" strike="noStrike">
                        <a:solidFill>
                          <a:schemeClr val="bg1"/>
                        </a:solidFill>
                        <a:latin typeface="Arial" panose="020B0604020202020204" pitchFamily="34" charset="0"/>
                        <a:cs typeface="Arial" panose="020B0604020202020204" pitchFamily="34" charset="0"/>
                      </a:rPr>
                      <a:pPr algn="r"/>
                      <a:t> £1,047.89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05" name="Group 404">
                  <a:extLst>
                    <a:ext uri="{FF2B5EF4-FFF2-40B4-BE49-F238E27FC236}">
                      <a16:creationId xmlns:a16="http://schemas.microsoft.com/office/drawing/2014/main" id="{FF6EEA52-B0E0-4C50-AF0A-52680D75895A}"/>
                    </a:ext>
                  </a:extLst>
                </xdr:cNvPr>
                <xdr:cNvGrpSpPr/>
              </xdr:nvGrpSpPr>
              <xdr:grpSpPr>
                <a:xfrm>
                  <a:off x="3163020" y="5520017"/>
                  <a:ext cx="1714500" cy="294872"/>
                  <a:chOff x="3162300" y="4596092"/>
                  <a:chExt cx="1714500" cy="294872"/>
                </a:xfrm>
              </xdr:grpSpPr>
              <xdr:sp macro="" textlink="">
                <xdr:nvSpPr>
                  <xdr:cNvPr id="410" name="TextBox 409">
                    <a:extLst>
                      <a:ext uri="{FF2B5EF4-FFF2-40B4-BE49-F238E27FC236}">
                        <a16:creationId xmlns:a16="http://schemas.microsoft.com/office/drawing/2014/main" id="{966DB85E-F114-4770-986D-468A79C9E9DB}"/>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D16ds</a:t>
                    </a:r>
                  </a:p>
                </xdr:txBody>
              </xdr:sp>
              <xdr:sp macro="" textlink="'Dashboard Workings'!F24">
                <xdr:nvSpPr>
                  <xdr:cNvPr id="411" name="TextBox 410">
                    <a:extLst>
                      <a:ext uri="{FF2B5EF4-FFF2-40B4-BE49-F238E27FC236}">
                        <a16:creationId xmlns:a16="http://schemas.microsoft.com/office/drawing/2014/main" id="{026FA979-5A8E-40CD-9F4D-FA8F2882A8AE}"/>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784854-1477-4EA5-9A14-5ABE65A509B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4">
                <xdr:nvSpPr>
                  <xdr:cNvPr id="412" name="TextBox 411">
                    <a:extLst>
                      <a:ext uri="{FF2B5EF4-FFF2-40B4-BE49-F238E27FC236}">
                        <a16:creationId xmlns:a16="http://schemas.microsoft.com/office/drawing/2014/main" id="{ED6D6C80-B44C-4823-954B-B7A88FBCDC5C}"/>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F8894D3-2E2B-42C5-9F93-3C3EFA66F03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06" name="Group 405">
                  <a:extLst>
                    <a:ext uri="{FF2B5EF4-FFF2-40B4-BE49-F238E27FC236}">
                      <a16:creationId xmlns:a16="http://schemas.microsoft.com/office/drawing/2014/main" id="{AEFB0022-9270-42D3-8174-D1671FE434BF}"/>
                    </a:ext>
                  </a:extLst>
                </xdr:cNvPr>
                <xdr:cNvGrpSpPr/>
              </xdr:nvGrpSpPr>
              <xdr:grpSpPr>
                <a:xfrm>
                  <a:off x="3163020" y="5815292"/>
                  <a:ext cx="1714500" cy="294872"/>
                  <a:chOff x="3162300" y="4596092"/>
                  <a:chExt cx="1714500" cy="294872"/>
                </a:xfrm>
              </xdr:grpSpPr>
              <xdr:sp macro="" textlink="">
                <xdr:nvSpPr>
                  <xdr:cNvPr id="407" name="TextBox 406">
                    <a:extLst>
                      <a:ext uri="{FF2B5EF4-FFF2-40B4-BE49-F238E27FC236}">
                        <a16:creationId xmlns:a16="http://schemas.microsoft.com/office/drawing/2014/main" id="{F4293139-161A-489B-AD54-F4589ADDA2C1}"/>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D32ds</a:t>
                    </a:r>
                  </a:p>
                </xdr:txBody>
              </xdr:sp>
              <xdr:sp macro="" textlink="'Dashboard Workings'!F25">
                <xdr:nvSpPr>
                  <xdr:cNvPr id="408" name="TextBox 407">
                    <a:extLst>
                      <a:ext uri="{FF2B5EF4-FFF2-40B4-BE49-F238E27FC236}">
                        <a16:creationId xmlns:a16="http://schemas.microsoft.com/office/drawing/2014/main" id="{0321A2F0-1D36-4C64-93DF-D07BEFD96B95}"/>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729DADC-0734-4870-BEA3-A87685A2205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5">
                <xdr:nvSpPr>
                  <xdr:cNvPr id="409" name="TextBox 408">
                    <a:extLst>
                      <a:ext uri="{FF2B5EF4-FFF2-40B4-BE49-F238E27FC236}">
                        <a16:creationId xmlns:a16="http://schemas.microsoft.com/office/drawing/2014/main" id="{7BC422CD-15A3-415E-9D2E-BB420B04A29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B2849AD-215E-4D5B-BFA9-72BDEDFA7900}"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433" name="TextBox 432">
              <a:extLst>
                <a:ext uri="{FF2B5EF4-FFF2-40B4-BE49-F238E27FC236}">
                  <a16:creationId xmlns:a16="http://schemas.microsoft.com/office/drawing/2014/main" id="{2ABB092D-07A5-4761-9552-0003954A92A8}"/>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D64ds</a:t>
              </a:r>
            </a:p>
          </xdr:txBody>
        </xdr:sp>
        <xdr:sp macro="" textlink="'Dashboard Workings'!F27">
          <xdr:nvSpPr>
            <xdr:cNvPr id="434" name="TextBox 433">
              <a:extLst>
                <a:ext uri="{FF2B5EF4-FFF2-40B4-BE49-F238E27FC236}">
                  <a16:creationId xmlns:a16="http://schemas.microsoft.com/office/drawing/2014/main" id="{0255C00D-7A25-438F-A6BB-114CA67A3614}"/>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1420DD8-81A9-47E3-8ED4-95EECB801BB8}"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7">
          <xdr:nvSpPr>
            <xdr:cNvPr id="435" name="TextBox 434">
              <a:extLst>
                <a:ext uri="{FF2B5EF4-FFF2-40B4-BE49-F238E27FC236}">
                  <a16:creationId xmlns:a16="http://schemas.microsoft.com/office/drawing/2014/main" id="{592DB111-E012-4109-BA61-00C6001F02DC}"/>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9DFE69F-CC76-4206-99AD-784E443EEE0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sp macro="" textlink="">
        <xdr:nvSpPr>
          <xdr:cNvPr id="432" name="TextBox 431">
            <a:extLst>
              <a:ext uri="{FF2B5EF4-FFF2-40B4-BE49-F238E27FC236}">
                <a16:creationId xmlns:a16="http://schemas.microsoft.com/office/drawing/2014/main" id="{304A643E-BEFA-4FAF-B246-44F8B2EE8375}"/>
              </a:ext>
            </a:extLst>
          </xdr:cNvPr>
          <xdr:cNvSpPr txBox="1"/>
        </xdr:nvSpPr>
        <xdr:spPr>
          <a:xfrm>
            <a:off x="10201994" y="4034116"/>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6"/>
                </a:solidFill>
                <a:latin typeface="Arial" panose="020B0604020202020204" pitchFamily="34" charset="0"/>
                <a:cs typeface="Arial" panose="020B0604020202020204" pitchFamily="34" charset="0"/>
              </a:rPr>
              <a:t>New</a:t>
            </a:r>
          </a:p>
        </xdr:txBody>
      </xdr:sp>
      <xdr:grpSp>
        <xdr:nvGrpSpPr>
          <xdr:cNvPr id="437" name="Group 436">
            <a:extLst>
              <a:ext uri="{FF2B5EF4-FFF2-40B4-BE49-F238E27FC236}">
                <a16:creationId xmlns:a16="http://schemas.microsoft.com/office/drawing/2014/main" id="{20D85D04-5F93-4D5E-BFF8-51D9D679E022}"/>
              </a:ext>
            </a:extLst>
          </xdr:cNvPr>
          <xdr:cNvGrpSpPr/>
        </xdr:nvGrpSpPr>
        <xdr:grpSpPr>
          <a:xfrm>
            <a:off x="10802070" y="3824567"/>
            <a:ext cx="2055870" cy="2495147"/>
            <a:chOff x="8867775" y="3838575"/>
            <a:chExt cx="2055870" cy="2495147"/>
          </a:xfrm>
        </xdr:grpSpPr>
        <xdr:grpSp>
          <xdr:nvGrpSpPr>
            <xdr:cNvPr id="438" name="Group 437">
              <a:extLst>
                <a:ext uri="{FF2B5EF4-FFF2-40B4-BE49-F238E27FC236}">
                  <a16:creationId xmlns:a16="http://schemas.microsoft.com/office/drawing/2014/main" id="{8B8FB61D-23E1-4391-B8E9-041BB2695FCC}"/>
                </a:ext>
              </a:extLst>
            </xdr:cNvPr>
            <xdr:cNvGrpSpPr/>
          </xdr:nvGrpSpPr>
          <xdr:grpSpPr>
            <a:xfrm>
              <a:off x="8867775" y="3838575"/>
              <a:ext cx="2055870" cy="2476500"/>
              <a:chOff x="3094691" y="3867151"/>
              <a:chExt cx="2055870" cy="2476500"/>
            </a:xfrm>
          </xdr:grpSpPr>
          <xdr:grpSp>
            <xdr:nvGrpSpPr>
              <xdr:cNvPr id="442" name="Group 441">
                <a:extLst>
                  <a:ext uri="{FF2B5EF4-FFF2-40B4-BE49-F238E27FC236}">
                    <a16:creationId xmlns:a16="http://schemas.microsoft.com/office/drawing/2014/main" id="{3A7A54DA-1A1F-4E0A-98C4-1454B8B7D060}"/>
                  </a:ext>
                </a:extLst>
              </xdr:cNvPr>
              <xdr:cNvGrpSpPr/>
            </xdr:nvGrpSpPr>
            <xdr:grpSpPr>
              <a:xfrm>
                <a:off x="3094691" y="3867151"/>
                <a:ext cx="2055870" cy="2476500"/>
                <a:chOff x="3094691" y="3867151"/>
                <a:chExt cx="2055870" cy="2476500"/>
              </a:xfrm>
            </xdr:grpSpPr>
            <xdr:grpSp>
              <xdr:nvGrpSpPr>
                <xdr:cNvPr id="464" name="Group 463">
                  <a:extLst>
                    <a:ext uri="{FF2B5EF4-FFF2-40B4-BE49-F238E27FC236}">
                      <a16:creationId xmlns:a16="http://schemas.microsoft.com/office/drawing/2014/main" id="{14F7C9AA-9CDD-46C6-B45D-AE5854BE1339}"/>
                    </a:ext>
                  </a:extLst>
                </xdr:cNvPr>
                <xdr:cNvGrpSpPr/>
              </xdr:nvGrpSpPr>
              <xdr:grpSpPr>
                <a:xfrm>
                  <a:off x="3094691" y="3867151"/>
                  <a:ext cx="1734484" cy="2476500"/>
                  <a:chOff x="3094691" y="3867151"/>
                  <a:chExt cx="1734484" cy="2476500"/>
                </a:xfrm>
              </xdr:grpSpPr>
              <xdr:sp macro="" textlink="">
                <xdr:nvSpPr>
                  <xdr:cNvPr id="470" name="Rectangle: Rounded Corners 469">
                    <a:extLst>
                      <a:ext uri="{FF2B5EF4-FFF2-40B4-BE49-F238E27FC236}">
                        <a16:creationId xmlns:a16="http://schemas.microsoft.com/office/drawing/2014/main" id="{E840C7E4-6BCA-41CE-949C-9D2FB36F9D6E}"/>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1" name="TextBox 470">
                    <a:extLst>
                      <a:ext uri="{FF2B5EF4-FFF2-40B4-BE49-F238E27FC236}">
                        <a16:creationId xmlns:a16="http://schemas.microsoft.com/office/drawing/2014/main" id="{B3B28987-25F2-4D3E-BD36-2C7BD49AF073}"/>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E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465" name="Group 464">
                  <a:extLst>
                    <a:ext uri="{FF2B5EF4-FFF2-40B4-BE49-F238E27FC236}">
                      <a16:creationId xmlns:a16="http://schemas.microsoft.com/office/drawing/2014/main" id="{30CE9AF7-4E05-4FF4-A41B-02FC8801E67B}"/>
                    </a:ext>
                  </a:extLst>
                </xdr:cNvPr>
                <xdr:cNvGrpSpPr/>
              </xdr:nvGrpSpPr>
              <xdr:grpSpPr>
                <a:xfrm>
                  <a:off x="3095625" y="4276724"/>
                  <a:ext cx="2054936" cy="304397"/>
                  <a:chOff x="3095625" y="4229099"/>
                  <a:chExt cx="2054936" cy="304397"/>
                </a:xfrm>
              </xdr:grpSpPr>
              <xdr:sp macro="" textlink="">
                <xdr:nvSpPr>
                  <xdr:cNvPr id="466" name="Rectangle: Rounded Corners 465">
                    <a:extLst>
                      <a:ext uri="{FF2B5EF4-FFF2-40B4-BE49-F238E27FC236}">
                        <a16:creationId xmlns:a16="http://schemas.microsoft.com/office/drawing/2014/main" id="{BC5AE468-C5C5-4DEB-8484-4C85316FD8A6}"/>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67" name="Group 466">
                    <a:extLst>
                      <a:ext uri="{FF2B5EF4-FFF2-40B4-BE49-F238E27FC236}">
                        <a16:creationId xmlns:a16="http://schemas.microsoft.com/office/drawing/2014/main" id="{418EAC4B-E5DF-4434-8846-92CB155AF541}"/>
                      </a:ext>
                    </a:extLst>
                  </xdr:cNvPr>
                  <xdr:cNvGrpSpPr/>
                </xdr:nvGrpSpPr>
                <xdr:grpSpPr>
                  <a:xfrm>
                    <a:off x="3152775" y="4238624"/>
                    <a:ext cx="1997786" cy="294872"/>
                    <a:chOff x="8410575" y="3800474"/>
                    <a:chExt cx="1997786" cy="294872"/>
                  </a:xfrm>
                </xdr:grpSpPr>
                <xdr:sp macro="" textlink="">
                  <xdr:nvSpPr>
                    <xdr:cNvPr id="468" name="TextBox 467">
                      <a:extLst>
                        <a:ext uri="{FF2B5EF4-FFF2-40B4-BE49-F238E27FC236}">
                          <a16:creationId xmlns:a16="http://schemas.microsoft.com/office/drawing/2014/main" id="{0FF4CFB3-FB92-4BF9-810F-E5C337A0036E}"/>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469" name="TextBox 468">
                      <a:extLst>
                        <a:ext uri="{FF2B5EF4-FFF2-40B4-BE49-F238E27FC236}">
                          <a16:creationId xmlns:a16="http://schemas.microsoft.com/office/drawing/2014/main" id="{C34864CD-778E-426A-8B81-AF8FF8DD781D}"/>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443" name="Group 442">
                <a:extLst>
                  <a:ext uri="{FF2B5EF4-FFF2-40B4-BE49-F238E27FC236}">
                    <a16:creationId xmlns:a16="http://schemas.microsoft.com/office/drawing/2014/main" id="{7E273319-3084-4F3B-95D1-DFC365163A6C}"/>
                  </a:ext>
                </a:extLst>
              </xdr:cNvPr>
              <xdr:cNvGrpSpPr/>
            </xdr:nvGrpSpPr>
            <xdr:grpSpPr>
              <a:xfrm>
                <a:off x="3162300" y="4615142"/>
                <a:ext cx="1715220" cy="1495022"/>
                <a:chOff x="3162300" y="4615142"/>
                <a:chExt cx="1715220" cy="1495022"/>
              </a:xfrm>
            </xdr:grpSpPr>
            <xdr:grpSp>
              <xdr:nvGrpSpPr>
                <xdr:cNvPr id="444" name="Group 443">
                  <a:extLst>
                    <a:ext uri="{FF2B5EF4-FFF2-40B4-BE49-F238E27FC236}">
                      <a16:creationId xmlns:a16="http://schemas.microsoft.com/office/drawing/2014/main" id="{266C77F8-7572-4508-9AA3-5E40575387EA}"/>
                    </a:ext>
                  </a:extLst>
                </xdr:cNvPr>
                <xdr:cNvGrpSpPr/>
              </xdr:nvGrpSpPr>
              <xdr:grpSpPr>
                <a:xfrm>
                  <a:off x="3162300" y="4615142"/>
                  <a:ext cx="1714500" cy="294872"/>
                  <a:chOff x="3162300" y="4596092"/>
                  <a:chExt cx="1714500" cy="294872"/>
                </a:xfrm>
              </xdr:grpSpPr>
              <xdr:sp macro="" textlink="">
                <xdr:nvSpPr>
                  <xdr:cNvPr id="461" name="TextBox 460">
                    <a:extLst>
                      <a:ext uri="{FF2B5EF4-FFF2-40B4-BE49-F238E27FC236}">
                        <a16:creationId xmlns:a16="http://schemas.microsoft.com/office/drawing/2014/main" id="{ACFD9112-DB50-4EC9-8E06-D09EF29A2C5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E2ds</a:t>
                    </a:r>
                  </a:p>
                </xdr:txBody>
              </xdr:sp>
              <xdr:sp macro="" textlink="'Dashboard Workings'!F28">
                <xdr:nvSpPr>
                  <xdr:cNvPr id="462" name="TextBox 461">
                    <a:extLst>
                      <a:ext uri="{FF2B5EF4-FFF2-40B4-BE49-F238E27FC236}">
                        <a16:creationId xmlns:a16="http://schemas.microsoft.com/office/drawing/2014/main" id="{E8DD52D7-4A5A-4004-8335-728D47EA6E28}"/>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E0F4167-067A-4D18-ACBA-298B66D78BDB}" type="TxLink">
                      <a:rPr lang="en-US" sz="1100" b="1" i="0" u="none" strike="noStrike">
                        <a:solidFill>
                          <a:schemeClr val="bg1"/>
                        </a:solidFill>
                        <a:latin typeface="Arial" panose="020B0604020202020204" pitchFamily="34" charset="0"/>
                        <a:cs typeface="Arial" panose="020B0604020202020204" pitchFamily="34" charset="0"/>
                      </a:rPr>
                      <a:pPr algn="ctr"/>
                      <a:t>8</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8">
                <xdr:nvSpPr>
                  <xdr:cNvPr id="463" name="TextBox 462">
                    <a:extLst>
                      <a:ext uri="{FF2B5EF4-FFF2-40B4-BE49-F238E27FC236}">
                        <a16:creationId xmlns:a16="http://schemas.microsoft.com/office/drawing/2014/main" id="{F58DB920-C154-4C64-B647-BEC989CADB47}"/>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6B6548-0997-4B08-909F-CC95433D7C91}" type="TxLink">
                      <a:rPr lang="en-US" sz="1100" b="1" i="0" u="none" strike="noStrike">
                        <a:solidFill>
                          <a:schemeClr val="bg1"/>
                        </a:solidFill>
                        <a:latin typeface="Arial" panose="020B0604020202020204" pitchFamily="34" charset="0"/>
                        <a:cs typeface="Arial" panose="020B0604020202020204" pitchFamily="34" charset="0"/>
                      </a:rPr>
                      <a:pPr algn="r"/>
                      <a:t> £444.18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45" name="Group 444">
                  <a:extLst>
                    <a:ext uri="{FF2B5EF4-FFF2-40B4-BE49-F238E27FC236}">
                      <a16:creationId xmlns:a16="http://schemas.microsoft.com/office/drawing/2014/main" id="{8792FBEC-3CBF-4FCF-8C8A-582CA13CE12E}"/>
                    </a:ext>
                  </a:extLst>
                </xdr:cNvPr>
                <xdr:cNvGrpSpPr/>
              </xdr:nvGrpSpPr>
              <xdr:grpSpPr>
                <a:xfrm>
                  <a:off x="3162300" y="4919942"/>
                  <a:ext cx="1714500" cy="294872"/>
                  <a:chOff x="3162300" y="4596092"/>
                  <a:chExt cx="1714500" cy="294872"/>
                </a:xfrm>
              </xdr:grpSpPr>
              <xdr:sp macro="" textlink="">
                <xdr:nvSpPr>
                  <xdr:cNvPr id="458" name="TextBox 457">
                    <a:extLst>
                      <a:ext uri="{FF2B5EF4-FFF2-40B4-BE49-F238E27FC236}">
                        <a16:creationId xmlns:a16="http://schemas.microsoft.com/office/drawing/2014/main" id="{87C4D55A-13EC-44CE-B4C3-27C9A0AB80AA}"/>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E4ds</a:t>
                    </a:r>
                  </a:p>
                </xdr:txBody>
              </xdr:sp>
              <xdr:sp macro="" textlink="'Dashboard Workings'!F29">
                <xdr:nvSpPr>
                  <xdr:cNvPr id="459" name="TextBox 458">
                    <a:extLst>
                      <a:ext uri="{FF2B5EF4-FFF2-40B4-BE49-F238E27FC236}">
                        <a16:creationId xmlns:a16="http://schemas.microsoft.com/office/drawing/2014/main" id="{B2AEF39D-CD41-40CC-8E1D-40C435DDAC6B}"/>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53D9D86-7F6E-4650-B99E-257A69FB34C1}" type="TxLink">
                      <a:rPr lang="en-US" sz="1100" b="1" i="0" u="none" strike="noStrike">
                        <a:solidFill>
                          <a:schemeClr val="bg1"/>
                        </a:solidFill>
                        <a:latin typeface="Arial" panose="020B0604020202020204" pitchFamily="34" charset="0"/>
                        <a:cs typeface="Arial" panose="020B0604020202020204" pitchFamily="34" charset="0"/>
                      </a:rPr>
                      <a:pPr algn="ctr"/>
                      <a:t>5</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29">
                <xdr:nvSpPr>
                  <xdr:cNvPr id="460" name="TextBox 459">
                    <a:extLst>
                      <a:ext uri="{FF2B5EF4-FFF2-40B4-BE49-F238E27FC236}">
                        <a16:creationId xmlns:a16="http://schemas.microsoft.com/office/drawing/2014/main" id="{EA2A8078-F685-42EA-9263-988FCF1D49B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5AB843B-9C36-4A97-8168-DE5E1C894E49}" type="TxLink">
                      <a:rPr lang="en-US" sz="1100" b="1" i="0" u="none" strike="noStrike">
                        <a:solidFill>
                          <a:schemeClr val="bg1"/>
                        </a:solidFill>
                        <a:latin typeface="Arial" panose="020B0604020202020204" pitchFamily="34" charset="0"/>
                        <a:cs typeface="Arial" panose="020B0604020202020204" pitchFamily="34" charset="0"/>
                      </a:rPr>
                      <a:pPr algn="r"/>
                      <a:t> £555.26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46" name="Group 445">
                  <a:extLst>
                    <a:ext uri="{FF2B5EF4-FFF2-40B4-BE49-F238E27FC236}">
                      <a16:creationId xmlns:a16="http://schemas.microsoft.com/office/drawing/2014/main" id="{1516D03D-ABB7-4B88-85C4-F2C798B0EA5D}"/>
                    </a:ext>
                  </a:extLst>
                </xdr:cNvPr>
                <xdr:cNvGrpSpPr/>
              </xdr:nvGrpSpPr>
              <xdr:grpSpPr>
                <a:xfrm>
                  <a:off x="3163020" y="5224742"/>
                  <a:ext cx="1714500" cy="294872"/>
                  <a:chOff x="3162300" y="4596092"/>
                  <a:chExt cx="1714500" cy="294872"/>
                </a:xfrm>
              </xdr:grpSpPr>
              <xdr:sp macro="" textlink="">
                <xdr:nvSpPr>
                  <xdr:cNvPr id="455" name="TextBox 454">
                    <a:extLst>
                      <a:ext uri="{FF2B5EF4-FFF2-40B4-BE49-F238E27FC236}">
                        <a16:creationId xmlns:a16="http://schemas.microsoft.com/office/drawing/2014/main" id="{BBE5F578-0303-4EFC-B698-F8390EFAA99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E8ds</a:t>
                    </a:r>
                  </a:p>
                </xdr:txBody>
              </xdr:sp>
              <xdr:sp macro="" textlink="'Dashboard Workings'!F33">
                <xdr:nvSpPr>
                  <xdr:cNvPr id="456" name="TextBox 455">
                    <a:extLst>
                      <a:ext uri="{FF2B5EF4-FFF2-40B4-BE49-F238E27FC236}">
                        <a16:creationId xmlns:a16="http://schemas.microsoft.com/office/drawing/2014/main" id="{DB467679-7ADF-4B7E-BBD3-7AAFA80985B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7CD1D4-0B2B-44F8-A97F-243C562A7DF6}" type="TxLink">
                      <a:rPr lang="en-US" sz="1100" b="1" i="0" u="none" strike="noStrike">
                        <a:solidFill>
                          <a:schemeClr val="bg1"/>
                        </a:solidFill>
                        <a:latin typeface="Arial" panose="020B0604020202020204" pitchFamily="34" charset="0"/>
                        <a:cs typeface="Arial" panose="020B0604020202020204" pitchFamily="34" charset="0"/>
                      </a:rPr>
                      <a:pPr algn="ctr"/>
                      <a:t>1</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3">
                <xdr:nvSpPr>
                  <xdr:cNvPr id="457" name="TextBox 456">
                    <a:extLst>
                      <a:ext uri="{FF2B5EF4-FFF2-40B4-BE49-F238E27FC236}">
                        <a16:creationId xmlns:a16="http://schemas.microsoft.com/office/drawing/2014/main" id="{FABAEC87-4A98-4BAA-A728-991A3C0774F2}"/>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3B73A15-F93E-4F0C-A1CA-FB318702DA78}" type="TxLink">
                      <a:rPr lang="en-US" sz="1100" b="1" i="0" u="none" strike="noStrike">
                        <a:solidFill>
                          <a:schemeClr val="bg1"/>
                        </a:solidFill>
                        <a:latin typeface="Arial" panose="020B0604020202020204" pitchFamily="34" charset="0"/>
                        <a:cs typeface="Arial" panose="020B0604020202020204" pitchFamily="34" charset="0"/>
                      </a:rPr>
                      <a:pPr algn="r"/>
                      <a:t> £222.16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47" name="Group 446">
                  <a:extLst>
                    <a:ext uri="{FF2B5EF4-FFF2-40B4-BE49-F238E27FC236}">
                      <a16:creationId xmlns:a16="http://schemas.microsoft.com/office/drawing/2014/main" id="{19FD6C4B-7BF5-4B37-B1E7-AF5AB23F4AAB}"/>
                    </a:ext>
                  </a:extLst>
                </xdr:cNvPr>
                <xdr:cNvGrpSpPr/>
              </xdr:nvGrpSpPr>
              <xdr:grpSpPr>
                <a:xfrm>
                  <a:off x="3163020" y="5520017"/>
                  <a:ext cx="1714500" cy="294872"/>
                  <a:chOff x="3162300" y="4596092"/>
                  <a:chExt cx="1714500" cy="294872"/>
                </a:xfrm>
              </xdr:grpSpPr>
              <xdr:sp macro="" textlink="">
                <xdr:nvSpPr>
                  <xdr:cNvPr id="452" name="TextBox 451">
                    <a:extLst>
                      <a:ext uri="{FF2B5EF4-FFF2-40B4-BE49-F238E27FC236}">
                        <a16:creationId xmlns:a16="http://schemas.microsoft.com/office/drawing/2014/main" id="{33B9A131-3E28-49A7-8BC9-3FC44DAF82B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E16ds</a:t>
                    </a:r>
                  </a:p>
                </xdr:txBody>
              </xdr:sp>
              <xdr:sp macro="" textlink="'Dashboard Workings'!F36">
                <xdr:nvSpPr>
                  <xdr:cNvPr id="453" name="TextBox 452">
                    <a:extLst>
                      <a:ext uri="{FF2B5EF4-FFF2-40B4-BE49-F238E27FC236}">
                        <a16:creationId xmlns:a16="http://schemas.microsoft.com/office/drawing/2014/main" id="{0475F212-B6EE-452D-921E-84B267C4BDA1}"/>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0F95B19-8DF2-4E78-96E3-A586960A7719}"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6">
                <xdr:nvSpPr>
                  <xdr:cNvPr id="454" name="TextBox 453">
                    <a:extLst>
                      <a:ext uri="{FF2B5EF4-FFF2-40B4-BE49-F238E27FC236}">
                        <a16:creationId xmlns:a16="http://schemas.microsoft.com/office/drawing/2014/main" id="{977E8E60-35DB-45D2-925F-7208E2366D98}"/>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5B5A79D-F4E9-4902-BB52-F5C0EBA0BA5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48" name="Group 447">
                  <a:extLst>
                    <a:ext uri="{FF2B5EF4-FFF2-40B4-BE49-F238E27FC236}">
                      <a16:creationId xmlns:a16="http://schemas.microsoft.com/office/drawing/2014/main" id="{0F7639BD-0F4C-409B-881B-71D8DA336D6C}"/>
                    </a:ext>
                  </a:extLst>
                </xdr:cNvPr>
                <xdr:cNvGrpSpPr/>
              </xdr:nvGrpSpPr>
              <xdr:grpSpPr>
                <a:xfrm>
                  <a:off x="3163020" y="5815292"/>
                  <a:ext cx="1714500" cy="294872"/>
                  <a:chOff x="3162300" y="4596092"/>
                  <a:chExt cx="1714500" cy="294872"/>
                </a:xfrm>
              </xdr:grpSpPr>
              <xdr:sp macro="" textlink="">
                <xdr:nvSpPr>
                  <xdr:cNvPr id="449" name="TextBox 448">
                    <a:extLst>
                      <a:ext uri="{FF2B5EF4-FFF2-40B4-BE49-F238E27FC236}">
                        <a16:creationId xmlns:a16="http://schemas.microsoft.com/office/drawing/2014/main" id="{0E74FAA3-AFE5-4E8B-8024-84803F1D4D5F}"/>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E20ds</a:t>
                    </a:r>
                  </a:p>
                </xdr:txBody>
              </xdr:sp>
              <xdr:sp macro="" textlink="'Dashboard Workings'!F37">
                <xdr:nvSpPr>
                  <xdr:cNvPr id="450" name="TextBox 449">
                    <a:extLst>
                      <a:ext uri="{FF2B5EF4-FFF2-40B4-BE49-F238E27FC236}">
                        <a16:creationId xmlns:a16="http://schemas.microsoft.com/office/drawing/2014/main" id="{F7DBD1A8-3117-4E87-95D3-7F739AC7FF5F}"/>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A811B-3C25-4ACC-9394-11A3966D456A}" type="TxLink">
                      <a:rPr lang="en-US" sz="1100" b="1" i="0" u="none" strike="noStrike">
                        <a:solidFill>
                          <a:schemeClr val="bg1"/>
                        </a:solidFill>
                        <a:latin typeface="Arial" panose="020B0604020202020204" pitchFamily="34" charset="0"/>
                        <a:cs typeface="Arial" panose="020B0604020202020204" pitchFamily="34" charset="0"/>
                      </a:rPr>
                      <a:pPr algn="ctr"/>
                      <a:t>5</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7">
                <xdr:nvSpPr>
                  <xdr:cNvPr id="451" name="TextBox 450">
                    <a:extLst>
                      <a:ext uri="{FF2B5EF4-FFF2-40B4-BE49-F238E27FC236}">
                        <a16:creationId xmlns:a16="http://schemas.microsoft.com/office/drawing/2014/main" id="{82A813F6-BCFD-4679-A500-713205776FE2}"/>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66F3A3D-F480-4DEA-B76B-3E90195B8CC8}" type="TxLink">
                      <a:rPr lang="en-US" sz="1100" b="1" i="0" u="none" strike="noStrike">
                        <a:solidFill>
                          <a:schemeClr val="bg1"/>
                        </a:solidFill>
                        <a:latin typeface="Arial" panose="020B0604020202020204" pitchFamily="34" charset="0"/>
                        <a:cs typeface="Arial" panose="020B0604020202020204" pitchFamily="34" charset="0"/>
                      </a:rPr>
                      <a:pPr algn="r"/>
                      <a:t> £2,776.58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439" name="TextBox 438">
              <a:extLst>
                <a:ext uri="{FF2B5EF4-FFF2-40B4-BE49-F238E27FC236}">
                  <a16:creationId xmlns:a16="http://schemas.microsoft.com/office/drawing/2014/main" id="{D0CD61EA-D536-4A7D-9C34-E2B420AA5857}"/>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E32ds</a:t>
              </a:r>
            </a:p>
          </xdr:txBody>
        </xdr:sp>
        <xdr:sp macro="" textlink="'Dashboard Workings'!F39">
          <xdr:nvSpPr>
            <xdr:cNvPr id="440" name="TextBox 439">
              <a:extLst>
                <a:ext uri="{FF2B5EF4-FFF2-40B4-BE49-F238E27FC236}">
                  <a16:creationId xmlns:a16="http://schemas.microsoft.com/office/drawing/2014/main" id="{341E34B4-61EA-42C9-9D81-D4D9AB5EA183}"/>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AF3CBB9-578F-439D-AE2A-996E821F6D7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39">
          <xdr:nvSpPr>
            <xdr:cNvPr id="441" name="TextBox 440">
              <a:extLst>
                <a:ext uri="{FF2B5EF4-FFF2-40B4-BE49-F238E27FC236}">
                  <a16:creationId xmlns:a16="http://schemas.microsoft.com/office/drawing/2014/main" id="{9CB3F042-6DAC-41FC-9158-5DC15785A436}"/>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E06161-310C-46BD-ACB8-E991BA5CACDB}"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72" name="Group 471">
            <a:extLst>
              <a:ext uri="{FF2B5EF4-FFF2-40B4-BE49-F238E27FC236}">
                <a16:creationId xmlns:a16="http://schemas.microsoft.com/office/drawing/2014/main" id="{1DEEE750-45E1-48C3-98E2-F4753767E3C7}"/>
              </a:ext>
            </a:extLst>
          </xdr:cNvPr>
          <xdr:cNvGrpSpPr/>
        </xdr:nvGrpSpPr>
        <xdr:grpSpPr>
          <a:xfrm>
            <a:off x="12697545" y="3824567"/>
            <a:ext cx="2055870" cy="2495147"/>
            <a:chOff x="8867775" y="3838575"/>
            <a:chExt cx="2055870" cy="2495147"/>
          </a:xfrm>
        </xdr:grpSpPr>
        <xdr:grpSp>
          <xdr:nvGrpSpPr>
            <xdr:cNvPr id="473" name="Group 472">
              <a:extLst>
                <a:ext uri="{FF2B5EF4-FFF2-40B4-BE49-F238E27FC236}">
                  <a16:creationId xmlns:a16="http://schemas.microsoft.com/office/drawing/2014/main" id="{151206E1-0B1B-484D-8D4E-3CEEC341999F}"/>
                </a:ext>
              </a:extLst>
            </xdr:cNvPr>
            <xdr:cNvGrpSpPr/>
          </xdr:nvGrpSpPr>
          <xdr:grpSpPr>
            <a:xfrm>
              <a:off x="8867775" y="3838575"/>
              <a:ext cx="2055870" cy="2476500"/>
              <a:chOff x="3094691" y="3867151"/>
              <a:chExt cx="2055870" cy="2476500"/>
            </a:xfrm>
          </xdr:grpSpPr>
          <xdr:grpSp>
            <xdr:nvGrpSpPr>
              <xdr:cNvPr id="477" name="Group 476">
                <a:extLst>
                  <a:ext uri="{FF2B5EF4-FFF2-40B4-BE49-F238E27FC236}">
                    <a16:creationId xmlns:a16="http://schemas.microsoft.com/office/drawing/2014/main" id="{7B7452F7-8C36-4C0E-86AD-31202824994D}"/>
                  </a:ext>
                </a:extLst>
              </xdr:cNvPr>
              <xdr:cNvGrpSpPr/>
            </xdr:nvGrpSpPr>
            <xdr:grpSpPr>
              <a:xfrm>
                <a:off x="3094691" y="3867151"/>
                <a:ext cx="2055870" cy="2476500"/>
                <a:chOff x="3094691" y="3867151"/>
                <a:chExt cx="2055870" cy="2476500"/>
              </a:xfrm>
            </xdr:grpSpPr>
            <xdr:grpSp>
              <xdr:nvGrpSpPr>
                <xdr:cNvPr id="499" name="Group 498">
                  <a:extLst>
                    <a:ext uri="{FF2B5EF4-FFF2-40B4-BE49-F238E27FC236}">
                      <a16:creationId xmlns:a16="http://schemas.microsoft.com/office/drawing/2014/main" id="{20E7D50B-577D-4D68-997C-4EF5CF8BAE65}"/>
                    </a:ext>
                  </a:extLst>
                </xdr:cNvPr>
                <xdr:cNvGrpSpPr/>
              </xdr:nvGrpSpPr>
              <xdr:grpSpPr>
                <a:xfrm>
                  <a:off x="3094691" y="3867151"/>
                  <a:ext cx="1734484" cy="2476500"/>
                  <a:chOff x="3094691" y="3867151"/>
                  <a:chExt cx="1734484" cy="2476500"/>
                </a:xfrm>
              </xdr:grpSpPr>
              <xdr:sp macro="" textlink="">
                <xdr:nvSpPr>
                  <xdr:cNvPr id="505" name="Rectangle: Rounded Corners 504">
                    <a:extLst>
                      <a:ext uri="{FF2B5EF4-FFF2-40B4-BE49-F238E27FC236}">
                        <a16:creationId xmlns:a16="http://schemas.microsoft.com/office/drawing/2014/main" id="{4B7B9068-1ABB-4EDC-9411-50C582995BA8}"/>
                      </a:ext>
                    </a:extLst>
                  </xdr:cNvPr>
                  <xdr:cNvSpPr/>
                </xdr:nvSpPr>
                <xdr:spPr>
                  <a:xfrm>
                    <a:off x="3094691" y="3867151"/>
                    <a:ext cx="1734484" cy="2476500"/>
                  </a:xfrm>
                  <a:prstGeom prst="roundRect">
                    <a:avLst>
                      <a:gd name="adj" fmla="val 11122"/>
                    </a:avLst>
                  </a:prstGeom>
                  <a:gradFill flip="none" rotWithShape="1">
                    <a:gsLst>
                      <a:gs pos="0">
                        <a:schemeClr val="accent1">
                          <a:lumMod val="75000"/>
                        </a:schemeClr>
                      </a:gs>
                      <a:gs pos="24000">
                        <a:schemeClr val="accent1">
                          <a:alpha val="82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6" name="TextBox 505">
                    <a:extLst>
                      <a:ext uri="{FF2B5EF4-FFF2-40B4-BE49-F238E27FC236}">
                        <a16:creationId xmlns:a16="http://schemas.microsoft.com/office/drawing/2014/main" id="{1DD091DE-C69B-4CD7-A9BC-ADE7EBCB1A93}"/>
                      </a:ext>
                    </a:extLst>
                  </xdr:cNvPr>
                  <xdr:cNvSpPr txBox="1"/>
                </xdr:nvSpPr>
                <xdr:spPr>
                  <a:xfrm>
                    <a:off x="3191595" y="3881717"/>
                    <a:ext cx="1532805"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ZA" sz="1600" b="1" baseline="0">
                        <a:solidFill>
                          <a:schemeClr val="bg1"/>
                        </a:solidFill>
                        <a:latin typeface="Arial" panose="020B0604020202020204" pitchFamily="34" charset="0"/>
                        <a:cs typeface="Arial" panose="020B0604020202020204" pitchFamily="34" charset="0"/>
                      </a:rPr>
                      <a:t>F Family</a:t>
                    </a:r>
                    <a:endParaRPr lang="en-ZA" sz="1600" b="1">
                      <a:solidFill>
                        <a:schemeClr val="bg1"/>
                      </a:solidFill>
                      <a:latin typeface="Arial" panose="020B0604020202020204" pitchFamily="34" charset="0"/>
                      <a:cs typeface="Arial" panose="020B0604020202020204" pitchFamily="34" charset="0"/>
                    </a:endParaRPr>
                  </a:p>
                </xdr:txBody>
              </xdr:sp>
            </xdr:grpSp>
            <xdr:grpSp>
              <xdr:nvGrpSpPr>
                <xdr:cNvPr id="500" name="Group 499">
                  <a:extLst>
                    <a:ext uri="{FF2B5EF4-FFF2-40B4-BE49-F238E27FC236}">
                      <a16:creationId xmlns:a16="http://schemas.microsoft.com/office/drawing/2014/main" id="{45D96E5F-46D2-46D6-BADC-249BD5796553}"/>
                    </a:ext>
                  </a:extLst>
                </xdr:cNvPr>
                <xdr:cNvGrpSpPr/>
              </xdr:nvGrpSpPr>
              <xdr:grpSpPr>
                <a:xfrm>
                  <a:off x="3095625" y="4276724"/>
                  <a:ext cx="2054936" cy="304397"/>
                  <a:chOff x="3095625" y="4229099"/>
                  <a:chExt cx="2054936" cy="304397"/>
                </a:xfrm>
              </xdr:grpSpPr>
              <xdr:sp macro="" textlink="">
                <xdr:nvSpPr>
                  <xdr:cNvPr id="501" name="Rectangle: Rounded Corners 500">
                    <a:extLst>
                      <a:ext uri="{FF2B5EF4-FFF2-40B4-BE49-F238E27FC236}">
                        <a16:creationId xmlns:a16="http://schemas.microsoft.com/office/drawing/2014/main" id="{66148043-532A-486F-B77E-F5E341F4360A}"/>
                      </a:ext>
                    </a:extLst>
                  </xdr:cNvPr>
                  <xdr:cNvSpPr/>
                </xdr:nvSpPr>
                <xdr:spPr>
                  <a:xfrm>
                    <a:off x="3095625" y="4229099"/>
                    <a:ext cx="1734484" cy="276225"/>
                  </a:xfrm>
                  <a:prstGeom prst="roundRect">
                    <a:avLst>
                      <a:gd name="adj" fmla="val 11122"/>
                    </a:avLst>
                  </a:prstGeom>
                  <a:gradFill flip="none" rotWithShape="1">
                    <a:gsLst>
                      <a:gs pos="0">
                        <a:schemeClr val="tx1">
                          <a:lumMod val="65000"/>
                          <a:lumOff val="35000"/>
                        </a:schemeClr>
                      </a:gs>
                      <a:gs pos="24000">
                        <a:schemeClr val="tx1">
                          <a:lumMod val="75000"/>
                          <a:lumOff val="25000"/>
                        </a:schemeClr>
                      </a:gs>
                      <a:gs pos="100000">
                        <a:srgbClr val="2F292D"/>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02" name="Group 501">
                    <a:extLst>
                      <a:ext uri="{FF2B5EF4-FFF2-40B4-BE49-F238E27FC236}">
                        <a16:creationId xmlns:a16="http://schemas.microsoft.com/office/drawing/2014/main" id="{F7A83517-F61C-4320-A60C-B3ACFEB5547A}"/>
                      </a:ext>
                    </a:extLst>
                  </xdr:cNvPr>
                  <xdr:cNvGrpSpPr/>
                </xdr:nvGrpSpPr>
                <xdr:grpSpPr>
                  <a:xfrm>
                    <a:off x="3152775" y="4238624"/>
                    <a:ext cx="1997786" cy="294872"/>
                    <a:chOff x="8410575" y="3800474"/>
                    <a:chExt cx="1997786" cy="294872"/>
                  </a:xfrm>
                </xdr:grpSpPr>
                <xdr:sp macro="" textlink="">
                  <xdr:nvSpPr>
                    <xdr:cNvPr id="503" name="TextBox 502">
                      <a:extLst>
                        <a:ext uri="{FF2B5EF4-FFF2-40B4-BE49-F238E27FC236}">
                          <a16:creationId xmlns:a16="http://schemas.microsoft.com/office/drawing/2014/main" id="{9091CAD0-BA2F-42BE-94E5-815B7392320D}"/>
                        </a:ext>
                      </a:extLst>
                    </xdr:cNvPr>
                    <xdr:cNvSpPr txBox="1"/>
                  </xdr:nvSpPr>
                  <xdr:spPr>
                    <a:xfrm>
                      <a:off x="8410575" y="3800474"/>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SKU</a:t>
                      </a:r>
                    </a:p>
                  </xdr:txBody>
                </xdr:sp>
                <xdr:sp macro="" textlink="">
                  <xdr:nvSpPr>
                    <xdr:cNvPr id="504" name="TextBox 503">
                      <a:extLst>
                        <a:ext uri="{FF2B5EF4-FFF2-40B4-BE49-F238E27FC236}">
                          <a16:creationId xmlns:a16="http://schemas.microsoft.com/office/drawing/2014/main" id="{5E0CCB73-C66D-41E7-9C72-288D539A3CC8}"/>
                        </a:ext>
                      </a:extLst>
                    </xdr:cNvPr>
                    <xdr:cNvSpPr txBox="1"/>
                  </xdr:nvSpPr>
                  <xdr:spPr>
                    <a:xfrm>
                      <a:off x="8848725" y="3800474"/>
                      <a:ext cx="155963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Arial" panose="020B0604020202020204" pitchFamily="34" charset="0"/>
                          <a:cs typeface="Arial" panose="020B0604020202020204" pitchFamily="34" charset="0"/>
                        </a:rPr>
                        <a:t> Count     Cost</a:t>
                      </a:r>
                    </a:p>
                  </xdr:txBody>
                </xdr:sp>
              </xdr:grpSp>
            </xdr:grpSp>
          </xdr:grpSp>
          <xdr:grpSp>
            <xdr:nvGrpSpPr>
              <xdr:cNvPr id="478" name="Group 477">
                <a:extLst>
                  <a:ext uri="{FF2B5EF4-FFF2-40B4-BE49-F238E27FC236}">
                    <a16:creationId xmlns:a16="http://schemas.microsoft.com/office/drawing/2014/main" id="{1CFE981C-3541-4B17-9C4A-F9B9C79ACDAD}"/>
                  </a:ext>
                </a:extLst>
              </xdr:cNvPr>
              <xdr:cNvGrpSpPr/>
            </xdr:nvGrpSpPr>
            <xdr:grpSpPr>
              <a:xfrm>
                <a:off x="3162300" y="4615142"/>
                <a:ext cx="1715220" cy="1495022"/>
                <a:chOff x="3162300" y="4615142"/>
                <a:chExt cx="1715220" cy="1495022"/>
              </a:xfrm>
            </xdr:grpSpPr>
            <xdr:grpSp>
              <xdr:nvGrpSpPr>
                <xdr:cNvPr id="479" name="Group 478">
                  <a:extLst>
                    <a:ext uri="{FF2B5EF4-FFF2-40B4-BE49-F238E27FC236}">
                      <a16:creationId xmlns:a16="http://schemas.microsoft.com/office/drawing/2014/main" id="{3B1259C8-1DB1-477D-AEB5-AEB84F9FBFBB}"/>
                    </a:ext>
                  </a:extLst>
                </xdr:cNvPr>
                <xdr:cNvGrpSpPr/>
              </xdr:nvGrpSpPr>
              <xdr:grpSpPr>
                <a:xfrm>
                  <a:off x="3162300" y="4615142"/>
                  <a:ext cx="1714500" cy="294872"/>
                  <a:chOff x="3162300" y="4596092"/>
                  <a:chExt cx="1714500" cy="294872"/>
                </a:xfrm>
              </xdr:grpSpPr>
              <xdr:sp macro="" textlink="">
                <xdr:nvSpPr>
                  <xdr:cNvPr id="496" name="TextBox 495">
                    <a:extLst>
                      <a:ext uri="{FF2B5EF4-FFF2-40B4-BE49-F238E27FC236}">
                        <a16:creationId xmlns:a16="http://schemas.microsoft.com/office/drawing/2014/main" id="{EC42BC8D-3762-4572-849E-38EEF256E0F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v2</a:t>
                    </a:r>
                  </a:p>
                </xdr:txBody>
              </xdr:sp>
              <xdr:sp macro="" textlink="'Dashboard Workings'!F42">
                <xdr:nvSpPr>
                  <xdr:cNvPr id="497" name="TextBox 496">
                    <a:extLst>
                      <a:ext uri="{FF2B5EF4-FFF2-40B4-BE49-F238E27FC236}">
                        <a16:creationId xmlns:a16="http://schemas.microsoft.com/office/drawing/2014/main" id="{82739CD1-17A3-43E1-8048-6C0233ED6055}"/>
                      </a:ext>
                    </a:extLst>
                  </xdr:cNvPr>
                  <xdr:cNvSpPr txBox="1"/>
                </xdr:nvSpPr>
                <xdr:spPr>
                  <a:xfrm>
                    <a:off x="3733800" y="4596092"/>
                    <a:ext cx="33337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2215EB-742D-4B4D-A0AD-2AB926E0407A}" type="TxLink">
                      <a:rPr lang="en-US" sz="1100" b="1" i="0" u="none" strike="noStrike">
                        <a:solidFill>
                          <a:schemeClr val="bg1"/>
                        </a:solidFill>
                        <a:latin typeface="Arial" panose="020B0604020202020204" pitchFamily="34" charset="0"/>
                        <a:cs typeface="Arial" panose="020B0604020202020204" pitchFamily="34" charset="0"/>
                      </a:rPr>
                      <a:pPr algn="ctr"/>
                      <a:t>50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2">
                <xdr:nvSpPr>
                  <xdr:cNvPr id="498" name="TextBox 497">
                    <a:extLst>
                      <a:ext uri="{FF2B5EF4-FFF2-40B4-BE49-F238E27FC236}">
                        <a16:creationId xmlns:a16="http://schemas.microsoft.com/office/drawing/2014/main" id="{6140D62A-1661-45C7-9DB1-D68901B592EE}"/>
                      </a:ext>
                    </a:extLst>
                  </xdr:cNvPr>
                  <xdr:cNvSpPr txBox="1"/>
                </xdr:nvSpPr>
                <xdr:spPr>
                  <a:xfrm>
                    <a:off x="4163145" y="4596092"/>
                    <a:ext cx="71365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728D79B-FC42-49BB-B3F3-44009377625C}" type="TxLink">
                      <a:rPr lang="en-US" sz="1100" b="1" i="0" u="none" strike="noStrike">
                        <a:solidFill>
                          <a:schemeClr val="bg1"/>
                        </a:solidFill>
                        <a:latin typeface="Arial" panose="020B0604020202020204" pitchFamily="34" charset="0"/>
                        <a:cs typeface="Arial" panose="020B0604020202020204" pitchFamily="34" charset="0"/>
                      </a:rPr>
                      <a:pPr algn="r"/>
                      <a:t> £1,562.05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80" name="Group 479">
                  <a:extLst>
                    <a:ext uri="{FF2B5EF4-FFF2-40B4-BE49-F238E27FC236}">
                      <a16:creationId xmlns:a16="http://schemas.microsoft.com/office/drawing/2014/main" id="{DC579CD9-5857-4072-A603-BCA6F5D59D5D}"/>
                    </a:ext>
                  </a:extLst>
                </xdr:cNvPr>
                <xdr:cNvGrpSpPr/>
              </xdr:nvGrpSpPr>
              <xdr:grpSpPr>
                <a:xfrm>
                  <a:off x="3162300" y="4919942"/>
                  <a:ext cx="1714500" cy="294872"/>
                  <a:chOff x="3162300" y="4596092"/>
                  <a:chExt cx="1714500" cy="294872"/>
                </a:xfrm>
              </xdr:grpSpPr>
              <xdr:sp macro="" textlink="">
                <xdr:nvSpPr>
                  <xdr:cNvPr id="493" name="TextBox 492">
                    <a:extLst>
                      <a:ext uri="{FF2B5EF4-FFF2-40B4-BE49-F238E27FC236}">
                        <a16:creationId xmlns:a16="http://schemas.microsoft.com/office/drawing/2014/main" id="{D516E26C-2FF7-4829-9298-C1492583035D}"/>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F4s v2</a:t>
                    </a:r>
                  </a:p>
                </xdr:txBody>
              </xdr:sp>
              <xdr:sp macro="" textlink="'Dashboard Workings'!F43">
                <xdr:nvSpPr>
                  <xdr:cNvPr id="494" name="TextBox 493">
                    <a:extLst>
                      <a:ext uri="{FF2B5EF4-FFF2-40B4-BE49-F238E27FC236}">
                        <a16:creationId xmlns:a16="http://schemas.microsoft.com/office/drawing/2014/main" id="{BBE71DC2-7A47-483E-A133-8B2AF2BA4A7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2C8364D-63A7-41A0-979D-2688E09F02CF}" type="TxLink">
                      <a:rPr lang="en-US" sz="1100" b="1" i="0" u="none" strike="noStrike">
                        <a:solidFill>
                          <a:schemeClr val="bg1"/>
                        </a:solidFill>
                        <a:latin typeface="Arial" panose="020B0604020202020204" pitchFamily="34" charset="0"/>
                        <a:cs typeface="Arial" panose="020B0604020202020204" pitchFamily="34" charset="0"/>
                      </a:rPr>
                      <a:pPr algn="ctr"/>
                      <a:t>6</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3">
                <xdr:nvSpPr>
                  <xdr:cNvPr id="495" name="TextBox 494">
                    <a:extLst>
                      <a:ext uri="{FF2B5EF4-FFF2-40B4-BE49-F238E27FC236}">
                        <a16:creationId xmlns:a16="http://schemas.microsoft.com/office/drawing/2014/main" id="{B9BE82C2-3912-4210-B8F6-501CDB08F3D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D93D41D-BAD0-42CC-BFF6-AD1C9E38840D}" type="TxLink">
                      <a:rPr lang="en-US" sz="1100" b="1" i="0" u="none" strike="noStrike">
                        <a:solidFill>
                          <a:schemeClr val="bg1"/>
                        </a:solidFill>
                        <a:latin typeface="Arial" panose="020B0604020202020204" pitchFamily="34" charset="0"/>
                        <a:cs typeface="Arial" panose="020B0604020202020204" pitchFamily="34" charset="0"/>
                      </a:rPr>
                      <a:pPr algn="r"/>
                      <a:t> £375.25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81" name="Group 480">
                  <a:extLst>
                    <a:ext uri="{FF2B5EF4-FFF2-40B4-BE49-F238E27FC236}">
                      <a16:creationId xmlns:a16="http://schemas.microsoft.com/office/drawing/2014/main" id="{A4029EE8-2695-459E-BC6A-E0CC7DC0A929}"/>
                    </a:ext>
                  </a:extLst>
                </xdr:cNvPr>
                <xdr:cNvGrpSpPr/>
              </xdr:nvGrpSpPr>
              <xdr:grpSpPr>
                <a:xfrm>
                  <a:off x="3163020" y="5224742"/>
                  <a:ext cx="1714500" cy="294872"/>
                  <a:chOff x="3162300" y="4596092"/>
                  <a:chExt cx="1714500" cy="294872"/>
                </a:xfrm>
              </xdr:grpSpPr>
              <xdr:sp macro="" textlink="">
                <xdr:nvSpPr>
                  <xdr:cNvPr id="490" name="TextBox 489">
                    <a:extLst>
                      <a:ext uri="{FF2B5EF4-FFF2-40B4-BE49-F238E27FC236}">
                        <a16:creationId xmlns:a16="http://schemas.microsoft.com/office/drawing/2014/main" id="{44FDB783-1E32-458E-A97F-86FBCC1A0B3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F8s v2</a:t>
                    </a:r>
                  </a:p>
                </xdr:txBody>
              </xdr:sp>
              <xdr:sp macro="" textlink="'Dashboard Workings'!F44">
                <xdr:nvSpPr>
                  <xdr:cNvPr id="491" name="TextBox 490">
                    <a:extLst>
                      <a:ext uri="{FF2B5EF4-FFF2-40B4-BE49-F238E27FC236}">
                        <a16:creationId xmlns:a16="http://schemas.microsoft.com/office/drawing/2014/main" id="{BC93E2B3-DE27-4DD0-A45B-E797E48F5E37}"/>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EF764D-020C-457D-A0BA-7C27FB5ECF3F}"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4">
                <xdr:nvSpPr>
                  <xdr:cNvPr id="492" name="TextBox 491">
                    <a:extLst>
                      <a:ext uri="{FF2B5EF4-FFF2-40B4-BE49-F238E27FC236}">
                        <a16:creationId xmlns:a16="http://schemas.microsoft.com/office/drawing/2014/main" id="{07A3131A-FF25-47DC-A6C0-03CECA29AFF4}"/>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B8C1CA3-0C12-45D5-90BB-863B1BFE7928}"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82" name="Group 481">
                  <a:extLst>
                    <a:ext uri="{FF2B5EF4-FFF2-40B4-BE49-F238E27FC236}">
                      <a16:creationId xmlns:a16="http://schemas.microsoft.com/office/drawing/2014/main" id="{1F37AC37-2F89-4835-8415-D76A919F0FE7}"/>
                    </a:ext>
                  </a:extLst>
                </xdr:cNvPr>
                <xdr:cNvGrpSpPr/>
              </xdr:nvGrpSpPr>
              <xdr:grpSpPr>
                <a:xfrm>
                  <a:off x="3163020" y="5520017"/>
                  <a:ext cx="1714500" cy="294872"/>
                  <a:chOff x="3162300" y="4596092"/>
                  <a:chExt cx="1714500" cy="294872"/>
                </a:xfrm>
              </xdr:grpSpPr>
              <xdr:sp macro="" textlink="">
                <xdr:nvSpPr>
                  <xdr:cNvPr id="487" name="TextBox 486">
                    <a:extLst>
                      <a:ext uri="{FF2B5EF4-FFF2-40B4-BE49-F238E27FC236}">
                        <a16:creationId xmlns:a16="http://schemas.microsoft.com/office/drawing/2014/main" id="{B8370593-9784-4481-AE10-4BD6B64A25B8}"/>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F16s</a:t>
                    </a:r>
                  </a:p>
                </xdr:txBody>
              </xdr:sp>
              <xdr:sp macro="" textlink="'Dashboard Workings'!F45">
                <xdr:nvSpPr>
                  <xdr:cNvPr id="488" name="TextBox 487">
                    <a:extLst>
                      <a:ext uri="{FF2B5EF4-FFF2-40B4-BE49-F238E27FC236}">
                        <a16:creationId xmlns:a16="http://schemas.microsoft.com/office/drawing/2014/main" id="{B6557555-834B-42D5-AE18-4B56B4E434B4}"/>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BFC1F95-2286-4FA0-8324-58C9AE6A1753}"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5">
                <xdr:nvSpPr>
                  <xdr:cNvPr id="489" name="TextBox 488">
                    <a:extLst>
                      <a:ext uri="{FF2B5EF4-FFF2-40B4-BE49-F238E27FC236}">
                        <a16:creationId xmlns:a16="http://schemas.microsoft.com/office/drawing/2014/main" id="{47181D22-B6A1-4CD8-83B7-5238ACBA3C65}"/>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638C980-82BE-4D1C-8714-627232B554DE}"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483" name="Group 482">
                  <a:extLst>
                    <a:ext uri="{FF2B5EF4-FFF2-40B4-BE49-F238E27FC236}">
                      <a16:creationId xmlns:a16="http://schemas.microsoft.com/office/drawing/2014/main" id="{EC851F3E-0EB1-40A1-9E75-25EBEA83C800}"/>
                    </a:ext>
                  </a:extLst>
                </xdr:cNvPr>
                <xdr:cNvGrpSpPr/>
              </xdr:nvGrpSpPr>
              <xdr:grpSpPr>
                <a:xfrm>
                  <a:off x="3163020" y="5815292"/>
                  <a:ext cx="1714500" cy="294872"/>
                  <a:chOff x="3162300" y="4596092"/>
                  <a:chExt cx="1714500" cy="294872"/>
                </a:xfrm>
              </xdr:grpSpPr>
              <xdr:sp macro="" textlink="">
                <xdr:nvSpPr>
                  <xdr:cNvPr id="484" name="TextBox 483">
                    <a:extLst>
                      <a:ext uri="{FF2B5EF4-FFF2-40B4-BE49-F238E27FC236}">
                        <a16:creationId xmlns:a16="http://schemas.microsoft.com/office/drawing/2014/main" id="{5805BC56-6294-4E06-BCF0-7483BDAFA285}"/>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F32s</a:t>
                    </a:r>
                  </a:p>
                </xdr:txBody>
              </xdr:sp>
              <xdr:sp macro="" textlink="'Dashboard Workings'!F46">
                <xdr:nvSpPr>
                  <xdr:cNvPr id="485" name="TextBox 484">
                    <a:extLst>
                      <a:ext uri="{FF2B5EF4-FFF2-40B4-BE49-F238E27FC236}">
                        <a16:creationId xmlns:a16="http://schemas.microsoft.com/office/drawing/2014/main" id="{25DA5833-A29F-4104-AAD8-9B891E8824FF}"/>
                      </a:ext>
                    </a:extLst>
                  </xdr:cNvPr>
                  <xdr:cNvSpPr txBox="1"/>
                </xdr:nvSpPr>
                <xdr:spPr>
                  <a:xfrm>
                    <a:off x="3724275" y="4596092"/>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AB43FA-4F8A-4E20-A1AB-50700A7EE6A7}"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46">
                <xdr:nvSpPr>
                  <xdr:cNvPr id="486" name="TextBox 485">
                    <a:extLst>
                      <a:ext uri="{FF2B5EF4-FFF2-40B4-BE49-F238E27FC236}">
                        <a16:creationId xmlns:a16="http://schemas.microsoft.com/office/drawing/2014/main" id="{9F60FB60-93F1-487A-B81E-CE31875F256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29EDF5F-9876-47DC-B646-E0C55C650225}"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grpSp>
        <xdr:sp macro="" textlink="">
          <xdr:nvSpPr>
            <xdr:cNvPr id="474" name="TextBox 473">
              <a:extLst>
                <a:ext uri="{FF2B5EF4-FFF2-40B4-BE49-F238E27FC236}">
                  <a16:creationId xmlns:a16="http://schemas.microsoft.com/office/drawing/2014/main" id="{124172CB-B728-4EAC-BC79-C816A44C0DD0}"/>
                </a:ext>
              </a:extLst>
            </xdr:cNvPr>
            <xdr:cNvSpPr txBox="1"/>
          </xdr:nvSpPr>
          <xdr:spPr>
            <a:xfrm>
              <a:off x="8934450" y="6038850"/>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accent4"/>
                  </a:solidFill>
                  <a:latin typeface="Arial" panose="020B0604020202020204" pitchFamily="34" charset="0"/>
                  <a:cs typeface="Arial" panose="020B0604020202020204" pitchFamily="34" charset="0"/>
                </a:rPr>
                <a:t>F2s v1</a:t>
              </a:r>
            </a:p>
          </xdr:txBody>
        </xdr:sp>
        <xdr:sp macro="" textlink="'Dashboard Workings'!F50">
          <xdr:nvSpPr>
            <xdr:cNvPr id="475" name="TextBox 474">
              <a:extLst>
                <a:ext uri="{FF2B5EF4-FFF2-40B4-BE49-F238E27FC236}">
                  <a16:creationId xmlns:a16="http://schemas.microsoft.com/office/drawing/2014/main" id="{A7ADD761-722C-413E-A8AF-A7F43229EE53}"/>
                </a:ext>
              </a:extLst>
            </xdr:cNvPr>
            <xdr:cNvSpPr txBox="1"/>
          </xdr:nvSpPr>
          <xdr:spPr>
            <a:xfrm>
              <a:off x="9496425" y="6038850"/>
              <a:ext cx="390526"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3C65E56-3275-4FBE-90CA-E79E309CE8E0}" type="TxLink">
                <a:rPr lang="en-US" sz="1100" b="1" i="0" u="none" strike="noStrike">
                  <a:solidFill>
                    <a:schemeClr val="bg1"/>
                  </a:solidFill>
                  <a:latin typeface="Arial" panose="020B0604020202020204" pitchFamily="34" charset="0"/>
                  <a:cs typeface="Arial" panose="020B0604020202020204" pitchFamily="34" charset="0"/>
                </a:rPr>
                <a:pPr algn="ctr"/>
                <a:t>0</a:t>
              </a:fld>
              <a:endParaRPr lang="en-ZA" sz="1100" b="1">
                <a:solidFill>
                  <a:schemeClr val="bg1"/>
                </a:solidFill>
                <a:latin typeface="Arial" panose="020B0604020202020204" pitchFamily="34" charset="0"/>
                <a:cs typeface="Arial" panose="020B0604020202020204" pitchFamily="34" charset="0"/>
              </a:endParaRPr>
            </a:p>
          </xdr:txBody>
        </xdr:sp>
        <xdr:sp macro="" textlink="'Dashboard Workings'!L50">
          <xdr:nvSpPr>
            <xdr:cNvPr id="476" name="TextBox 475">
              <a:extLst>
                <a:ext uri="{FF2B5EF4-FFF2-40B4-BE49-F238E27FC236}">
                  <a16:creationId xmlns:a16="http://schemas.microsoft.com/office/drawing/2014/main" id="{7C0D6BFD-92A7-426F-B898-C84922DE0A15}"/>
                </a:ext>
              </a:extLst>
            </xdr:cNvPr>
            <xdr:cNvSpPr txBox="1"/>
          </xdr:nvSpPr>
          <xdr:spPr>
            <a:xfrm>
              <a:off x="9791700" y="6038850"/>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444C4B5-7522-4264-A627-54D51239AEA8}" type="TxLink">
                <a:rPr lang="en-US" sz="1100" b="1" i="0" u="none" strike="noStrike">
                  <a:solidFill>
                    <a:schemeClr val="bg1"/>
                  </a:solidFill>
                  <a:latin typeface="Arial" panose="020B0604020202020204" pitchFamily="34" charset="0"/>
                  <a:cs typeface="Arial" panose="020B0604020202020204" pitchFamily="34" charset="0"/>
                </a:rPr>
                <a:pPr algn="r"/>
                <a:t> £-   </a:t>
              </a:fld>
              <a:endParaRPr lang="en-ZA" sz="1100" b="1">
                <a:solidFill>
                  <a:schemeClr val="bg1"/>
                </a:solidFill>
                <a:latin typeface="Arial" panose="020B0604020202020204" pitchFamily="34" charset="0"/>
                <a:cs typeface="Arial" panose="020B0604020202020204" pitchFamily="34" charset="0"/>
              </a:endParaRPr>
            </a:p>
          </xdr:txBody>
        </xdr:sp>
      </xdr:grpSp>
      <xdr:grpSp>
        <xdr:nvGrpSpPr>
          <xdr:cNvPr id="529" name="Group 528">
            <a:extLst>
              <a:ext uri="{FF2B5EF4-FFF2-40B4-BE49-F238E27FC236}">
                <a16:creationId xmlns:a16="http://schemas.microsoft.com/office/drawing/2014/main" id="{BDC2A36F-F0B7-43A8-966C-22622D570591}"/>
              </a:ext>
            </a:extLst>
          </xdr:cNvPr>
          <xdr:cNvGrpSpPr/>
        </xdr:nvGrpSpPr>
        <xdr:grpSpPr>
          <a:xfrm>
            <a:off x="5029200" y="6381750"/>
            <a:ext cx="1744729" cy="294872"/>
            <a:chOff x="3104216" y="6396317"/>
            <a:chExt cx="1744729" cy="294872"/>
          </a:xfrm>
        </xdr:grpSpPr>
        <xdr:sp macro="" textlink="">
          <xdr:nvSpPr>
            <xdr:cNvPr id="530" name="Rectangle: Rounded Corners 529">
              <a:extLst>
                <a:ext uri="{FF2B5EF4-FFF2-40B4-BE49-F238E27FC236}">
                  <a16:creationId xmlns:a16="http://schemas.microsoft.com/office/drawing/2014/main" id="{97D45A57-424C-4CC2-940A-33635D066B2D}"/>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31" name="Group 530">
              <a:extLst>
                <a:ext uri="{FF2B5EF4-FFF2-40B4-BE49-F238E27FC236}">
                  <a16:creationId xmlns:a16="http://schemas.microsoft.com/office/drawing/2014/main" id="{A08B26EE-8798-4770-B895-51D09D1F0D62}"/>
                </a:ext>
              </a:extLst>
            </xdr:cNvPr>
            <xdr:cNvGrpSpPr/>
          </xdr:nvGrpSpPr>
          <xdr:grpSpPr>
            <a:xfrm>
              <a:off x="3134445" y="6396317"/>
              <a:ext cx="1714500" cy="294872"/>
              <a:chOff x="3162300" y="4596092"/>
              <a:chExt cx="1714500" cy="294872"/>
            </a:xfrm>
          </xdr:grpSpPr>
          <xdr:sp macro="" textlink="">
            <xdr:nvSpPr>
              <xdr:cNvPr id="532" name="TextBox 531">
                <a:extLst>
                  <a:ext uri="{FF2B5EF4-FFF2-40B4-BE49-F238E27FC236}">
                    <a16:creationId xmlns:a16="http://schemas.microsoft.com/office/drawing/2014/main" id="{F5A6B7F9-FF04-4EBB-8BFA-75DD0839EA06}"/>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3">
            <xdr:nvSpPr>
              <xdr:cNvPr id="533" name="TextBox 532">
                <a:extLst>
                  <a:ext uri="{FF2B5EF4-FFF2-40B4-BE49-F238E27FC236}">
                    <a16:creationId xmlns:a16="http://schemas.microsoft.com/office/drawing/2014/main" id="{1149AD93-BB81-45B3-B93E-68C6D29219C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11D52B6-7567-4DDA-AD2F-747B3A79CED3}" type="TxLink">
                  <a:rPr lang="en-US" sz="1200" b="1" i="0" u="none" strike="noStrike">
                    <a:solidFill>
                      <a:srgbClr val="000000"/>
                    </a:solidFill>
                    <a:latin typeface="Calibri"/>
                    <a:cs typeface="Calibri"/>
                  </a:rPr>
                  <a:pPr algn="r"/>
                  <a:t> £-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534" name="Group 533">
            <a:extLst>
              <a:ext uri="{FF2B5EF4-FFF2-40B4-BE49-F238E27FC236}">
                <a16:creationId xmlns:a16="http://schemas.microsoft.com/office/drawing/2014/main" id="{296E9541-7E80-4105-BF73-9F9B7462BB12}"/>
              </a:ext>
            </a:extLst>
          </xdr:cNvPr>
          <xdr:cNvGrpSpPr/>
        </xdr:nvGrpSpPr>
        <xdr:grpSpPr>
          <a:xfrm>
            <a:off x="6973019" y="6386791"/>
            <a:ext cx="1744729" cy="294872"/>
            <a:chOff x="3104216" y="6396317"/>
            <a:chExt cx="1744729" cy="294872"/>
          </a:xfrm>
        </xdr:grpSpPr>
        <xdr:sp macro="" textlink="">
          <xdr:nvSpPr>
            <xdr:cNvPr id="535" name="Rectangle: Rounded Corners 534">
              <a:extLst>
                <a:ext uri="{FF2B5EF4-FFF2-40B4-BE49-F238E27FC236}">
                  <a16:creationId xmlns:a16="http://schemas.microsoft.com/office/drawing/2014/main" id="{8E9C60E5-B4A9-427E-ADAD-1E3F9CDD19D3}"/>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36" name="Group 535">
              <a:extLst>
                <a:ext uri="{FF2B5EF4-FFF2-40B4-BE49-F238E27FC236}">
                  <a16:creationId xmlns:a16="http://schemas.microsoft.com/office/drawing/2014/main" id="{84F8EFEE-85A0-46EB-B1F0-CBB3E826FF6A}"/>
                </a:ext>
              </a:extLst>
            </xdr:cNvPr>
            <xdr:cNvGrpSpPr/>
          </xdr:nvGrpSpPr>
          <xdr:grpSpPr>
            <a:xfrm>
              <a:off x="3134445" y="6396317"/>
              <a:ext cx="1714500" cy="294872"/>
              <a:chOff x="3162300" y="4596092"/>
              <a:chExt cx="1714500" cy="294872"/>
            </a:xfrm>
          </xdr:grpSpPr>
          <xdr:sp macro="" textlink="">
            <xdr:nvSpPr>
              <xdr:cNvPr id="537" name="TextBox 536">
                <a:extLst>
                  <a:ext uri="{FF2B5EF4-FFF2-40B4-BE49-F238E27FC236}">
                    <a16:creationId xmlns:a16="http://schemas.microsoft.com/office/drawing/2014/main" id="{7F5E92A0-2A5F-4CF2-8AD3-1743C0FB0F3C}"/>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4">
            <xdr:nvSpPr>
              <xdr:cNvPr id="538" name="TextBox 537">
                <a:extLst>
                  <a:ext uri="{FF2B5EF4-FFF2-40B4-BE49-F238E27FC236}">
                    <a16:creationId xmlns:a16="http://schemas.microsoft.com/office/drawing/2014/main" id="{1A27DEA1-DB66-4D83-8FB6-2975E4AAF700}"/>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9D3ECB7-CD02-4083-A7E2-066EEA8B8DC1}" type="TxLink">
                  <a:rPr lang="en-US" sz="1200" b="1" i="0" u="none" strike="noStrike">
                    <a:solidFill>
                      <a:srgbClr val="000000"/>
                    </a:solidFill>
                    <a:latin typeface="Calibri"/>
                    <a:cs typeface="Calibri"/>
                  </a:rPr>
                  <a:pPr algn="r"/>
                  <a:t> £-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539" name="Group 538">
            <a:extLst>
              <a:ext uri="{FF2B5EF4-FFF2-40B4-BE49-F238E27FC236}">
                <a16:creationId xmlns:a16="http://schemas.microsoft.com/office/drawing/2014/main" id="{D83511CF-25C8-4330-90D7-AD90A9F14F47}"/>
              </a:ext>
            </a:extLst>
          </xdr:cNvPr>
          <xdr:cNvGrpSpPr/>
        </xdr:nvGrpSpPr>
        <xdr:grpSpPr>
          <a:xfrm>
            <a:off x="8878019" y="6386791"/>
            <a:ext cx="1744729" cy="294872"/>
            <a:chOff x="3104216" y="6396317"/>
            <a:chExt cx="1744729" cy="294872"/>
          </a:xfrm>
        </xdr:grpSpPr>
        <xdr:sp macro="" textlink="">
          <xdr:nvSpPr>
            <xdr:cNvPr id="540" name="Rectangle: Rounded Corners 539">
              <a:extLst>
                <a:ext uri="{FF2B5EF4-FFF2-40B4-BE49-F238E27FC236}">
                  <a16:creationId xmlns:a16="http://schemas.microsoft.com/office/drawing/2014/main" id="{F1BA98FC-B92C-4F4E-8FAA-506B8B34265F}"/>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1" name="Group 540">
              <a:extLst>
                <a:ext uri="{FF2B5EF4-FFF2-40B4-BE49-F238E27FC236}">
                  <a16:creationId xmlns:a16="http://schemas.microsoft.com/office/drawing/2014/main" id="{0B19E551-1B1B-40C3-9D80-88141BB6E8F8}"/>
                </a:ext>
              </a:extLst>
            </xdr:cNvPr>
            <xdr:cNvGrpSpPr/>
          </xdr:nvGrpSpPr>
          <xdr:grpSpPr>
            <a:xfrm>
              <a:off x="3134445" y="6396317"/>
              <a:ext cx="1714500" cy="294872"/>
              <a:chOff x="3162300" y="4596092"/>
              <a:chExt cx="1714500" cy="294872"/>
            </a:xfrm>
          </xdr:grpSpPr>
          <xdr:sp macro="" textlink="">
            <xdr:nvSpPr>
              <xdr:cNvPr id="542" name="TextBox 541">
                <a:extLst>
                  <a:ext uri="{FF2B5EF4-FFF2-40B4-BE49-F238E27FC236}">
                    <a16:creationId xmlns:a16="http://schemas.microsoft.com/office/drawing/2014/main" id="{A31EFA80-B4E5-4F52-9B41-3F4B6C3AE589}"/>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5">
            <xdr:nvSpPr>
              <xdr:cNvPr id="543" name="TextBox 542">
                <a:extLst>
                  <a:ext uri="{FF2B5EF4-FFF2-40B4-BE49-F238E27FC236}">
                    <a16:creationId xmlns:a16="http://schemas.microsoft.com/office/drawing/2014/main" id="{7C317CC0-1061-45B7-A494-73F08105A9BB}"/>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84BEF4-150F-483A-B840-C2E216C3DA72}" type="TxLink">
                  <a:rPr lang="en-US" sz="1200" b="1" i="0" u="none" strike="noStrike">
                    <a:solidFill>
                      <a:srgbClr val="000000"/>
                    </a:solidFill>
                    <a:latin typeface="Calibri"/>
                    <a:cs typeface="Calibri"/>
                  </a:rPr>
                  <a:pPr algn="r"/>
                  <a:t> £2,881.70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544" name="Group 543">
            <a:extLst>
              <a:ext uri="{FF2B5EF4-FFF2-40B4-BE49-F238E27FC236}">
                <a16:creationId xmlns:a16="http://schemas.microsoft.com/office/drawing/2014/main" id="{E28B8B1A-E1C3-4673-A626-323F80EEF5BC}"/>
              </a:ext>
            </a:extLst>
          </xdr:cNvPr>
          <xdr:cNvGrpSpPr/>
        </xdr:nvGrpSpPr>
        <xdr:grpSpPr>
          <a:xfrm>
            <a:off x="10811594" y="6386791"/>
            <a:ext cx="1744729" cy="294872"/>
            <a:chOff x="3104216" y="6396317"/>
            <a:chExt cx="1744729" cy="294872"/>
          </a:xfrm>
        </xdr:grpSpPr>
        <xdr:sp macro="" textlink="">
          <xdr:nvSpPr>
            <xdr:cNvPr id="545" name="Rectangle: Rounded Corners 544">
              <a:extLst>
                <a:ext uri="{FF2B5EF4-FFF2-40B4-BE49-F238E27FC236}">
                  <a16:creationId xmlns:a16="http://schemas.microsoft.com/office/drawing/2014/main" id="{F30B8CCD-1EE9-43E0-9218-67BE6545C442}"/>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6" name="Group 545">
              <a:extLst>
                <a:ext uri="{FF2B5EF4-FFF2-40B4-BE49-F238E27FC236}">
                  <a16:creationId xmlns:a16="http://schemas.microsoft.com/office/drawing/2014/main" id="{3605EE7E-A5BF-4A4B-955C-7F93ADA0CCD8}"/>
                </a:ext>
              </a:extLst>
            </xdr:cNvPr>
            <xdr:cNvGrpSpPr/>
          </xdr:nvGrpSpPr>
          <xdr:grpSpPr>
            <a:xfrm>
              <a:off x="3134445" y="6396317"/>
              <a:ext cx="1714500" cy="294872"/>
              <a:chOff x="3162300" y="4596092"/>
              <a:chExt cx="1714500" cy="294872"/>
            </a:xfrm>
          </xdr:grpSpPr>
          <xdr:sp macro="" textlink="">
            <xdr:nvSpPr>
              <xdr:cNvPr id="547" name="TextBox 546">
                <a:extLst>
                  <a:ext uri="{FF2B5EF4-FFF2-40B4-BE49-F238E27FC236}">
                    <a16:creationId xmlns:a16="http://schemas.microsoft.com/office/drawing/2014/main" id="{71D69B6D-21A5-4C73-9C2E-CA121559A5CB}"/>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6">
            <xdr:nvSpPr>
              <xdr:cNvPr id="548" name="TextBox 547">
                <a:extLst>
                  <a:ext uri="{FF2B5EF4-FFF2-40B4-BE49-F238E27FC236}">
                    <a16:creationId xmlns:a16="http://schemas.microsoft.com/office/drawing/2014/main" id="{FFC97AB1-D843-438C-8CC5-7D58291D22A9}"/>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00C41AA-1B90-4CAD-AF66-F977A591683E}" type="TxLink">
                  <a:rPr lang="en-US" sz="1200" b="1" i="0" u="none" strike="noStrike">
                    <a:solidFill>
                      <a:srgbClr val="000000"/>
                    </a:solidFill>
                    <a:latin typeface="Calibri"/>
                    <a:cs typeface="Calibri"/>
                  </a:rPr>
                  <a:pPr algn="r"/>
                  <a:t> £7,441.26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nvGrpSpPr>
          <xdr:cNvPr id="549" name="Group 548">
            <a:extLst>
              <a:ext uri="{FF2B5EF4-FFF2-40B4-BE49-F238E27FC236}">
                <a16:creationId xmlns:a16="http://schemas.microsoft.com/office/drawing/2014/main" id="{D0D23D77-3B23-4863-8DA4-5A0606515C22}"/>
              </a:ext>
            </a:extLst>
          </xdr:cNvPr>
          <xdr:cNvGrpSpPr/>
        </xdr:nvGrpSpPr>
        <xdr:grpSpPr>
          <a:xfrm>
            <a:off x="12707069" y="6377266"/>
            <a:ext cx="1744729" cy="294872"/>
            <a:chOff x="3104216" y="6396317"/>
            <a:chExt cx="1744729" cy="294872"/>
          </a:xfrm>
        </xdr:grpSpPr>
        <xdr:sp macro="" textlink="">
          <xdr:nvSpPr>
            <xdr:cNvPr id="550" name="Rectangle: Rounded Corners 549">
              <a:extLst>
                <a:ext uri="{FF2B5EF4-FFF2-40B4-BE49-F238E27FC236}">
                  <a16:creationId xmlns:a16="http://schemas.microsoft.com/office/drawing/2014/main" id="{133CD055-A861-4C96-80BF-7293E4142790}"/>
                </a:ext>
              </a:extLst>
            </xdr:cNvPr>
            <xdr:cNvSpPr/>
          </xdr:nvSpPr>
          <xdr:spPr>
            <a:xfrm>
              <a:off x="3104216" y="6410325"/>
              <a:ext cx="1715434" cy="266700"/>
            </a:xfrm>
            <a:prstGeom prst="roundRect">
              <a:avLst>
                <a:gd name="adj" fmla="val 11122"/>
              </a:avLst>
            </a:prstGeom>
            <a:gradFill flip="none" rotWithShape="1">
              <a:gsLst>
                <a:gs pos="0">
                  <a:schemeClr val="accent2"/>
                </a:gs>
                <a:gs pos="76000">
                  <a:schemeClr val="accent4"/>
                </a:gs>
                <a:gs pos="100000">
                  <a:srgbClr val="2F292D">
                    <a:alpha val="87000"/>
                  </a:srgbClr>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51" name="Group 550">
              <a:extLst>
                <a:ext uri="{FF2B5EF4-FFF2-40B4-BE49-F238E27FC236}">
                  <a16:creationId xmlns:a16="http://schemas.microsoft.com/office/drawing/2014/main" id="{1CE964A1-3A3B-483D-8CB1-76174281D6F8}"/>
                </a:ext>
              </a:extLst>
            </xdr:cNvPr>
            <xdr:cNvGrpSpPr/>
          </xdr:nvGrpSpPr>
          <xdr:grpSpPr>
            <a:xfrm>
              <a:off x="3134445" y="6396317"/>
              <a:ext cx="1714500" cy="294872"/>
              <a:chOff x="3162300" y="4596092"/>
              <a:chExt cx="1714500" cy="294872"/>
            </a:xfrm>
          </xdr:grpSpPr>
          <xdr:sp macro="" textlink="">
            <xdr:nvSpPr>
              <xdr:cNvPr id="552" name="TextBox 551">
                <a:extLst>
                  <a:ext uri="{FF2B5EF4-FFF2-40B4-BE49-F238E27FC236}">
                    <a16:creationId xmlns:a16="http://schemas.microsoft.com/office/drawing/2014/main" id="{18F682DC-5389-4F6F-8ACB-63BB6BA651C6}"/>
                  </a:ext>
                </a:extLst>
              </xdr:cNvPr>
              <xdr:cNvSpPr txBox="1"/>
            </xdr:nvSpPr>
            <xdr:spPr>
              <a:xfrm>
                <a:off x="3162300" y="4596092"/>
                <a:ext cx="656185"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tx1">
                        <a:lumMod val="75000"/>
                        <a:lumOff val="25000"/>
                      </a:schemeClr>
                    </a:solidFill>
                    <a:latin typeface="Arial" panose="020B0604020202020204" pitchFamily="34" charset="0"/>
                    <a:cs typeface="Arial" panose="020B0604020202020204" pitchFamily="34" charset="0"/>
                  </a:rPr>
                  <a:t>Total</a:t>
                </a:r>
              </a:p>
            </xdr:txBody>
          </xdr:sp>
          <xdr:sp macro="" textlink="'Dashboard Workings'!Q7">
            <xdr:nvSpPr>
              <xdr:cNvPr id="553" name="TextBox 552">
                <a:extLst>
                  <a:ext uri="{FF2B5EF4-FFF2-40B4-BE49-F238E27FC236}">
                    <a16:creationId xmlns:a16="http://schemas.microsoft.com/office/drawing/2014/main" id="{9C1D52E0-32C1-4F23-96E9-56CE4E2BDD2D}"/>
                  </a:ext>
                </a:extLst>
              </xdr:cNvPr>
              <xdr:cNvSpPr txBox="1"/>
            </xdr:nvSpPr>
            <xdr:spPr>
              <a:xfrm>
                <a:off x="4019550" y="4596092"/>
                <a:ext cx="857250" cy="294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5D6D47C-7CAB-429A-B055-E1D4C32B761B}" type="TxLink">
                  <a:rPr lang="en-US" sz="1200" b="1" i="0" u="none" strike="noStrike">
                    <a:solidFill>
                      <a:srgbClr val="000000"/>
                    </a:solidFill>
                    <a:latin typeface="Calibri"/>
                    <a:cs typeface="Calibri"/>
                  </a:rPr>
                  <a:pPr algn="r"/>
                  <a:t> £1,937.29 </a:t>
                </a:fld>
                <a:endParaRPr lang="en-ZA" sz="1200" b="1">
                  <a:solidFill>
                    <a:schemeClr val="tx1"/>
                  </a:solidFill>
                  <a:latin typeface="Arial" panose="020B0604020202020204" pitchFamily="34" charset="0"/>
                  <a:cs typeface="Arial" panose="020B0604020202020204" pitchFamily="34" charset="0"/>
                </a:endParaRPr>
              </a:p>
            </xdr:txBody>
          </xdr:sp>
        </xdr:grpSp>
      </xdr:grpSp>
    </xdr:grpSp>
    <xdr:clientData/>
  </xdr:twoCellAnchor>
  <xdr:twoCellAnchor>
    <xdr:from>
      <xdr:col>17</xdr:col>
      <xdr:colOff>133350</xdr:colOff>
      <xdr:row>5</xdr:row>
      <xdr:rowOff>0</xdr:rowOff>
    </xdr:from>
    <xdr:to>
      <xdr:col>18</xdr:col>
      <xdr:colOff>247650</xdr:colOff>
      <xdr:row>6</xdr:row>
      <xdr:rowOff>85725</xdr:rowOff>
    </xdr:to>
    <xdr:grpSp>
      <xdr:nvGrpSpPr>
        <xdr:cNvPr id="556" name="Group 555">
          <a:extLst>
            <a:ext uri="{FF2B5EF4-FFF2-40B4-BE49-F238E27FC236}">
              <a16:creationId xmlns:a16="http://schemas.microsoft.com/office/drawing/2014/main" id="{C9AB3A36-335A-4A99-B457-AD5B2417CCF4}"/>
            </a:ext>
          </a:extLst>
        </xdr:cNvPr>
        <xdr:cNvGrpSpPr/>
      </xdr:nvGrpSpPr>
      <xdr:grpSpPr>
        <a:xfrm>
          <a:off x="11036300" y="920750"/>
          <a:ext cx="755650" cy="269875"/>
          <a:chOff x="1123950" y="2124075"/>
          <a:chExt cx="723900" cy="276225"/>
        </a:xfrm>
      </xdr:grpSpPr>
      <xdr:sp macro="[0]!Dashboard_VMCosts_1_Group262_Click" textlink="">
        <xdr:nvSpPr>
          <xdr:cNvPr id="554" name="Rectangle: Rounded Corners 553">
            <a:extLst>
              <a:ext uri="{FF2B5EF4-FFF2-40B4-BE49-F238E27FC236}">
                <a16:creationId xmlns:a16="http://schemas.microsoft.com/office/drawing/2014/main" id="{F5BAA0DB-643D-477F-B55A-7BDF35A23A95}"/>
              </a:ext>
            </a:extLst>
          </xdr:cNvPr>
          <xdr:cNvSpPr/>
        </xdr:nvSpPr>
        <xdr:spPr>
          <a:xfrm>
            <a:off x="1123950" y="2124075"/>
            <a:ext cx="723900" cy="2762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sp macro="[0]!Dashboard_VMCosts_1_Group262_Click" textlink="">
        <xdr:nvSpPr>
          <xdr:cNvPr id="555" name="Rectangle: Rounded Corners 554">
            <a:extLst>
              <a:ext uri="{FF2B5EF4-FFF2-40B4-BE49-F238E27FC236}">
                <a16:creationId xmlns:a16="http://schemas.microsoft.com/office/drawing/2014/main" id="{8DCB8FCA-1B44-404F-9DA6-86BE8A282079}"/>
              </a:ext>
            </a:extLst>
          </xdr:cNvPr>
          <xdr:cNvSpPr/>
        </xdr:nvSpPr>
        <xdr:spPr>
          <a:xfrm>
            <a:off x="1152524" y="2152650"/>
            <a:ext cx="238125" cy="219075"/>
          </a:xfrm>
          <a:prstGeom prst="roundRect">
            <a:avLst/>
          </a:prstGeom>
          <a:gradFill>
            <a:gsLst>
              <a:gs pos="0">
                <a:schemeClr val="accent2"/>
              </a:gs>
              <a:gs pos="30000">
                <a:schemeClr val="accent2"/>
              </a:gs>
              <a:gs pos="100000">
                <a:schemeClr val="accent4"/>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grpSp>
    <xdr:clientData/>
  </xdr:twoCellAnchor>
  <xdr:twoCellAnchor>
    <xdr:from>
      <xdr:col>14</xdr:col>
      <xdr:colOff>489857</xdr:colOff>
      <xdr:row>4</xdr:row>
      <xdr:rowOff>95252</xdr:rowOff>
    </xdr:from>
    <xdr:to>
      <xdr:col>17</xdr:col>
      <xdr:colOff>76200</xdr:colOff>
      <xdr:row>7</xdr:row>
      <xdr:rowOff>54430</xdr:rowOff>
    </xdr:to>
    <xdr:sp macro="" textlink="">
      <xdr:nvSpPr>
        <xdr:cNvPr id="557" name="TextBox 556">
          <a:extLst>
            <a:ext uri="{FF2B5EF4-FFF2-40B4-BE49-F238E27FC236}">
              <a16:creationId xmlns:a16="http://schemas.microsoft.com/office/drawing/2014/main" id="{8AC02DC2-AB79-403A-AADB-49A32FE3304D}"/>
            </a:ext>
          </a:extLst>
        </xdr:cNvPr>
        <xdr:cNvSpPr txBox="1"/>
      </xdr:nvSpPr>
      <xdr:spPr>
        <a:xfrm>
          <a:off x="9024257" y="857252"/>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flip="none" rotWithShape="1">
                <a:gsLst>
                  <a:gs pos="0">
                    <a:schemeClr val="accent2"/>
                  </a:gs>
                  <a:gs pos="17000">
                    <a:schemeClr val="accent2">
                      <a:lumMod val="75000"/>
                    </a:schemeClr>
                  </a:gs>
                  <a:gs pos="100000">
                    <a:schemeClr val="accent4"/>
                  </a:gs>
                </a:gsLst>
                <a:lin ang="2700000" scaled="1"/>
                <a:tileRect/>
              </a:gradFill>
              <a:latin typeface="Arial" panose="020B0604020202020204" pitchFamily="34" charset="0"/>
              <a:cs typeface="Arial" panose="020B0604020202020204" pitchFamily="34" charset="0"/>
            </a:rPr>
            <a:t>Current</a:t>
          </a:r>
        </a:p>
      </xdr:txBody>
    </xdr:sp>
    <xdr:clientData/>
  </xdr:twoCellAnchor>
  <xdr:twoCellAnchor>
    <xdr:from>
      <xdr:col>18</xdr:col>
      <xdr:colOff>423182</xdr:colOff>
      <xdr:row>4</xdr:row>
      <xdr:rowOff>85727</xdr:rowOff>
    </xdr:from>
    <xdr:to>
      <xdr:col>21</xdr:col>
      <xdr:colOff>9525</xdr:colOff>
      <xdr:row>7</xdr:row>
      <xdr:rowOff>44905</xdr:rowOff>
    </xdr:to>
    <xdr:sp macro="" textlink="">
      <xdr:nvSpPr>
        <xdr:cNvPr id="558" name="TextBox 557">
          <a:extLst>
            <a:ext uri="{FF2B5EF4-FFF2-40B4-BE49-F238E27FC236}">
              <a16:creationId xmlns:a16="http://schemas.microsoft.com/office/drawing/2014/main" id="{C7B5B63B-CB13-41B0-ADB8-08F9EFE402A0}"/>
            </a:ext>
          </a:extLst>
        </xdr:cNvPr>
        <xdr:cNvSpPr txBox="1"/>
      </xdr:nvSpPr>
      <xdr:spPr>
        <a:xfrm>
          <a:off x="11395982" y="847727"/>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solidFill>
                <a:schemeClr val="bg1"/>
              </a:solidFill>
              <a:latin typeface="Arial" panose="020B0604020202020204" pitchFamily="34" charset="0"/>
              <a:cs typeface="Arial" panose="020B0604020202020204" pitchFamily="34" charset="0"/>
            </a:rPr>
            <a:t>New</a:t>
          </a:r>
        </a:p>
      </xdr:txBody>
    </xdr:sp>
    <xdr:clientData/>
  </xdr:twoCellAnchor>
  <xdr:twoCellAnchor>
    <xdr:from>
      <xdr:col>20</xdr:col>
      <xdr:colOff>299357</xdr:colOff>
      <xdr:row>4</xdr:row>
      <xdr:rowOff>104777</xdr:rowOff>
    </xdr:from>
    <xdr:to>
      <xdr:col>22</xdr:col>
      <xdr:colOff>495300</xdr:colOff>
      <xdr:row>7</xdr:row>
      <xdr:rowOff>63955</xdr:rowOff>
    </xdr:to>
    <xdr:sp macro="" textlink="">
      <xdr:nvSpPr>
        <xdr:cNvPr id="559" name="TextBox 558">
          <a:extLst>
            <a:ext uri="{FF2B5EF4-FFF2-40B4-BE49-F238E27FC236}">
              <a16:creationId xmlns:a16="http://schemas.microsoft.com/office/drawing/2014/main" id="{97BB3DA6-C9A5-4006-88DF-3C2E58159429}"/>
            </a:ext>
          </a:extLst>
        </xdr:cNvPr>
        <xdr:cNvSpPr txBox="1"/>
      </xdr:nvSpPr>
      <xdr:spPr>
        <a:xfrm>
          <a:off x="12491357" y="866777"/>
          <a:ext cx="1415143"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RI VM's:</a:t>
          </a:r>
          <a:r>
            <a:rPr lang="en-ZA" sz="2400" b="1" baseline="0">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rPr>
            <a:t> </a:t>
          </a:r>
          <a:endParaRPr lang="en-ZA" sz="2400" b="1">
            <a:gradFill>
              <a:gsLst>
                <a:gs pos="0">
                  <a:schemeClr val="accent6"/>
                </a:gs>
                <a:gs pos="48000">
                  <a:schemeClr val="accent6">
                    <a:lumMod val="75000"/>
                  </a:schemeClr>
                </a:gs>
                <a:gs pos="100000">
                  <a:schemeClr val="bg2">
                    <a:lumMod val="25000"/>
                  </a:schemeClr>
                </a:gs>
              </a:gsLst>
              <a:lin ang="2700000" scaled="1"/>
            </a:gradFill>
            <a:latin typeface="Arial" panose="020B0604020202020204" pitchFamily="34" charset="0"/>
            <a:cs typeface="Arial" panose="020B0604020202020204" pitchFamily="34" charset="0"/>
          </a:endParaRPr>
        </a:p>
      </xdr:txBody>
    </xdr:sp>
    <xdr:clientData/>
  </xdr:twoCellAnchor>
  <xdr:twoCellAnchor>
    <xdr:from>
      <xdr:col>22</xdr:col>
      <xdr:colOff>432708</xdr:colOff>
      <xdr:row>4</xdr:row>
      <xdr:rowOff>104777</xdr:rowOff>
    </xdr:from>
    <xdr:to>
      <xdr:col>24</xdr:col>
      <xdr:colOff>333376</xdr:colOff>
      <xdr:row>7</xdr:row>
      <xdr:rowOff>63955</xdr:rowOff>
    </xdr:to>
    <xdr:sp macro="" textlink="'Dashboard Workings'!D67">
      <xdr:nvSpPr>
        <xdr:cNvPr id="560" name="TextBox 559">
          <a:extLst>
            <a:ext uri="{FF2B5EF4-FFF2-40B4-BE49-F238E27FC236}">
              <a16:creationId xmlns:a16="http://schemas.microsoft.com/office/drawing/2014/main" id="{6DCDFB1C-629B-4DE3-BA7C-F6BA2E546D7A}"/>
            </a:ext>
          </a:extLst>
        </xdr:cNvPr>
        <xdr:cNvSpPr txBox="1"/>
      </xdr:nvSpPr>
      <xdr:spPr>
        <a:xfrm>
          <a:off x="13843908" y="866777"/>
          <a:ext cx="1119868" cy="530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B16A502-1A07-4683-8160-A1007E965118}" type="TxLink">
            <a:rPr lang="en-US" sz="2400" b="1" i="0" u="none" strike="noStrike">
              <a:solidFill>
                <a:schemeClr val="bg1"/>
              </a:solidFill>
              <a:latin typeface="Calibri"/>
              <a:cs typeface="Calibri"/>
            </a:rPr>
            <a:pPr algn="l"/>
            <a:t>123</a:t>
          </a:fld>
          <a:endParaRPr lang="en-ZA" sz="48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19050</xdr:colOff>
      <xdr:row>68</xdr:row>
      <xdr:rowOff>19050</xdr:rowOff>
    </xdr:from>
    <xdr:to>
      <xdr:col>2</xdr:col>
      <xdr:colOff>742950</xdr:colOff>
      <xdr:row>68</xdr:row>
      <xdr:rowOff>295275</xdr:rowOff>
    </xdr:to>
    <xdr:grpSp>
      <xdr:nvGrpSpPr>
        <xdr:cNvPr id="5" name="Group 4">
          <a:extLst>
            <a:ext uri="{FF2B5EF4-FFF2-40B4-BE49-F238E27FC236}">
              <a16:creationId xmlns:a16="http://schemas.microsoft.com/office/drawing/2014/main" id="{5DAB60ED-362F-4446-A524-1309255FFBDE}"/>
            </a:ext>
          </a:extLst>
        </xdr:cNvPr>
        <xdr:cNvGrpSpPr/>
      </xdr:nvGrpSpPr>
      <xdr:grpSpPr>
        <a:xfrm>
          <a:off x="2078264" y="12374336"/>
          <a:ext cx="723900" cy="269875"/>
          <a:chOff x="1123950" y="2124075"/>
          <a:chExt cx="723900" cy="276225"/>
        </a:xfrm>
      </xdr:grpSpPr>
      <xdr:sp macro="" textlink="">
        <xdr:nvSpPr>
          <xdr:cNvPr id="6" name="Rectangle: Rounded Corners 5">
            <a:extLst>
              <a:ext uri="{FF2B5EF4-FFF2-40B4-BE49-F238E27FC236}">
                <a16:creationId xmlns:a16="http://schemas.microsoft.com/office/drawing/2014/main" id="{DFB49AD2-DEC0-468E-BB7D-CD45D9395F9E}"/>
              </a:ext>
            </a:extLst>
          </xdr:cNvPr>
          <xdr:cNvSpPr/>
        </xdr:nvSpPr>
        <xdr:spPr>
          <a:xfrm>
            <a:off x="1123950" y="2124075"/>
            <a:ext cx="723900" cy="2762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sp macro="" textlink="">
        <xdr:nvSpPr>
          <xdr:cNvPr id="7" name="Rectangle: Rounded Corners 6">
            <a:extLst>
              <a:ext uri="{FF2B5EF4-FFF2-40B4-BE49-F238E27FC236}">
                <a16:creationId xmlns:a16="http://schemas.microsoft.com/office/drawing/2014/main" id="{43569A4A-C4B4-443D-8404-9E37EAC562C7}"/>
              </a:ext>
            </a:extLst>
          </xdr:cNvPr>
          <xdr:cNvSpPr/>
        </xdr:nvSpPr>
        <xdr:spPr>
          <a:xfrm>
            <a:off x="1152524" y="2152650"/>
            <a:ext cx="238125" cy="219075"/>
          </a:xfrm>
          <a:prstGeom prst="roundRect">
            <a:avLst/>
          </a:prstGeom>
          <a:gradFill>
            <a:gsLst>
              <a:gs pos="0">
                <a:schemeClr val="accent2"/>
              </a:gs>
              <a:gs pos="30000">
                <a:schemeClr val="accent2"/>
              </a:gs>
              <a:gs pos="100000">
                <a:schemeClr val="accent4"/>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grpSp>
    <xdr:clientData/>
  </xdr:twoCellAnchor>
  <xdr:twoCellAnchor>
    <xdr:from>
      <xdr:col>2</xdr:col>
      <xdr:colOff>19050</xdr:colOff>
      <xdr:row>69</xdr:row>
      <xdr:rowOff>28575</xdr:rowOff>
    </xdr:from>
    <xdr:to>
      <xdr:col>2</xdr:col>
      <xdr:colOff>742950</xdr:colOff>
      <xdr:row>69</xdr:row>
      <xdr:rowOff>304800</xdr:rowOff>
    </xdr:to>
    <xdr:grpSp>
      <xdr:nvGrpSpPr>
        <xdr:cNvPr id="8" name="Group 7">
          <a:extLst>
            <a:ext uri="{FF2B5EF4-FFF2-40B4-BE49-F238E27FC236}">
              <a16:creationId xmlns:a16="http://schemas.microsoft.com/office/drawing/2014/main" id="{D47A1E8A-69A8-4CF8-9657-CF160AC9F3F8}"/>
            </a:ext>
          </a:extLst>
        </xdr:cNvPr>
        <xdr:cNvGrpSpPr/>
      </xdr:nvGrpSpPr>
      <xdr:grpSpPr>
        <a:xfrm>
          <a:off x="2078264" y="12674146"/>
          <a:ext cx="723900" cy="276225"/>
          <a:chOff x="1123950" y="2124075"/>
          <a:chExt cx="723900" cy="276225"/>
        </a:xfrm>
      </xdr:grpSpPr>
      <xdr:sp macro="" textlink="">
        <xdr:nvSpPr>
          <xdr:cNvPr id="9" name="Rectangle: Rounded Corners 8">
            <a:extLst>
              <a:ext uri="{FF2B5EF4-FFF2-40B4-BE49-F238E27FC236}">
                <a16:creationId xmlns:a16="http://schemas.microsoft.com/office/drawing/2014/main" id="{DADCB3C4-36CB-4E72-B74A-3DDB898C2D86}"/>
              </a:ext>
            </a:extLst>
          </xdr:cNvPr>
          <xdr:cNvSpPr/>
        </xdr:nvSpPr>
        <xdr:spPr>
          <a:xfrm>
            <a:off x="1123950" y="2124075"/>
            <a:ext cx="723900" cy="2762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9C0ED822-C009-4559-963A-90692D62A131}"/>
              </a:ext>
            </a:extLst>
          </xdr:cNvPr>
          <xdr:cNvSpPr/>
        </xdr:nvSpPr>
        <xdr:spPr>
          <a:xfrm>
            <a:off x="1571624" y="2152650"/>
            <a:ext cx="238125" cy="219075"/>
          </a:xfrm>
          <a:prstGeom prst="roundRect">
            <a:avLst/>
          </a:prstGeom>
          <a:gradFill>
            <a:gsLst>
              <a:gs pos="0">
                <a:schemeClr val="accent2"/>
              </a:gs>
              <a:gs pos="30000">
                <a:schemeClr val="accent2"/>
              </a:gs>
              <a:gs pos="100000">
                <a:schemeClr val="accent4"/>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indent="0" algn="l" defTabSz="914400" rtl="0" eaLnBrk="1" latinLnBrk="0" hangingPunct="1"/>
            <a:endParaRPr lang="en-ZA" sz="1100" kern="1200">
              <a:solidFill>
                <a:schemeClr val="lt1"/>
              </a:solidFill>
              <a:latin typeface="+mn-lt"/>
              <a:ea typeface="+mn-ea"/>
              <a:cs typeface="+mn-cs"/>
            </a:endParaRPr>
          </a:p>
        </xdr:txBody>
      </xdr:sp>
    </xdr:grpSp>
    <xdr:clientData/>
  </xdr:twoCellAnchor>
  <xdr:twoCellAnchor editAs="oneCell">
    <xdr:from>
      <xdr:col>7</xdr:col>
      <xdr:colOff>857250</xdr:colOff>
      <xdr:row>65</xdr:row>
      <xdr:rowOff>66675</xdr:rowOff>
    </xdr:from>
    <xdr:to>
      <xdr:col>8</xdr:col>
      <xdr:colOff>714374</xdr:colOff>
      <xdr:row>69</xdr:row>
      <xdr:rowOff>47624</xdr:rowOff>
    </xdr:to>
    <xdr:pic>
      <xdr:nvPicPr>
        <xdr:cNvPr id="3" name="Picture 2">
          <a:extLst>
            <a:ext uri="{FF2B5EF4-FFF2-40B4-BE49-F238E27FC236}">
              <a16:creationId xmlns:a16="http://schemas.microsoft.com/office/drawing/2014/main" id="{31802A4C-F3F4-4306-AF7B-B22657763E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29575" y="12468225"/>
          <a:ext cx="847724" cy="847724"/>
        </a:xfrm>
        <a:prstGeom prst="rect">
          <a:avLst/>
        </a:prstGeom>
      </xdr:spPr>
    </xdr:pic>
    <xdr:clientData/>
  </xdr:twoCellAnchor>
  <xdr:twoCellAnchor editAs="oneCell">
    <xdr:from>
      <xdr:col>9</xdr:col>
      <xdr:colOff>0</xdr:colOff>
      <xdr:row>67</xdr:row>
      <xdr:rowOff>0</xdr:rowOff>
    </xdr:from>
    <xdr:to>
      <xdr:col>9</xdr:col>
      <xdr:colOff>847724</xdr:colOff>
      <xdr:row>70</xdr:row>
      <xdr:rowOff>38099</xdr:rowOff>
    </xdr:to>
    <xdr:pic>
      <xdr:nvPicPr>
        <xdr:cNvPr id="11" name="Picture 10">
          <a:extLst>
            <a:ext uri="{FF2B5EF4-FFF2-40B4-BE49-F238E27FC236}">
              <a16:creationId xmlns:a16="http://schemas.microsoft.com/office/drawing/2014/main" id="{D7554962-C35C-4AFB-B7DF-5C2C01A91C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53525" y="12782550"/>
          <a:ext cx="847724" cy="84772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239972-B3F2-44F6-933E-9FFE9F212306}" name="Table47" displayName="Table47" ref="N1:Q43" totalsRowShown="0">
  <autoFilter ref="N1:Q43" xr:uid="{E346A057-4A5E-49BA-B817-E2CEC06C1516}"/>
  <tableColumns count="4">
    <tableColumn id="1" xr3:uid="{1A0C6FBD-EBEB-4D5D-B233-F1887C7E8995}" name="Column1"/>
    <tableColumn id="2" xr3:uid="{187BC5FF-284B-454D-8DDF-7E2119BD696F}" name="Current RI Count"/>
    <tableColumn id="4" xr3:uid="{DBED68FF-E66C-4103-ACDF-05B027909D4E}" name="New RI Count" dataDxfId="8"/>
    <tableColumn id="3" xr3:uid="{083325D4-259F-4130-95AC-D029A1C2EA1D}" name="RI Cost"/>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1DBA9-13ED-45A0-8E28-096AC18F188A}" name="Table1" displayName="Table1" ref="A1:C49" totalsRowShown="0">
  <autoFilter ref="A1:C49" xr:uid="{00000000-0009-0000-0100-000001000000}"/>
  <tableColumns count="3">
    <tableColumn id="1" xr3:uid="{AECB694C-0E74-4290-8689-CBBD89C1CE5F}" name="Row Labels"/>
    <tableColumn id="2" xr3:uid="{F08B30FE-284A-4084-8004-1C48322B8B09}" name="Count of NAME"/>
    <tableColumn id="3" xr3:uid="{FA2D90EF-22AA-4F90-912D-DB3B65A4FA7F}" name="Rightsize to 1 SKU below" dataDxfId="1"/>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DA8527-2E32-4629-8A21-51D8F87E8229}" name="Table24" displayName="Table24" ref="E1:F187" totalsRowShown="0">
  <autoFilter ref="E1:F187" xr:uid="{00000000-0009-0000-0100-000002000000}"/>
  <tableColumns count="2">
    <tableColumn id="1" xr3:uid="{CC8477DA-91BD-42D3-8D02-D71FCAD170E5}" name="Row Labels"/>
    <tableColumn id="2" xr3:uid="{D845F45F-91FD-4840-AFC6-2D405FC2C532}" name="Count of NAME"/>
  </tableColumns>
  <tableStyleInfo name="TableStyleMedium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413F39A-FF5F-4B4B-815D-C3AFD7FA5AC1}" name="Table3" displayName="Table3" ref="H1:I22" totalsRowShown="0">
  <autoFilter ref="H1:I22" xr:uid="{00000000-0009-0000-0100-000003000000}"/>
  <tableColumns count="2">
    <tableColumn id="1" xr3:uid="{E3814B73-A16B-4A3A-820A-5AE5207C8C57}" name="RI Product Names"/>
    <tableColumn id="2" xr3:uid="{19F523F0-055B-454F-B37E-885D7D10ADDB}" name="Column1"/>
  </tableColumns>
  <tableStyleInfo name="TableStyleMedium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85FA8-0E8E-4DC7-A3C2-62ECED6A4B26}" name="Table4" displayName="Table4" ref="K1:M14" totalsRowShown="0">
  <autoFilter ref="K1:M14" xr:uid="{00000000-0009-0000-0100-000004000000}"/>
  <tableColumns count="3">
    <tableColumn id="1" xr3:uid="{0B5D3FE5-CEA4-4E38-B90B-910D78B2AB72}" name="Column1"/>
    <tableColumn id="2" xr3:uid="{CF0B96AC-298C-4D0A-9943-6A0C1708573C}" name="Servers Count"/>
    <tableColumn id="3" xr3:uid="{2BA0EF60-A4AC-46BD-9B7B-C22B6884EACB}" name="RI Count"/>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083CBB-CB73-41F7-B336-B5FF7C0EA655}" name="Table2" displayName="Table2" ref="A1:N274" totalsRowShown="0" headerRowDxfId="0">
  <autoFilter ref="A1:N274" xr:uid="{88382A51-77BD-4F14-87A9-9B7A06A75B24}"/>
  <sortState xmlns:xlrd2="http://schemas.microsoft.com/office/spreadsheetml/2017/richdata2" ref="A2:N274">
    <sortCondition ref="A1:A274"/>
  </sortState>
  <tableColumns count="14">
    <tableColumn id="1" xr3:uid="{92F7FEFD-1B9D-40E7-8420-C79DCBB8AFC9}" name="Updated Server List"/>
    <tableColumn id="2" xr3:uid="{102DA794-0B2C-46F4-8AC7-CBB46F9FBEFE}" name="NAME"/>
    <tableColumn id="3" xr3:uid="{441E513B-5868-4436-AD82-2088834C5986}" name="OPERATING SYSTEM"/>
    <tableColumn id="4" xr3:uid="{00525176-FB85-4058-881D-214F89E351CD}" name="Current SIZE"/>
    <tableColumn id="5" xr3:uid="{07F883A2-187E-47C7-BA6B-0B35317D0132}" name="Current SIZE2"/>
    <tableColumn id="6" xr3:uid="{15CFA94E-30E1-4024-BD11-3F1850640C20}" name="Future SIZE"/>
    <tableColumn id="7" xr3:uid="{3A167B8B-F416-4673-AC77-6E4A797EF2FF}" name="Future SIZE3"/>
    <tableColumn id="8" xr3:uid="{3F3CDCC6-A159-499B-98C1-30FC8A10A61B}" name="Application "/>
    <tableColumn id="9" xr3:uid="{7437506A-B23D-4CA1-BBD1-CDBE9153DBFC}" name="Application Owner"/>
    <tableColumn id="10" xr3:uid="{2C5627B6-6A17-4B51-9B6C-3D613FEC57D8}" name="Confirm reservation"/>
    <tableColumn id="11" xr3:uid="{9E3EAA82-EF9D-48D7-B922-B57563620916}" name="Date Consolidated"/>
    <tableColumn id="12" xr3:uid="{924773E0-FD1E-4407-83D6-0C2D0828240B}" name="Date Rightsized"/>
    <tableColumn id="13" xr3:uid="{8C0BF583-DCE6-4FD7-9276-FC0BC49CD61C}" name="Confirm RI from SO"/>
    <tableColumn id="14" xr3:uid="{1A1D6FDA-4A6B-4076-BD6F-AC99572CDAAB}" name="Reservation Name"/>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74951-43CB-4C22-AB05-E2402F11B6A1}">
  <sheetPr codeName="Sheet19"/>
  <dimension ref="P1:S1"/>
  <sheetViews>
    <sheetView showGridLines="0" showRowColHeaders="0" topLeftCell="M9" zoomScale="145" zoomScaleNormal="145" workbookViewId="0">
      <selection activeCell="AG16" sqref="AG16"/>
    </sheetView>
  </sheetViews>
  <sheetFormatPr defaultColWidth="9.1796875" defaultRowHeight="14.5"/>
  <cols>
    <col min="1" max="15" width="9.1796875" style="172"/>
    <col min="16" max="16" width="9.1796875" style="172" customWidth="1"/>
    <col min="17" max="16384" width="9.1796875" style="172"/>
  </cols>
  <sheetData>
    <row r="1" spans="16:19">
      <c r="P1" s="258" t="s">
        <v>0</v>
      </c>
      <c r="Q1" s="258"/>
      <c r="R1" s="258"/>
      <c r="S1" s="258"/>
    </row>
  </sheetData>
  <mergeCells count="1">
    <mergeCell ref="P1:S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A77CD43-04A1-4E57-9B6D-3732AD903477}">
          <x14:formula1>
            <xm:f>'Dashboard Workings'!$S$2:$S$3</xm:f>
          </x14:formula1>
          <xm:sqref>P1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A8E61-47D2-4A99-ABEE-E5C7AD645F49}">
  <sheetPr codeName="Sheet20"/>
  <dimension ref="P1:S1"/>
  <sheetViews>
    <sheetView showGridLines="0" showRowColHeaders="0" zoomScaleNormal="100" workbookViewId="0">
      <selection activeCell="P1" sqref="P1:S1"/>
    </sheetView>
  </sheetViews>
  <sheetFormatPr defaultColWidth="9.1796875" defaultRowHeight="14.5"/>
  <cols>
    <col min="1" max="15" width="9.1796875" style="172"/>
    <col min="16" max="16" width="9.1796875" style="172" customWidth="1"/>
    <col min="17" max="16384" width="9.1796875" style="172"/>
  </cols>
  <sheetData>
    <row r="1" spans="16:19">
      <c r="P1" s="258" t="s">
        <v>0</v>
      </c>
      <c r="Q1" s="258"/>
      <c r="R1" s="258"/>
      <c r="S1" s="258"/>
    </row>
  </sheetData>
  <mergeCells count="1">
    <mergeCell ref="P1:S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3A8334C-9C80-4069-BA56-D15ACE66B802}">
          <x14:formula1>
            <xm:f>'Dashboard Workings'!$S$2:$S$3</xm:f>
          </x14:formula1>
          <xm:sqref>P1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099D3-CDF2-490F-9D5A-B973B52EAEE0}">
  <sheetPr codeName="Sheet2"/>
  <dimension ref="P1:S1"/>
  <sheetViews>
    <sheetView showGridLines="0" showRowColHeaders="0" zoomScaleNormal="100" workbookViewId="0">
      <selection activeCell="P1" sqref="P1:S1"/>
    </sheetView>
  </sheetViews>
  <sheetFormatPr defaultColWidth="9.1796875" defaultRowHeight="14.5"/>
  <cols>
    <col min="1" max="15" width="9.1796875" style="172"/>
    <col min="16" max="16" width="9.1796875" style="172" customWidth="1"/>
    <col min="17" max="16384" width="9.1796875" style="172"/>
  </cols>
  <sheetData>
    <row r="1" spans="16:19">
      <c r="P1" s="258" t="s">
        <v>0</v>
      </c>
      <c r="Q1" s="258"/>
      <c r="R1" s="258"/>
      <c r="S1" s="258"/>
    </row>
  </sheetData>
  <mergeCells count="1">
    <mergeCell ref="P1:S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F212C3B-F4A0-497C-BF0C-E08ECE7CC36D}">
          <x14:formula1>
            <xm:f>'Dashboard Workings'!$S$2:$S$3</xm:f>
          </x14:formula1>
          <xm:sqref>P1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C42EC-AE93-4C53-AA82-A58D95870FED}">
  <sheetPr codeName="Sheet3"/>
  <dimension ref="P1:S1"/>
  <sheetViews>
    <sheetView showGridLines="0" showRowColHeaders="0" zoomScaleNormal="100" workbookViewId="0">
      <selection activeCell="T1" sqref="T1"/>
    </sheetView>
  </sheetViews>
  <sheetFormatPr defaultColWidth="9.1796875" defaultRowHeight="14.5"/>
  <cols>
    <col min="1" max="15" width="9.1796875" style="172"/>
    <col min="16" max="16" width="9.1796875" style="172" customWidth="1"/>
    <col min="17" max="16384" width="9.1796875" style="172"/>
  </cols>
  <sheetData>
    <row r="1" spans="16:19">
      <c r="P1" s="258" t="s">
        <v>0</v>
      </c>
      <c r="Q1" s="258"/>
      <c r="R1" s="258"/>
      <c r="S1" s="258"/>
    </row>
  </sheetData>
  <mergeCells count="1">
    <mergeCell ref="P1:S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6FE47DC-27FB-4CCC-A5C0-4953CEF8A909}">
          <x14:formula1>
            <xm:f>'Dashboard Workings'!$S$2:$S$3</xm:f>
          </x14:formula1>
          <xm:sqref>P1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252BF-062D-4D25-96FB-6361BCD47D90}">
  <sheetPr codeName="Sheet4"/>
  <dimension ref="B1:X75"/>
  <sheetViews>
    <sheetView tabSelected="1" topLeftCell="G1" zoomScale="70" zoomScaleNormal="70" workbookViewId="0">
      <selection activeCell="V6" sqref="V6"/>
    </sheetView>
  </sheetViews>
  <sheetFormatPr defaultRowHeight="14.5"/>
  <cols>
    <col min="2" max="2" width="20.81640625" style="8" bestFit="1" customWidth="1"/>
    <col min="3" max="5" width="18.26953125" style="8" customWidth="1"/>
    <col min="6" max="6" width="7.81640625" style="8" customWidth="1"/>
    <col min="7" max="7" width="14.81640625" style="8" bestFit="1" customWidth="1"/>
    <col min="8" max="12" width="14.81640625" style="8" customWidth="1"/>
    <col min="13" max="13" width="2.54296875" customWidth="1"/>
    <col min="14" max="14" width="16.26953125" bestFit="1" customWidth="1"/>
    <col min="15" max="15" width="15.7265625" bestFit="1" customWidth="1"/>
    <col min="16" max="16" width="15.7265625" customWidth="1"/>
    <col min="17" max="17" width="10.7265625" bestFit="1" customWidth="1"/>
    <col min="18" max="18" width="2.453125" customWidth="1"/>
    <col min="20" max="20" width="2.1796875" customWidth="1"/>
    <col min="22" max="23" width="12.453125" bestFit="1" customWidth="1"/>
    <col min="24" max="24" width="11.453125" bestFit="1" customWidth="1"/>
  </cols>
  <sheetData>
    <row r="1" spans="2:24" ht="15" thickBot="1">
      <c r="B1" s="173" t="s">
        <v>1</v>
      </c>
      <c r="C1" s="174" t="s">
        <v>2</v>
      </c>
      <c r="D1" s="174" t="s">
        <v>3</v>
      </c>
      <c r="E1" s="220" t="s">
        <v>4</v>
      </c>
      <c r="F1" s="174" t="s">
        <v>5</v>
      </c>
      <c r="G1" s="175" t="s">
        <v>6</v>
      </c>
      <c r="H1" s="182" t="s">
        <v>7</v>
      </c>
      <c r="I1" s="182" t="s">
        <v>8</v>
      </c>
      <c r="J1" s="182" t="s">
        <v>9</v>
      </c>
      <c r="K1" s="221" t="s">
        <v>10</v>
      </c>
      <c r="L1" s="221" t="s">
        <v>11</v>
      </c>
      <c r="N1" t="s">
        <v>12</v>
      </c>
      <c r="O1" t="s">
        <v>13</v>
      </c>
      <c r="P1" t="s">
        <v>14</v>
      </c>
      <c r="Q1" t="s">
        <v>15</v>
      </c>
      <c r="S1" s="224" t="s">
        <v>16</v>
      </c>
      <c r="V1" t="s">
        <v>17</v>
      </c>
      <c r="W1" t="s">
        <v>0</v>
      </c>
      <c r="X1" t="s">
        <v>18</v>
      </c>
    </row>
    <row r="2" spans="2:24" ht="15" thickTop="1">
      <c r="B2" s="176" t="s">
        <v>19</v>
      </c>
      <c r="C2" s="177" t="str">
        <f>IFERROR(REPLACE(REPLACE(B2,FIND("Standard_",B2,1),9,""),FIND("_",REPLACE(B2,FIND("Standard_",B2,1),9,""),1),1," "),REPLACE(B2,FIND("Standard_",B2,1),9,""))</f>
        <v>B1ms</v>
      </c>
      <c r="D2" s="177">
        <v>1</v>
      </c>
      <c r="E2" s="177">
        <f>COUNTIFS(AzureVirtualMachines!AD:AD,'Dashboard Workings'!C2,AzureVirtualMachines!C:C,1)</f>
        <v>0</v>
      </c>
      <c r="F2" s="177">
        <f>IF(Dashboard_VMCosts_1!$P$1="New",E2,D2)</f>
        <v>0</v>
      </c>
      <c r="G2" s="178" t="str">
        <f>_xlfn.CONCAT("Count: ",F2)</f>
        <v>Count: 0</v>
      </c>
      <c r="H2" s="183" t="str">
        <f>IFERROR(VLOOKUP(C2,'Web-SKUS'!A:G,7,FALSE),"")</f>
        <v>£7.6389/month</v>
      </c>
      <c r="I2" s="185">
        <f>IFERROR(_xlfn.NUMBERVALUE(REPLACE(REPLACE(H2,FIND("/month",H2,1),6,),FIND("£",REPLACE(H2,FIND("/month",H2,1),6,),1),1,),".",","),"")</f>
        <v>7.6388999999999996</v>
      </c>
      <c r="J2" s="185">
        <f>I2*D2</f>
        <v>7.6388999999999996</v>
      </c>
      <c r="K2" s="185">
        <f>I2*E2</f>
        <v>0</v>
      </c>
      <c r="L2" s="185">
        <f>IF(Dashboard_VMCosts_1!$P$1="New",K2,J2)</f>
        <v>0</v>
      </c>
      <c r="N2" s="101" t="s">
        <v>20</v>
      </c>
      <c r="O2" s="101">
        <f>SUM(D2:D8)</f>
        <v>14</v>
      </c>
      <c r="P2" s="101">
        <f>SUM(E2:E8)</f>
        <v>3</v>
      </c>
      <c r="Q2" s="225">
        <f>SUM(L2:L8)</f>
        <v>152.78749999999999</v>
      </c>
      <c r="S2" t="s">
        <v>17</v>
      </c>
      <c r="U2" t="s">
        <v>21</v>
      </c>
      <c r="V2" s="115">
        <f ca="1">C63</f>
        <v>25900.377199999984</v>
      </c>
      <c r="W2" s="115">
        <f>C64</f>
        <v>45788.769199999952</v>
      </c>
      <c r="X2" s="115">
        <f ca="1">V2-W2</f>
        <v>-19888.391999999967</v>
      </c>
    </row>
    <row r="3" spans="2:24">
      <c r="B3" s="179" t="s">
        <v>22</v>
      </c>
      <c r="C3" s="180" t="str">
        <f t="shared" ref="C3:C49" si="0">IFERROR(REPLACE(REPLACE(B3,FIND("Standard_",B3,1),9,""),FIND("_",REPLACE(B3,FIND("Standard_",B3,1),9,""),1),1," "),REPLACE(B3,FIND("Standard_",B3,1),9,""))</f>
        <v>B2ms</v>
      </c>
      <c r="D3" s="180">
        <v>10</v>
      </c>
      <c r="E3" s="180">
        <f>COUNTIFS(AzureVirtualMachines!AD:AD,'Dashboard Workings'!C3,AzureVirtualMachines!C:C,1)</f>
        <v>1</v>
      </c>
      <c r="F3" s="180">
        <f>IF(Dashboard_VMCosts_1!$P$1="New",E3,D3)</f>
        <v>1</v>
      </c>
      <c r="G3" s="181" t="str">
        <f t="shared" ref="G3:G49" si="1">_xlfn.CONCAT("Count: ",F3)</f>
        <v>Count: 1</v>
      </c>
      <c r="H3" s="184" t="str">
        <f>IFERROR(VLOOKUP(C3,'Web-SKUS'!A:G,7,FALSE),"")</f>
        <v>£30.5553/month</v>
      </c>
      <c r="I3" s="186">
        <f t="shared" ref="I3:I49" si="2">IFERROR(_xlfn.NUMBERVALUE(REPLACE(REPLACE(H3,FIND("/month",H3,1),6,),FIND("£",REPLACE(H3,FIND("/month",H3,1),6,),1),1,),".",","),"")</f>
        <v>30.555299999999999</v>
      </c>
      <c r="J3" s="186">
        <f t="shared" ref="J3:J50" si="3">I3*D3</f>
        <v>305.553</v>
      </c>
      <c r="K3" s="186">
        <f t="shared" ref="K3:K50" si="4">I3*E3</f>
        <v>30.555299999999999</v>
      </c>
      <c r="L3" s="186">
        <f>IF(Dashboard_VMCosts_1!$P$1="New",K3,J3)</f>
        <v>30.555299999999999</v>
      </c>
      <c r="N3" t="s">
        <v>23</v>
      </c>
      <c r="O3">
        <f>SUM(D9:D12)</f>
        <v>4</v>
      </c>
      <c r="P3">
        <f>SUM(E9:E12)</f>
        <v>0</v>
      </c>
      <c r="Q3" s="115">
        <f>SUM(L9:L12)</f>
        <v>0</v>
      </c>
      <c r="S3" t="s">
        <v>0</v>
      </c>
      <c r="U3" t="s">
        <v>24</v>
      </c>
      <c r="V3" s="115">
        <f ca="1">$C$63+V2</f>
        <v>51800.754399999969</v>
      </c>
      <c r="W3" s="115">
        <f>$C$64+W2</f>
        <v>91577.538399999903</v>
      </c>
      <c r="X3" s="115">
        <f t="shared" ref="X3:X13" ca="1" si="5">V3-W3</f>
        <v>-39776.783999999934</v>
      </c>
    </row>
    <row r="4" spans="2:24">
      <c r="B4" s="176" t="s">
        <v>25</v>
      </c>
      <c r="C4" s="177" t="str">
        <f t="shared" si="0"/>
        <v>B4ms</v>
      </c>
      <c r="D4" s="177">
        <v>3</v>
      </c>
      <c r="E4" s="177">
        <f>COUNTIFS(AzureVirtualMachines!AD:AD,'Dashboard Workings'!C4,AzureVirtualMachines!C:C,1)</f>
        <v>2</v>
      </c>
      <c r="F4" s="177">
        <f>IF(Dashboard_VMCosts_1!$P$1="New",E4,D4)</f>
        <v>2</v>
      </c>
      <c r="G4" s="178" t="str">
        <f t="shared" si="1"/>
        <v>Count: 2</v>
      </c>
      <c r="H4" s="183" t="str">
        <f>IFERROR(VLOOKUP(C4,'Web-SKUS'!A:G,7,FALSE),"")</f>
        <v>£61.1161/month</v>
      </c>
      <c r="I4" s="185">
        <f t="shared" si="2"/>
        <v>61.116100000000003</v>
      </c>
      <c r="J4" s="185">
        <f t="shared" si="3"/>
        <v>183.34829999999999</v>
      </c>
      <c r="K4" s="185">
        <f t="shared" si="4"/>
        <v>122.23220000000001</v>
      </c>
      <c r="L4" s="185">
        <f>IF(Dashboard_VMCosts_1!$P$1="New",K4,J4)</f>
        <v>122.23220000000001</v>
      </c>
      <c r="N4" s="101" t="s">
        <v>26</v>
      </c>
      <c r="O4" s="101">
        <f>SUM(D13:D20)</f>
        <v>1</v>
      </c>
      <c r="P4" s="101">
        <f>SUM(E13:E20)</f>
        <v>0</v>
      </c>
      <c r="Q4" s="225">
        <f>SUM(L13:L20)</f>
        <v>0</v>
      </c>
      <c r="U4" t="s">
        <v>27</v>
      </c>
      <c r="V4" s="115">
        <f ca="1">$C$63+V3</f>
        <v>77701.13159999995</v>
      </c>
      <c r="W4" s="115">
        <f>$C$64+W3</f>
        <v>137366.30759999985</v>
      </c>
      <c r="X4" s="115">
        <f t="shared" ca="1" si="5"/>
        <v>-59665.175999999905</v>
      </c>
    </row>
    <row r="5" spans="2:24">
      <c r="B5" s="179" t="s">
        <v>28</v>
      </c>
      <c r="C5" s="180" t="str">
        <f t="shared" si="0"/>
        <v>B8ms</v>
      </c>
      <c r="D5" s="180">
        <v>0</v>
      </c>
      <c r="E5" s="180">
        <f>COUNTIFS(AzureVirtualMachines!AD:AD,'Dashboard Workings'!C5,AzureVirtualMachines!C:C,1)</f>
        <v>0</v>
      </c>
      <c r="F5" s="180">
        <f>IF(Dashboard_VMCosts_1!$P$1="New",E5,D5)</f>
        <v>0</v>
      </c>
      <c r="G5" s="181" t="str">
        <f t="shared" si="1"/>
        <v>Count: 0</v>
      </c>
      <c r="H5" s="184" t="str">
        <f>IFERROR(VLOOKUP(C5,'Web-SKUS'!A:G,7,FALSE),"")</f>
        <v>£122.2321/month</v>
      </c>
      <c r="I5" s="186">
        <f t="shared" si="2"/>
        <v>122.2321</v>
      </c>
      <c r="J5" s="186">
        <f t="shared" si="3"/>
        <v>0</v>
      </c>
      <c r="K5" s="186">
        <f t="shared" si="4"/>
        <v>0</v>
      </c>
      <c r="L5" s="186">
        <f>IF(Dashboard_VMCosts_1!$P$1="New",K5,J5)</f>
        <v>0</v>
      </c>
      <c r="N5" t="s">
        <v>29</v>
      </c>
      <c r="O5">
        <f>SUM(D21:D27)</f>
        <v>61</v>
      </c>
      <c r="P5">
        <f>SUM(E21:E27)</f>
        <v>34</v>
      </c>
      <c r="Q5" s="115">
        <f>SUM(L21:L27)</f>
        <v>2881.6979999999999</v>
      </c>
      <c r="U5" t="s">
        <v>30</v>
      </c>
      <c r="V5" s="115">
        <f t="shared" ref="V5:V13" ca="1" si="6">$C$63+V4</f>
        <v>103601.50879999994</v>
      </c>
      <c r="W5" s="115">
        <f t="shared" ref="W5:W13" si="7">$C$64+W4</f>
        <v>183155.07679999981</v>
      </c>
      <c r="X5" s="115">
        <f t="shared" ca="1" si="5"/>
        <v>-79553.567999999868</v>
      </c>
    </row>
    <row r="6" spans="2:24">
      <c r="B6" s="176" t="s">
        <v>31</v>
      </c>
      <c r="C6" s="177" t="str">
        <f t="shared" si="0"/>
        <v>B12ms</v>
      </c>
      <c r="D6" s="177">
        <v>0</v>
      </c>
      <c r="E6" s="177">
        <f>COUNTIFS(AzureVirtualMachines!AD:AD,'Dashboard Workings'!C6,AzureVirtualMachines!C:C,1)</f>
        <v>0</v>
      </c>
      <c r="F6" s="177">
        <f>IF(Dashboard_VMCosts_1!$P$1="New",E6,D6)</f>
        <v>0</v>
      </c>
      <c r="G6" s="178" t="str">
        <f t="shared" si="1"/>
        <v>Count: 0</v>
      </c>
      <c r="H6" s="183" t="str">
        <f>IFERROR(VLOOKUP(C6,'Web-SKUS'!A:G,7,FALSE),"")</f>
        <v>£183.4079/month</v>
      </c>
      <c r="I6" s="185">
        <f t="shared" si="2"/>
        <v>183.40790000000001</v>
      </c>
      <c r="J6" s="185">
        <f t="shared" si="3"/>
        <v>0</v>
      </c>
      <c r="K6" s="185">
        <f t="shared" si="4"/>
        <v>0</v>
      </c>
      <c r="L6" s="185">
        <f>IF(Dashboard_VMCosts_1!$P$1="New",K6,J6)</f>
        <v>0</v>
      </c>
      <c r="N6" t="s">
        <v>32</v>
      </c>
      <c r="O6">
        <f>SUM(D28:D41)</f>
        <v>4</v>
      </c>
      <c r="P6">
        <f>SUM(E28:E41)</f>
        <v>30</v>
      </c>
      <c r="Q6" s="115">
        <f>SUM(L28:L41)</f>
        <v>7441.2632000000003</v>
      </c>
      <c r="U6" t="s">
        <v>33</v>
      </c>
      <c r="V6" s="115">
        <f t="shared" ca="1" si="6"/>
        <v>129501.88599999993</v>
      </c>
      <c r="W6" s="115">
        <f t="shared" si="7"/>
        <v>228943.84599999976</v>
      </c>
      <c r="X6" s="115">
        <f t="shared" ca="1" si="5"/>
        <v>-99441.959999999832</v>
      </c>
    </row>
    <row r="7" spans="2:24">
      <c r="B7" s="179" t="s">
        <v>34</v>
      </c>
      <c r="C7" s="180" t="str">
        <f t="shared" si="0"/>
        <v>B16ms</v>
      </c>
      <c r="D7" s="180">
        <v>0</v>
      </c>
      <c r="E7" s="180">
        <f>COUNTIFS(AzureVirtualMachines!AD:AD,'Dashboard Workings'!C7,AzureVirtualMachines!C:C,1)</f>
        <v>0</v>
      </c>
      <c r="F7" s="180">
        <f>IF(Dashboard_VMCosts_1!$P$1="New",E7,D7)</f>
        <v>0</v>
      </c>
      <c r="G7" s="181" t="str">
        <f t="shared" si="1"/>
        <v>Count: 0</v>
      </c>
      <c r="H7" s="184" t="str">
        <f>IFERROR(VLOOKUP(C7,'Web-SKUS'!A:G,7,FALSE),"")</f>
        <v>£244.5239/month</v>
      </c>
      <c r="I7" s="186">
        <f t="shared" si="2"/>
        <v>244.5239</v>
      </c>
      <c r="J7" s="186">
        <f t="shared" si="3"/>
        <v>0</v>
      </c>
      <c r="K7" s="186">
        <f t="shared" si="4"/>
        <v>0</v>
      </c>
      <c r="L7" s="186">
        <f>IF(Dashboard_VMCosts_1!$P$1="New",K7,J7)</f>
        <v>0</v>
      </c>
      <c r="N7" t="s">
        <v>35</v>
      </c>
      <c r="O7">
        <f>SUM(D42:D50)</f>
        <v>17</v>
      </c>
      <c r="P7">
        <f>SUM(E42:E50)</f>
        <v>56</v>
      </c>
      <c r="Q7" s="115">
        <f>SUM(L42:L50)</f>
        <v>1937.2940000000001</v>
      </c>
      <c r="U7" t="s">
        <v>36</v>
      </c>
      <c r="V7" s="115">
        <f t="shared" ca="1" si="6"/>
        <v>155402.2631999999</v>
      </c>
      <c r="W7" s="115">
        <f t="shared" si="7"/>
        <v>274732.61519999971</v>
      </c>
      <c r="X7" s="115">
        <f t="shared" ca="1" si="5"/>
        <v>-119330.35199999981</v>
      </c>
    </row>
    <row r="8" spans="2:24">
      <c r="B8" s="176" t="s">
        <v>37</v>
      </c>
      <c r="C8" s="177" t="str">
        <f t="shared" si="0"/>
        <v>B20ms</v>
      </c>
      <c r="D8" s="177">
        <v>0</v>
      </c>
      <c r="E8" s="177">
        <f>COUNTIFS(AzureVirtualMachines!AD:AD,'Dashboard Workings'!C8,AzureVirtualMachines!C:C,1)</f>
        <v>0</v>
      </c>
      <c r="F8" s="177">
        <f>IF(Dashboard_VMCosts_1!$P$1="New",E8,D8)</f>
        <v>0</v>
      </c>
      <c r="G8" s="178" t="str">
        <f t="shared" si="1"/>
        <v>Count: 0</v>
      </c>
      <c r="H8" s="183" t="str">
        <f>IFERROR(VLOOKUP(C8,'Web-SKUS'!A:G,7,FALSE),"")</f>
        <v>£305.6399/month</v>
      </c>
      <c r="I8" s="185">
        <f t="shared" si="2"/>
        <v>305.63990000000001</v>
      </c>
      <c r="J8" s="185">
        <f t="shared" si="3"/>
        <v>0</v>
      </c>
      <c r="K8" s="185">
        <f t="shared" si="4"/>
        <v>0</v>
      </c>
      <c r="L8" s="185">
        <f>IF(Dashboard_VMCosts_1!$P$1="New",K8,J8)</f>
        <v>0</v>
      </c>
      <c r="U8" t="s">
        <v>38</v>
      </c>
      <c r="V8" s="115">
        <f t="shared" ca="1" si="6"/>
        <v>181302.64039999989</v>
      </c>
      <c r="W8" s="115">
        <f t="shared" si="7"/>
        <v>320521.38439999963</v>
      </c>
      <c r="X8" s="115">
        <f t="shared" ca="1" si="5"/>
        <v>-139218.74399999974</v>
      </c>
    </row>
    <row r="9" spans="2:24">
      <c r="B9" s="207" t="s">
        <v>39</v>
      </c>
      <c r="C9" s="208" t="str">
        <f t="shared" si="0"/>
        <v>D13</v>
      </c>
      <c r="D9" s="208">
        <v>1</v>
      </c>
      <c r="E9" s="208">
        <f>COUNTIFS(AzureVirtualMachines!AD:AD,'Dashboard Workings'!C9,AzureVirtualMachines!C:C,1)</f>
        <v>0</v>
      </c>
      <c r="F9" s="208">
        <f>IF(Dashboard_VMCosts_1!$P$1="New",E9,D9)</f>
        <v>0</v>
      </c>
      <c r="G9" s="209" t="str">
        <f t="shared" si="1"/>
        <v>Count: 0</v>
      </c>
      <c r="H9" s="8" t="str">
        <f>IFERROR(VLOOKUP(C9,'Web-SKUS'!A:G,7,FALSE),"")</f>
        <v>£268.2511/month</v>
      </c>
      <c r="I9" s="116">
        <v>203.85</v>
      </c>
      <c r="J9" s="116">
        <f t="shared" si="3"/>
        <v>203.85</v>
      </c>
      <c r="K9" s="116">
        <f t="shared" si="4"/>
        <v>0</v>
      </c>
      <c r="L9" s="116">
        <f>IF(Dashboard_VMCosts_1!$P$1="New",K9,J9)</f>
        <v>0</v>
      </c>
      <c r="U9" t="s">
        <v>40</v>
      </c>
      <c r="V9" s="115">
        <f t="shared" ca="1" si="6"/>
        <v>207203.01759999988</v>
      </c>
      <c r="W9" s="115">
        <f t="shared" si="7"/>
        <v>366310.15359999961</v>
      </c>
      <c r="X9" s="115">
        <f t="shared" ca="1" si="5"/>
        <v>-159107.13599999974</v>
      </c>
    </row>
    <row r="10" spans="2:24">
      <c r="B10" s="207" t="s">
        <v>41</v>
      </c>
      <c r="C10" s="208" t="str">
        <f t="shared" si="0"/>
        <v>D2 v3</v>
      </c>
      <c r="D10" s="208">
        <v>1</v>
      </c>
      <c r="E10" s="208">
        <f>COUNTIFS(AzureVirtualMachines!AD:AD,'Dashboard Workings'!C10,AzureVirtualMachines!C:C,1)</f>
        <v>0</v>
      </c>
      <c r="F10" s="208">
        <f>IF(Dashboard_VMCosts_1!$P$1="New",E10,D10)</f>
        <v>0</v>
      </c>
      <c r="G10" s="209" t="str">
        <f t="shared" si="1"/>
        <v>Count: 0</v>
      </c>
      <c r="H10" s="8" t="str">
        <f>IFERROR(VLOOKUP(C10,'Web-SKUS'!A:G,7,FALSE),"")</f>
        <v>£41.6109/month</v>
      </c>
      <c r="I10" s="116">
        <f t="shared" si="2"/>
        <v>41.610900000000001</v>
      </c>
      <c r="J10" s="116">
        <f t="shared" si="3"/>
        <v>41.610900000000001</v>
      </c>
      <c r="K10" s="116">
        <f t="shared" si="4"/>
        <v>0</v>
      </c>
      <c r="L10" s="116">
        <f>IF(Dashboard_VMCosts_1!$P$1="New",K10,J10)</f>
        <v>0</v>
      </c>
      <c r="U10" t="s">
        <v>42</v>
      </c>
      <c r="V10" s="115">
        <f t="shared" ca="1" si="6"/>
        <v>233103.39479999986</v>
      </c>
      <c r="W10" s="115">
        <f t="shared" si="7"/>
        <v>412098.92279999959</v>
      </c>
      <c r="X10" s="115">
        <f t="shared" ca="1" si="5"/>
        <v>-178995.52799999973</v>
      </c>
    </row>
    <row r="11" spans="2:24">
      <c r="B11" s="207" t="s">
        <v>43</v>
      </c>
      <c r="C11" s="208" t="str">
        <f t="shared" si="0"/>
        <v>D4 v3</v>
      </c>
      <c r="D11" s="208">
        <v>1</v>
      </c>
      <c r="E11" s="208">
        <f>COUNTIFS(AzureVirtualMachines!AD:AD,'Dashboard Workings'!C11,AzureVirtualMachines!C:C,1)</f>
        <v>0</v>
      </c>
      <c r="F11" s="208">
        <f>IF(Dashboard_VMCosts_1!$P$1="New",E11,D11)</f>
        <v>0</v>
      </c>
      <c r="G11" s="209" t="str">
        <f t="shared" si="1"/>
        <v>Count: 0</v>
      </c>
      <c r="H11" s="8" t="str">
        <f>IFERROR(VLOOKUP(C11,'Web-SKUS'!A:G,7,FALSE),"")</f>
        <v>£83.1620/month</v>
      </c>
      <c r="I11" s="116">
        <f t="shared" si="2"/>
        <v>83.162000000000006</v>
      </c>
      <c r="J11" s="116">
        <f t="shared" si="3"/>
        <v>83.162000000000006</v>
      </c>
      <c r="K11" s="116">
        <f t="shared" si="4"/>
        <v>0</v>
      </c>
      <c r="L11" s="116">
        <f>IF(Dashboard_VMCosts_1!$P$1="New",K11,J11)</f>
        <v>0</v>
      </c>
      <c r="U11" t="s">
        <v>44</v>
      </c>
      <c r="V11" s="115">
        <f t="shared" ca="1" si="6"/>
        <v>259003.77199999985</v>
      </c>
      <c r="W11" s="115">
        <f t="shared" si="7"/>
        <v>457887.69199999957</v>
      </c>
      <c r="X11" s="115">
        <f t="shared" ca="1" si="5"/>
        <v>-198883.91999999972</v>
      </c>
    </row>
    <row r="12" spans="2:24">
      <c r="B12" s="207" t="s">
        <v>45</v>
      </c>
      <c r="C12" s="208" t="str">
        <f t="shared" si="0"/>
        <v>DS13 v2</v>
      </c>
      <c r="D12" s="208">
        <v>1</v>
      </c>
      <c r="E12" s="208">
        <f>COUNTIFS(AzureVirtualMachines!AD:AD,'Dashboard Workings'!C12,AzureVirtualMachines!C:C,1)</f>
        <v>0</v>
      </c>
      <c r="F12" s="208">
        <f>IF(Dashboard_VMCosts_1!$P$1="New",E12,D12)</f>
        <v>0</v>
      </c>
      <c r="G12" s="209" t="str">
        <f t="shared" si="1"/>
        <v>Count: 0</v>
      </c>
      <c r="H12" s="8" t="str">
        <f>IFERROR(VLOOKUP(C12,'Web-SKUS'!A:G,7,FALSE),"")</f>
        <v>£268.2511/month</v>
      </c>
      <c r="I12" s="116">
        <f t="shared" si="2"/>
        <v>268.25110000000001</v>
      </c>
      <c r="J12" s="116">
        <f t="shared" si="3"/>
        <v>268.25110000000001</v>
      </c>
      <c r="K12" s="116">
        <f t="shared" si="4"/>
        <v>0</v>
      </c>
      <c r="L12" s="116">
        <f>IF(Dashboard_VMCosts_1!$P$1="New",K12,J12)</f>
        <v>0</v>
      </c>
      <c r="U12" t="s">
        <v>46</v>
      </c>
      <c r="V12" s="115">
        <f t="shared" ca="1" si="6"/>
        <v>284904.14919999981</v>
      </c>
      <c r="W12" s="115">
        <f t="shared" si="7"/>
        <v>503676.46119999955</v>
      </c>
      <c r="X12" s="115">
        <f t="shared" ca="1" si="5"/>
        <v>-218772.31199999974</v>
      </c>
    </row>
    <row r="13" spans="2:24">
      <c r="B13" s="187" t="s">
        <v>47</v>
      </c>
      <c r="C13" s="188" t="str">
        <f t="shared" si="0"/>
        <v>D2as v4</v>
      </c>
      <c r="D13" s="188">
        <v>0</v>
      </c>
      <c r="E13" s="188">
        <f>COUNTIFS(AzureVirtualMachines!AD:AD,'Dashboard Workings'!C13,AzureVirtualMachines!C:C,1)</f>
        <v>0</v>
      </c>
      <c r="F13" s="188">
        <f>IF(Dashboard_VMCosts_1!$P$1="New",E13,D13)</f>
        <v>0</v>
      </c>
      <c r="G13" s="189" t="str">
        <f t="shared" si="1"/>
        <v>Count: 0</v>
      </c>
      <c r="H13" s="190" t="str">
        <f>IFERROR(VLOOKUP(C13,'Web-SKUS'!A:G,7,FALSE),"")</f>
        <v>£41.6109/month</v>
      </c>
      <c r="I13" s="191">
        <f t="shared" si="2"/>
        <v>41.610900000000001</v>
      </c>
      <c r="J13" s="191">
        <f t="shared" si="3"/>
        <v>0</v>
      </c>
      <c r="K13" s="191">
        <f t="shared" si="4"/>
        <v>0</v>
      </c>
      <c r="L13" s="191">
        <f>IF(Dashboard_VMCosts_1!$P$1="New",K13,J13)</f>
        <v>0</v>
      </c>
      <c r="U13" t="s">
        <v>48</v>
      </c>
      <c r="V13" s="115">
        <f t="shared" ca="1" si="6"/>
        <v>310804.5263999998</v>
      </c>
      <c r="W13" s="115">
        <f t="shared" si="7"/>
        <v>549465.23039999953</v>
      </c>
      <c r="X13" s="115">
        <f t="shared" ca="1" si="5"/>
        <v>-238660.70399999974</v>
      </c>
    </row>
    <row r="14" spans="2:24">
      <c r="B14" s="192" t="s">
        <v>49</v>
      </c>
      <c r="C14" s="193" t="str">
        <f t="shared" si="0"/>
        <v>D4as v4</v>
      </c>
      <c r="D14" s="193">
        <v>0</v>
      </c>
      <c r="E14" s="193">
        <f>COUNTIFS(AzureVirtualMachines!AD:AD,'Dashboard Workings'!C14,AzureVirtualMachines!C:C,1)</f>
        <v>0</v>
      </c>
      <c r="F14" s="193">
        <f>IF(Dashboard_VMCosts_1!$P$1="New",E14,D14)</f>
        <v>0</v>
      </c>
      <c r="G14" s="194" t="str">
        <f t="shared" si="1"/>
        <v>Count: 0</v>
      </c>
      <c r="H14" s="195" t="str">
        <f>IFERROR(VLOOKUP(C14,'Web-SKUS'!A:G,7,FALSE),"")</f>
        <v>£83.2273/month</v>
      </c>
      <c r="I14" s="196">
        <f t="shared" si="2"/>
        <v>83.2273</v>
      </c>
      <c r="J14" s="196">
        <f t="shared" si="3"/>
        <v>0</v>
      </c>
      <c r="K14" s="196">
        <f t="shared" si="4"/>
        <v>0</v>
      </c>
      <c r="L14" s="196">
        <f>IF(Dashboard_VMCosts_1!$P$1="New",K14,J14)</f>
        <v>0</v>
      </c>
    </row>
    <row r="15" spans="2:24">
      <c r="B15" s="187" t="s">
        <v>50</v>
      </c>
      <c r="C15" s="188" t="str">
        <f t="shared" si="0"/>
        <v>D8as v4</v>
      </c>
      <c r="D15" s="188">
        <v>0</v>
      </c>
      <c r="E15" s="188">
        <f>COUNTIFS(AzureVirtualMachines!AD:AD,'Dashboard Workings'!C15,AzureVirtualMachines!C:C,1)</f>
        <v>0</v>
      </c>
      <c r="F15" s="188">
        <f>IF(Dashboard_VMCosts_1!$P$1="New",E15,D15)</f>
        <v>0</v>
      </c>
      <c r="G15" s="189" t="str">
        <f t="shared" si="1"/>
        <v>Count: 0</v>
      </c>
      <c r="H15" s="190" t="str">
        <f>IFERROR(VLOOKUP(C15,'Web-SKUS'!A:G,7,FALSE),"")</f>
        <v>£166.4545/month</v>
      </c>
      <c r="I15" s="191">
        <f t="shared" si="2"/>
        <v>166.4545</v>
      </c>
      <c r="J15" s="191">
        <f t="shared" si="3"/>
        <v>0</v>
      </c>
      <c r="K15" s="191">
        <f t="shared" si="4"/>
        <v>0</v>
      </c>
      <c r="L15" s="191">
        <f>IF(Dashboard_VMCosts_1!$P$1="New",K15,J15)</f>
        <v>0</v>
      </c>
    </row>
    <row r="16" spans="2:24">
      <c r="B16" s="192" t="s">
        <v>51</v>
      </c>
      <c r="C16" s="193" t="str">
        <f t="shared" si="0"/>
        <v>D16as v4</v>
      </c>
      <c r="D16" s="193">
        <v>1</v>
      </c>
      <c r="E16" s="193">
        <f>COUNTIFS(AzureVirtualMachines!AD:AD,'Dashboard Workings'!C16,AzureVirtualMachines!C:C,1)</f>
        <v>0</v>
      </c>
      <c r="F16" s="193">
        <f>IF(Dashboard_VMCosts_1!$P$1="New",E16,D16)</f>
        <v>0</v>
      </c>
      <c r="G16" s="194" t="str">
        <f t="shared" si="1"/>
        <v>Count: 0</v>
      </c>
      <c r="H16" s="195" t="str">
        <f>IFERROR(VLOOKUP(C16,'Web-SKUS'!A:G,7,FALSE),"")</f>
        <v>£332.9036/month</v>
      </c>
      <c r="I16" s="196">
        <f t="shared" si="2"/>
        <v>332.90359999999998</v>
      </c>
      <c r="J16" s="196">
        <f t="shared" si="3"/>
        <v>332.90359999999998</v>
      </c>
      <c r="K16" s="196">
        <f t="shared" si="4"/>
        <v>0</v>
      </c>
      <c r="L16" s="196">
        <f>IF(Dashboard_VMCosts_1!$P$1="New",K16,J16)</f>
        <v>0</v>
      </c>
    </row>
    <row r="17" spans="2:12">
      <c r="B17" s="187" t="s">
        <v>52</v>
      </c>
      <c r="C17" s="188" t="str">
        <f t="shared" si="0"/>
        <v>D32as v4</v>
      </c>
      <c r="D17" s="188">
        <v>0</v>
      </c>
      <c r="E17" s="188">
        <f>COUNTIFS(AzureVirtualMachines!AD:AD,'Dashboard Workings'!C17,AzureVirtualMachines!C:C,1)</f>
        <v>0</v>
      </c>
      <c r="F17" s="188">
        <f>IF(Dashboard_VMCosts_1!$P$1="New",E17,D17)</f>
        <v>0</v>
      </c>
      <c r="G17" s="189" t="str">
        <f t="shared" si="1"/>
        <v>Count: 0</v>
      </c>
      <c r="H17" s="190" t="str">
        <f>IFERROR(VLOOKUP(C17,'Web-SKUS'!A:G,7,FALSE),"")</f>
        <v>£665.8071/month</v>
      </c>
      <c r="I17" s="191">
        <f t="shared" si="2"/>
        <v>665.80709999999999</v>
      </c>
      <c r="J17" s="191">
        <f t="shared" si="3"/>
        <v>0</v>
      </c>
      <c r="K17" s="191">
        <f t="shared" si="4"/>
        <v>0</v>
      </c>
      <c r="L17" s="191">
        <f>IF(Dashboard_VMCosts_1!$P$1="New",K17,J17)</f>
        <v>0</v>
      </c>
    </row>
    <row r="18" spans="2:12">
      <c r="B18" s="192" t="s">
        <v>53</v>
      </c>
      <c r="C18" s="193" t="str">
        <f t="shared" si="0"/>
        <v>D48as v4</v>
      </c>
      <c r="D18" s="193">
        <v>0</v>
      </c>
      <c r="E18" s="193">
        <f>COUNTIFS(AzureVirtualMachines!AD:AD,'Dashboard Workings'!C18,AzureVirtualMachines!C:C,1)</f>
        <v>0</v>
      </c>
      <c r="F18" s="193">
        <f>IF(Dashboard_VMCosts_1!$P$1="New",E18,D18)</f>
        <v>0</v>
      </c>
      <c r="G18" s="194" t="str">
        <f t="shared" si="1"/>
        <v>Count: 0</v>
      </c>
      <c r="H18" s="195" t="str">
        <f>IFERROR(VLOOKUP(C18,'Web-SKUS'!A:G,7,FALSE),"")</f>
        <v>£998.7160/month</v>
      </c>
      <c r="I18" s="196">
        <f t="shared" si="2"/>
        <v>998.71600000000001</v>
      </c>
      <c r="J18" s="196">
        <f t="shared" si="3"/>
        <v>0</v>
      </c>
      <c r="K18" s="196">
        <f t="shared" si="4"/>
        <v>0</v>
      </c>
      <c r="L18" s="196">
        <f>IF(Dashboard_VMCosts_1!$P$1="New",K18,J18)</f>
        <v>0</v>
      </c>
    </row>
    <row r="19" spans="2:12">
      <c r="B19" s="187" t="s">
        <v>54</v>
      </c>
      <c r="C19" s="188" t="str">
        <f t="shared" si="0"/>
        <v>D64as v4</v>
      </c>
      <c r="D19" s="188">
        <v>0</v>
      </c>
      <c r="E19" s="188">
        <f>COUNTIFS(AzureVirtualMachines!AD:AD,'Dashboard Workings'!C19,AzureVirtualMachines!C:C,1)</f>
        <v>0</v>
      </c>
      <c r="F19" s="188">
        <f>IF(Dashboard_VMCosts_1!$P$1="New",E19,D19)</f>
        <v>0</v>
      </c>
      <c r="G19" s="189" t="str">
        <f t="shared" si="1"/>
        <v>Count: 0</v>
      </c>
      <c r="H19" s="190" t="str">
        <f>IFERROR(VLOOKUP(C19,'Web-SKUS'!A:G,7,FALSE),"")</f>
        <v>£1,331.6196/month</v>
      </c>
      <c r="I19" s="191">
        <f t="shared" si="2"/>
        <v>1331.6196</v>
      </c>
      <c r="J19" s="191">
        <f t="shared" si="3"/>
        <v>0</v>
      </c>
      <c r="K19" s="191">
        <f t="shared" si="4"/>
        <v>0</v>
      </c>
      <c r="L19" s="191">
        <f>IF(Dashboard_VMCosts_1!$P$1="New",K19,J19)</f>
        <v>0</v>
      </c>
    </row>
    <row r="20" spans="2:12">
      <c r="B20" s="192" t="s">
        <v>55</v>
      </c>
      <c r="C20" s="193" t="str">
        <f t="shared" si="0"/>
        <v>D96as v4</v>
      </c>
      <c r="D20" s="193">
        <v>0</v>
      </c>
      <c r="E20" s="193">
        <f>COUNTIFS(AzureVirtualMachines!AD:AD,'Dashboard Workings'!C20,AzureVirtualMachines!C:C,1)</f>
        <v>0</v>
      </c>
      <c r="F20" s="193">
        <f>IF(Dashboard_VMCosts_1!$P$1="New",E20,D20)</f>
        <v>0</v>
      </c>
      <c r="G20" s="194" t="str">
        <f t="shared" si="1"/>
        <v>Count: 0</v>
      </c>
      <c r="H20" s="195" t="str">
        <f>IFERROR(VLOOKUP(C20,'Web-SKUS'!A:G,7,FALSE),"")</f>
        <v>£1,997.4266/month</v>
      </c>
      <c r="I20" s="196">
        <f t="shared" si="2"/>
        <v>1997.4266</v>
      </c>
      <c r="J20" s="196">
        <f t="shared" si="3"/>
        <v>0</v>
      </c>
      <c r="K20" s="196">
        <f t="shared" si="4"/>
        <v>0</v>
      </c>
      <c r="L20" s="196">
        <f>IF(Dashboard_VMCosts_1!$P$1="New",K20,J20)</f>
        <v>0</v>
      </c>
    </row>
    <row r="21" spans="2:12">
      <c r="B21" s="197" t="s">
        <v>56</v>
      </c>
      <c r="C21" s="198" t="str">
        <f t="shared" si="0"/>
        <v>D2ds v4</v>
      </c>
      <c r="D21" s="198">
        <v>17</v>
      </c>
      <c r="E21" s="198">
        <f>COUNTIFS(AzureVirtualMachines!AD:AD,'Dashboard Workings'!C21,AzureVirtualMachines!C:C,1)</f>
        <v>14</v>
      </c>
      <c r="F21" s="198">
        <f>IF(Dashboard_VMCosts_1!$P$1="New",E21,D21)</f>
        <v>14</v>
      </c>
      <c r="G21" s="199" t="str">
        <f t="shared" si="1"/>
        <v>Count: 14</v>
      </c>
      <c r="H21" s="200" t="str">
        <f>IFERROR(VLOOKUP(C21,'Web-SKUS'!A:G,7,FALSE),"")</f>
        <v>£43.6621/month</v>
      </c>
      <c r="I21" s="201">
        <f t="shared" si="2"/>
        <v>43.662100000000002</v>
      </c>
      <c r="J21" s="201">
        <f t="shared" si="3"/>
        <v>742.25570000000005</v>
      </c>
      <c r="K21" s="201">
        <f t="shared" si="4"/>
        <v>611.26940000000002</v>
      </c>
      <c r="L21" s="201">
        <f>IF(Dashboard_VMCosts_1!$P$1="New",K21,J21)</f>
        <v>611.26940000000002</v>
      </c>
    </row>
    <row r="22" spans="2:12">
      <c r="B22" s="202" t="s">
        <v>57</v>
      </c>
      <c r="C22" s="203" t="str">
        <f t="shared" si="0"/>
        <v>D4ds v4</v>
      </c>
      <c r="D22" s="203">
        <v>35</v>
      </c>
      <c r="E22" s="203">
        <f>COUNTIFS(AzureVirtualMachines!AD:AD,'Dashboard Workings'!C22,AzureVirtualMachines!C:C,1)</f>
        <v>14</v>
      </c>
      <c r="F22" s="203">
        <f>IF(Dashboard_VMCosts_1!$P$1="New",E22,D22)</f>
        <v>14</v>
      </c>
      <c r="G22" s="204" t="str">
        <f t="shared" si="1"/>
        <v>Count: 14</v>
      </c>
      <c r="H22" s="205" t="str">
        <f>IFERROR(VLOOKUP(C22,'Web-SKUS'!A:G,7,FALSE),"")</f>
        <v>£87.3242/month</v>
      </c>
      <c r="I22" s="206">
        <f t="shared" si="2"/>
        <v>87.324200000000005</v>
      </c>
      <c r="J22" s="206">
        <f t="shared" si="3"/>
        <v>3056.3470000000002</v>
      </c>
      <c r="K22" s="206">
        <f t="shared" si="4"/>
        <v>1222.5388</v>
      </c>
      <c r="L22" s="206">
        <f>IF(Dashboard_VMCosts_1!$P$1="New",K22,J22)</f>
        <v>1222.5388</v>
      </c>
    </row>
    <row r="23" spans="2:12">
      <c r="B23" s="197" t="s">
        <v>58</v>
      </c>
      <c r="C23" s="198" t="str">
        <f t="shared" si="0"/>
        <v>D8ds v4</v>
      </c>
      <c r="D23" s="198">
        <v>9</v>
      </c>
      <c r="E23" s="198">
        <f>COUNTIFS(AzureVirtualMachines!AD:AD,'Dashboard Workings'!C23,AzureVirtualMachines!C:C,1)</f>
        <v>6</v>
      </c>
      <c r="F23" s="198">
        <f>IF(Dashboard_VMCosts_1!$P$1="New",E23,D23)</f>
        <v>6</v>
      </c>
      <c r="G23" s="199" t="str">
        <f t="shared" si="1"/>
        <v>Count: 6</v>
      </c>
      <c r="H23" s="200" t="str">
        <f>IFERROR(VLOOKUP(C23,'Web-SKUS'!A:G,7,FALSE),"")</f>
        <v>£174.6483/month</v>
      </c>
      <c r="I23" s="201">
        <f t="shared" si="2"/>
        <v>174.64830000000001</v>
      </c>
      <c r="J23" s="201">
        <f t="shared" si="3"/>
        <v>1571.8347000000001</v>
      </c>
      <c r="K23" s="201">
        <f t="shared" si="4"/>
        <v>1047.8897999999999</v>
      </c>
      <c r="L23" s="201">
        <f>IF(Dashboard_VMCosts_1!$P$1="New",K23,J23)</f>
        <v>1047.8897999999999</v>
      </c>
    </row>
    <row r="24" spans="2:12">
      <c r="B24" s="202" t="s">
        <v>59</v>
      </c>
      <c r="C24" s="203" t="str">
        <f t="shared" si="0"/>
        <v>D16ds v4</v>
      </c>
      <c r="D24" s="203">
        <v>0</v>
      </c>
      <c r="E24" s="203">
        <f>COUNTIFS(AzureVirtualMachines!AD:AD,'Dashboard Workings'!C24,AzureVirtualMachines!C:C,1)</f>
        <v>0</v>
      </c>
      <c r="F24" s="203">
        <f>IF(Dashboard_VMCosts_1!$P$1="New",E24,D24)</f>
        <v>0</v>
      </c>
      <c r="G24" s="204" t="str">
        <f t="shared" si="1"/>
        <v>Count: 0</v>
      </c>
      <c r="H24" s="205" t="str">
        <f>IFERROR(VLOOKUP(C24,'Web-SKUS'!A:G,7,FALSE),"")</f>
        <v>£349.2367/month</v>
      </c>
      <c r="I24" s="206">
        <f t="shared" si="2"/>
        <v>349.23669999999998</v>
      </c>
      <c r="J24" s="206">
        <f t="shared" si="3"/>
        <v>0</v>
      </c>
      <c r="K24" s="206">
        <f t="shared" si="4"/>
        <v>0</v>
      </c>
      <c r="L24" s="206">
        <f>IF(Dashboard_VMCosts_1!$P$1="New",K24,J24)</f>
        <v>0</v>
      </c>
    </row>
    <row r="25" spans="2:12">
      <c r="B25" s="197" t="s">
        <v>60</v>
      </c>
      <c r="C25" s="198" t="str">
        <f t="shared" si="0"/>
        <v>D32ds v4</v>
      </c>
      <c r="D25" s="198">
        <v>0</v>
      </c>
      <c r="E25" s="198">
        <f>COUNTIFS(AzureVirtualMachines!AD:AD,'Dashboard Workings'!C25,AzureVirtualMachines!C:C,1)</f>
        <v>0</v>
      </c>
      <c r="F25" s="198">
        <f>IF(Dashboard_VMCosts_1!$P$1="New",E25,D25)</f>
        <v>0</v>
      </c>
      <c r="G25" s="199" t="str">
        <f t="shared" si="1"/>
        <v>Count: 0</v>
      </c>
      <c r="H25" s="200" t="str">
        <f>IFERROR(VLOOKUP(C25,'Web-SKUS'!A:G,7,FALSE),"")</f>
        <v>£698.4788/month</v>
      </c>
      <c r="I25" s="201">
        <f t="shared" si="2"/>
        <v>698.47879999999998</v>
      </c>
      <c r="J25" s="201">
        <f t="shared" si="3"/>
        <v>0</v>
      </c>
      <c r="K25" s="201">
        <f t="shared" si="4"/>
        <v>0</v>
      </c>
      <c r="L25" s="201">
        <f>IF(Dashboard_VMCosts_1!$P$1="New",K25,J25)</f>
        <v>0</v>
      </c>
    </row>
    <row r="26" spans="2:12">
      <c r="B26" s="202" t="s">
        <v>61</v>
      </c>
      <c r="C26" s="203" t="str">
        <f t="shared" si="0"/>
        <v>D48ds v4</v>
      </c>
      <c r="D26" s="203">
        <v>0</v>
      </c>
      <c r="E26" s="203">
        <f>COUNTIFS(AzureVirtualMachines!AD:AD,'Dashboard Workings'!C26,AzureVirtualMachines!C:C,1)</f>
        <v>0</v>
      </c>
      <c r="F26" s="203">
        <f>IF(Dashboard_VMCosts_1!$P$1="New",E26,D26)</f>
        <v>0</v>
      </c>
      <c r="G26" s="204" t="str">
        <f t="shared" si="1"/>
        <v>Count: 0</v>
      </c>
      <c r="H26" s="205" t="str">
        <f>IFERROR(VLOOKUP(C26,'Web-SKUS'!A:G,7,FALSE),"")</f>
        <v>£1,047.7155/month</v>
      </c>
      <c r="I26" s="206">
        <f t="shared" si="2"/>
        <v>1047.7155</v>
      </c>
      <c r="J26" s="206">
        <f t="shared" si="3"/>
        <v>0</v>
      </c>
      <c r="K26" s="206">
        <f t="shared" si="4"/>
        <v>0</v>
      </c>
      <c r="L26" s="206">
        <f>IF(Dashboard_VMCosts_1!$P$1="New",K26,J26)</f>
        <v>0</v>
      </c>
    </row>
    <row r="27" spans="2:12">
      <c r="B27" s="197" t="s">
        <v>62</v>
      </c>
      <c r="C27" s="198" t="str">
        <f t="shared" si="0"/>
        <v>D64ds v4</v>
      </c>
      <c r="D27" s="198">
        <v>0</v>
      </c>
      <c r="E27" s="198">
        <f>COUNTIFS(AzureVirtualMachines!AD:AD,'Dashboard Workings'!C27,AzureVirtualMachines!C:C,1)</f>
        <v>0</v>
      </c>
      <c r="F27" s="198">
        <f>IF(Dashboard_VMCosts_1!$P$1="New",E27,D27)</f>
        <v>0</v>
      </c>
      <c r="G27" s="199" t="str">
        <f t="shared" si="1"/>
        <v>Count: 0</v>
      </c>
      <c r="H27" s="200" t="str">
        <f>IFERROR(VLOOKUP(C27,'Web-SKUS'!A:G,7,FALSE),"")</f>
        <v>£1,396.9576/month</v>
      </c>
      <c r="I27" s="201">
        <f t="shared" si="2"/>
        <v>1396.9576</v>
      </c>
      <c r="J27" s="201">
        <f t="shared" si="3"/>
        <v>0</v>
      </c>
      <c r="K27" s="201">
        <f t="shared" si="4"/>
        <v>0</v>
      </c>
      <c r="L27" s="201">
        <f>IF(Dashboard_VMCosts_1!$P$1="New",K27,J27)</f>
        <v>0</v>
      </c>
    </row>
    <row r="28" spans="2:12">
      <c r="B28" s="210" t="s">
        <v>63</v>
      </c>
      <c r="C28" s="211" t="str">
        <f t="shared" si="0"/>
        <v>E2ds v4</v>
      </c>
      <c r="D28" s="211">
        <v>0</v>
      </c>
      <c r="E28" s="211">
        <f>COUNTIFS(AzureVirtualMachines!AD:AD,'Dashboard Workings'!C28,AzureVirtualMachines!C:C,1)</f>
        <v>8</v>
      </c>
      <c r="F28" s="211">
        <f>IF(Dashboard_VMCosts_1!$P$1="New",E28,D28)</f>
        <v>8</v>
      </c>
      <c r="G28" s="212" t="str">
        <f t="shared" si="1"/>
        <v>Count: 8</v>
      </c>
      <c r="H28" s="213" t="str">
        <f>IFERROR(VLOOKUP(C28,'Web-SKUS'!A:G,7,FALSE),"")</f>
        <v>£55.5230/month</v>
      </c>
      <c r="I28" s="214">
        <f t="shared" si="2"/>
        <v>55.523000000000003</v>
      </c>
      <c r="J28" s="214">
        <f t="shared" si="3"/>
        <v>0</v>
      </c>
      <c r="K28" s="214">
        <f t="shared" si="4"/>
        <v>444.18400000000003</v>
      </c>
      <c r="L28" s="214">
        <f>IF(Dashboard_VMCosts_1!$P$1="New",K28,J28)</f>
        <v>444.18400000000003</v>
      </c>
    </row>
    <row r="29" spans="2:12">
      <c r="B29" s="215" t="s">
        <v>64</v>
      </c>
      <c r="C29" s="216" t="str">
        <f t="shared" si="0"/>
        <v>E4ds v4</v>
      </c>
      <c r="D29" s="216">
        <v>0</v>
      </c>
      <c r="E29" s="216">
        <f>COUNTIFS(AzureVirtualMachines!AD:AD,'Dashboard Workings'!C29,AzureVirtualMachines!C:C,1)</f>
        <v>5</v>
      </c>
      <c r="F29" s="216">
        <f>IF(Dashboard_VMCosts_1!$P$1="New",E29,D29)</f>
        <v>5</v>
      </c>
      <c r="G29" s="217" t="str">
        <f t="shared" si="1"/>
        <v>Count: 5</v>
      </c>
      <c r="H29" s="218" t="str">
        <f>IFERROR(VLOOKUP(C29,'Web-SKUS'!A:G,7,FALSE),"")</f>
        <v>£111.0513/month</v>
      </c>
      <c r="I29" s="219">
        <f t="shared" si="2"/>
        <v>111.0513</v>
      </c>
      <c r="J29" s="219">
        <f t="shared" si="3"/>
        <v>0</v>
      </c>
      <c r="K29" s="219">
        <f t="shared" si="4"/>
        <v>555.25649999999996</v>
      </c>
      <c r="L29" s="219">
        <f>IF(Dashboard_VMCosts_1!$P$1="New",K29,J29)</f>
        <v>555.25649999999996</v>
      </c>
    </row>
    <row r="30" spans="2:12">
      <c r="B30" s="210" t="s">
        <v>65</v>
      </c>
      <c r="C30" s="211" t="str">
        <f t="shared" si="0"/>
        <v>E4-2ds v4</v>
      </c>
      <c r="D30" s="211">
        <v>0</v>
      </c>
      <c r="E30" s="211">
        <f>COUNTIFS(AzureVirtualMachines!AD:AD,'Dashboard Workings'!C30,AzureVirtualMachines!C:C,1)</f>
        <v>5</v>
      </c>
      <c r="F30" s="211">
        <f>IF(Dashboard_VMCosts_1!$P$1="New",E30,D30)</f>
        <v>5</v>
      </c>
      <c r="G30" s="212" t="str">
        <f t="shared" si="1"/>
        <v>Count: 5</v>
      </c>
      <c r="H30" s="213" t="str">
        <f>IFERROR(VLOOKUP(C30,'Web-SKUS'!A:G,7,FALSE),"")</f>
        <v>£111.0513/month</v>
      </c>
      <c r="I30" s="214">
        <f t="shared" si="2"/>
        <v>111.0513</v>
      </c>
      <c r="J30" s="214">
        <f t="shared" si="3"/>
        <v>0</v>
      </c>
      <c r="K30" s="214">
        <f t="shared" si="4"/>
        <v>555.25649999999996</v>
      </c>
      <c r="L30" s="214">
        <f>IF(Dashboard_VMCosts_1!$P$1="New",K30,J30)</f>
        <v>555.25649999999996</v>
      </c>
    </row>
    <row r="31" spans="2:12">
      <c r="B31" s="215" t="s">
        <v>66</v>
      </c>
      <c r="C31" s="216" t="str">
        <f t="shared" si="0"/>
        <v>E8-2ds v4</v>
      </c>
      <c r="D31" s="216">
        <v>0</v>
      </c>
      <c r="E31" s="216">
        <f>COUNTIFS(AzureVirtualMachines!AD:AD,'Dashboard Workings'!C31,AzureVirtualMachines!C:C,1)</f>
        <v>1</v>
      </c>
      <c r="F31" s="216">
        <f>IF(Dashboard_VMCosts_1!$P$1="New",E31,D31)</f>
        <v>1</v>
      </c>
      <c r="G31" s="217" t="str">
        <f t="shared" si="1"/>
        <v>Count: 1</v>
      </c>
      <c r="H31" s="218" t="str">
        <f>IFERROR(VLOOKUP(C31,'Web-SKUS'!A:G,7,FALSE),"")</f>
        <v>£222.1624/month</v>
      </c>
      <c r="I31" s="219">
        <f t="shared" si="2"/>
        <v>222.16239999999999</v>
      </c>
      <c r="J31" s="219">
        <f t="shared" si="3"/>
        <v>0</v>
      </c>
      <c r="K31" s="219">
        <f t="shared" si="4"/>
        <v>222.16239999999999</v>
      </c>
      <c r="L31" s="219">
        <f>IF(Dashboard_VMCosts_1!$P$1="New",K31,J31)</f>
        <v>222.16239999999999</v>
      </c>
    </row>
    <row r="32" spans="2:12">
      <c r="B32" s="210" t="s">
        <v>67</v>
      </c>
      <c r="C32" s="211" t="str">
        <f t="shared" si="0"/>
        <v>E8-4ds v4</v>
      </c>
      <c r="D32" s="211">
        <v>0</v>
      </c>
      <c r="E32" s="211">
        <f>COUNTIFS(AzureVirtualMachines!AD:AD,'Dashboard Workings'!C32,AzureVirtualMachines!C:C,1)</f>
        <v>2</v>
      </c>
      <c r="F32" s="211">
        <f>IF(Dashboard_VMCosts_1!$P$1="New",E32,D32)</f>
        <v>2</v>
      </c>
      <c r="G32" s="212" t="str">
        <f t="shared" si="1"/>
        <v>Count: 2</v>
      </c>
      <c r="H32" s="213" t="str">
        <f>IFERROR(VLOOKUP(C32,'Web-SKUS'!A:G,7,FALSE),"")</f>
        <v>£222.1624/month</v>
      </c>
      <c r="I32" s="214">
        <f t="shared" si="2"/>
        <v>222.16239999999999</v>
      </c>
      <c r="J32" s="214">
        <f t="shared" si="3"/>
        <v>0</v>
      </c>
      <c r="K32" s="214">
        <f t="shared" si="4"/>
        <v>444.32479999999998</v>
      </c>
      <c r="L32" s="214">
        <f>IF(Dashboard_VMCosts_1!$P$1="New",K32,J32)</f>
        <v>444.32479999999998</v>
      </c>
    </row>
    <row r="33" spans="2:12">
      <c r="B33" s="215" t="s">
        <v>68</v>
      </c>
      <c r="C33" s="216" t="str">
        <f t="shared" si="0"/>
        <v>E8ds v4</v>
      </c>
      <c r="D33" s="216">
        <v>2</v>
      </c>
      <c r="E33" s="216">
        <f>COUNTIFS(AzureVirtualMachines!AD:AD,'Dashboard Workings'!C33,AzureVirtualMachines!C:C,1)</f>
        <v>1</v>
      </c>
      <c r="F33" s="216">
        <f>IF(Dashboard_VMCosts_1!$P$1="New",E33,D33)</f>
        <v>1</v>
      </c>
      <c r="G33" s="217" t="str">
        <f t="shared" si="1"/>
        <v>Count: 1</v>
      </c>
      <c r="H33" s="218" t="str">
        <f>IFERROR(VLOOKUP(C33,'Web-SKUS'!A:G,7,FALSE),"")</f>
        <v>£222.1624/month</v>
      </c>
      <c r="I33" s="219">
        <f t="shared" si="2"/>
        <v>222.16239999999999</v>
      </c>
      <c r="J33" s="219">
        <f t="shared" si="3"/>
        <v>444.32479999999998</v>
      </c>
      <c r="K33" s="219">
        <f t="shared" si="4"/>
        <v>222.16239999999999</v>
      </c>
      <c r="L33" s="219">
        <f>IF(Dashboard_VMCosts_1!$P$1="New",K33,J33)</f>
        <v>222.16239999999999</v>
      </c>
    </row>
    <row r="34" spans="2:12">
      <c r="B34" s="210" t="s">
        <v>69</v>
      </c>
      <c r="C34" s="211" t="str">
        <f t="shared" si="0"/>
        <v>E16-8ds v4</v>
      </c>
      <c r="D34" s="211">
        <v>0</v>
      </c>
      <c r="E34" s="211">
        <f>COUNTIFS(AzureVirtualMachines!AD:AD,'Dashboard Workings'!C34,AzureVirtualMachines!C:C,1)</f>
        <v>0</v>
      </c>
      <c r="F34" s="211">
        <f>IF(Dashboard_VMCosts_1!$P$1="New",E34,D34)</f>
        <v>0</v>
      </c>
      <c r="G34" s="212" t="str">
        <f t="shared" si="1"/>
        <v>Count: 0</v>
      </c>
      <c r="H34" s="213" t="str">
        <f>IFERROR(VLOOKUP(C34,'Web-SKUS'!A:G,7,FALSE),"")</f>
        <v>£444.2650/month</v>
      </c>
      <c r="I34" s="214">
        <f t="shared" si="2"/>
        <v>444.26499999999999</v>
      </c>
      <c r="J34" s="214">
        <f t="shared" si="3"/>
        <v>0</v>
      </c>
      <c r="K34" s="214">
        <f t="shared" si="4"/>
        <v>0</v>
      </c>
      <c r="L34" s="214">
        <f>IF(Dashboard_VMCosts_1!$P$1="New",K34,J34)</f>
        <v>0</v>
      </c>
    </row>
    <row r="35" spans="2:12">
      <c r="B35" s="215" t="s">
        <v>70</v>
      </c>
      <c r="C35" s="216" t="str">
        <f t="shared" si="0"/>
        <v>E16-4ds v4</v>
      </c>
      <c r="D35" s="216">
        <v>0</v>
      </c>
      <c r="E35" s="216">
        <f>COUNTIFS(AzureVirtualMachines!AD:AD,'Dashboard Workings'!C35,AzureVirtualMachines!C:C,1)</f>
        <v>1</v>
      </c>
      <c r="F35" s="216">
        <f>IF(Dashboard_VMCosts_1!$P$1="New",E35,D35)</f>
        <v>1</v>
      </c>
      <c r="G35" s="217" t="str">
        <f t="shared" si="1"/>
        <v>Count: 1</v>
      </c>
      <c r="H35" s="218" t="str">
        <f>IFERROR(VLOOKUP(C35,'Web-SKUS'!A:G,7,FALSE),"")</f>
        <v>£444.2650/month</v>
      </c>
      <c r="I35" s="219">
        <f t="shared" si="2"/>
        <v>444.26499999999999</v>
      </c>
      <c r="J35" s="219">
        <f t="shared" si="3"/>
        <v>0</v>
      </c>
      <c r="K35" s="219">
        <f t="shared" si="4"/>
        <v>444.26499999999999</v>
      </c>
      <c r="L35" s="219">
        <f>IF(Dashboard_VMCosts_1!$P$1="New",K35,J35)</f>
        <v>444.26499999999999</v>
      </c>
    </row>
    <row r="36" spans="2:12">
      <c r="B36" s="210" t="s">
        <v>71</v>
      </c>
      <c r="C36" s="211" t="str">
        <f t="shared" si="0"/>
        <v>E16ds v4</v>
      </c>
      <c r="D36" s="211">
        <v>1</v>
      </c>
      <c r="E36" s="211">
        <f>COUNTIFS(AzureVirtualMachines!AD:AD,'Dashboard Workings'!C36,AzureVirtualMachines!C:C,1)</f>
        <v>0</v>
      </c>
      <c r="F36" s="211">
        <f>IF(Dashboard_VMCosts_1!$P$1="New",E36,D36)</f>
        <v>0</v>
      </c>
      <c r="G36" s="212" t="str">
        <f t="shared" si="1"/>
        <v>Count: 0</v>
      </c>
      <c r="H36" s="213" t="str">
        <f>IFERROR(VLOOKUP(C36,'Web-SKUS'!A:G,7,FALSE),"")</f>
        <v>£444.2650/month</v>
      </c>
      <c r="I36" s="214">
        <f t="shared" si="2"/>
        <v>444.26499999999999</v>
      </c>
      <c r="J36" s="214">
        <f t="shared" si="3"/>
        <v>444.26499999999999</v>
      </c>
      <c r="K36" s="214">
        <f t="shared" si="4"/>
        <v>0</v>
      </c>
      <c r="L36" s="214">
        <f>IF(Dashboard_VMCosts_1!$P$1="New",K36,J36)</f>
        <v>0</v>
      </c>
    </row>
    <row r="37" spans="2:12">
      <c r="B37" s="215" t="s">
        <v>72</v>
      </c>
      <c r="C37" s="216" t="str">
        <f t="shared" si="0"/>
        <v>E20ds v4</v>
      </c>
      <c r="D37" s="216">
        <v>0</v>
      </c>
      <c r="E37" s="216">
        <f>COUNTIFS(AzureVirtualMachines!AD:AD,'Dashboard Workings'!C37,AzureVirtualMachines!C:C,1)</f>
        <v>5</v>
      </c>
      <c r="F37" s="216">
        <f>IF(Dashboard_VMCosts_1!$P$1="New",E37,D37)</f>
        <v>5</v>
      </c>
      <c r="G37" s="217" t="str">
        <f t="shared" si="1"/>
        <v>Count: 5</v>
      </c>
      <c r="H37" s="218" t="str">
        <f>IFERROR(VLOOKUP(C37,'Web-SKUS'!A:G,7,FALSE),"")</f>
        <v>£555.3162/month</v>
      </c>
      <c r="I37" s="219">
        <f t="shared" si="2"/>
        <v>555.31619999999998</v>
      </c>
      <c r="J37" s="219">
        <f t="shared" si="3"/>
        <v>0</v>
      </c>
      <c r="K37" s="219">
        <f t="shared" si="4"/>
        <v>2776.5810000000001</v>
      </c>
      <c r="L37" s="219">
        <f>IF(Dashboard_VMCosts_1!$P$1="New",K37,J37)</f>
        <v>2776.5810000000001</v>
      </c>
    </row>
    <row r="38" spans="2:12">
      <c r="B38" s="210" t="s">
        <v>73</v>
      </c>
      <c r="C38" s="211" t="str">
        <f t="shared" si="0"/>
        <v>E32-16ds v4</v>
      </c>
      <c r="D38" s="211">
        <v>0</v>
      </c>
      <c r="E38" s="211">
        <f>COUNTIFS(AzureVirtualMachines!AD:AD,'Dashboard Workings'!C38,AzureVirtualMachines!C:C,1)</f>
        <v>0</v>
      </c>
      <c r="F38" s="211">
        <f>IF(Dashboard_VMCosts_1!$P$1="New",E38,D38)</f>
        <v>0</v>
      </c>
      <c r="G38" s="212" t="str">
        <f t="shared" si="1"/>
        <v>Count: 0</v>
      </c>
      <c r="H38" s="213" t="str">
        <f>IFERROR(VLOOKUP(C38,'Web-SKUS'!A:G,7,FALSE),"")</f>
        <v>£888.5353/month</v>
      </c>
      <c r="I38" s="214">
        <f t="shared" si="2"/>
        <v>888.53530000000001</v>
      </c>
      <c r="J38" s="214">
        <f t="shared" si="3"/>
        <v>0</v>
      </c>
      <c r="K38" s="214">
        <f t="shared" si="4"/>
        <v>0</v>
      </c>
      <c r="L38" s="214">
        <f>IF(Dashboard_VMCosts_1!$P$1="New",K38,J38)</f>
        <v>0</v>
      </c>
    </row>
    <row r="39" spans="2:12">
      <c r="B39" s="215" t="s">
        <v>74</v>
      </c>
      <c r="C39" s="216" t="str">
        <f t="shared" si="0"/>
        <v>E32ds v4</v>
      </c>
      <c r="D39" s="216">
        <v>1</v>
      </c>
      <c r="E39" s="216">
        <f>COUNTIFS(AzureVirtualMachines!AD:AD,'Dashboard Workings'!C39,AzureVirtualMachines!C:C,1)</f>
        <v>0</v>
      </c>
      <c r="F39" s="216">
        <f>IF(Dashboard_VMCosts_1!$P$1="New",E39,D39)</f>
        <v>0</v>
      </c>
      <c r="G39" s="217" t="str">
        <f t="shared" si="1"/>
        <v>Count: 0</v>
      </c>
      <c r="H39" s="218" t="str">
        <f>IFERROR(VLOOKUP(C39,'Web-SKUS'!A:G,7,FALSE),"")</f>
        <v>£888.5353/month</v>
      </c>
      <c r="I39" s="219">
        <f t="shared" si="2"/>
        <v>888.53530000000001</v>
      </c>
      <c r="J39" s="219">
        <f t="shared" si="3"/>
        <v>888.53530000000001</v>
      </c>
      <c r="K39" s="219">
        <f t="shared" si="4"/>
        <v>0</v>
      </c>
      <c r="L39" s="219">
        <f>IF(Dashboard_VMCosts_1!$P$1="New",K39,J39)</f>
        <v>0</v>
      </c>
    </row>
    <row r="40" spans="2:12">
      <c r="B40" s="210" t="s">
        <v>75</v>
      </c>
      <c r="C40" s="211" t="str">
        <f t="shared" si="0"/>
        <v>E32-8ds v4</v>
      </c>
      <c r="D40" s="211">
        <v>0</v>
      </c>
      <c r="E40" s="211">
        <f>COUNTIFS(AzureVirtualMachines!AD:AD,'Dashboard Workings'!C40,AzureVirtualMachines!C:C,1)</f>
        <v>2</v>
      </c>
      <c r="F40" s="211">
        <f>IF(Dashboard_VMCosts_1!$P$1="New",E40,D40)</f>
        <v>2</v>
      </c>
      <c r="G40" s="212" t="str">
        <f t="shared" si="1"/>
        <v>Count: 2</v>
      </c>
      <c r="H40" s="213" t="str">
        <f>IFERROR(VLOOKUP(C40,'Web-SKUS'!A:G,7,FALSE),"")</f>
        <v>£888.5353/month</v>
      </c>
      <c r="I40" s="214">
        <f t="shared" si="2"/>
        <v>888.53530000000001</v>
      </c>
      <c r="J40" s="214">
        <f t="shared" si="3"/>
        <v>0</v>
      </c>
      <c r="K40" s="214">
        <f t="shared" si="4"/>
        <v>1777.0706</v>
      </c>
      <c r="L40" s="214">
        <f>IF(Dashboard_VMCosts_1!$P$1="New",K40,J40)</f>
        <v>1777.0706</v>
      </c>
    </row>
    <row r="41" spans="2:12">
      <c r="B41" s="215" t="s">
        <v>76</v>
      </c>
      <c r="C41" s="216" t="str">
        <f t="shared" si="0"/>
        <v>E48ds v4</v>
      </c>
      <c r="D41" s="216">
        <v>0</v>
      </c>
      <c r="E41" s="216">
        <f>COUNTIFS(AzureVirtualMachines!AD:AD,'Dashboard Workings'!C41,AzureVirtualMachines!C:C,1)</f>
        <v>0</v>
      </c>
      <c r="F41" s="216">
        <f>IF(Dashboard_VMCosts_1!$P$1="New",E41,D41)</f>
        <v>0</v>
      </c>
      <c r="G41" s="217" t="str">
        <f t="shared" si="1"/>
        <v>Count: 0</v>
      </c>
      <c r="H41" s="218" t="str">
        <f>IFERROR(VLOOKUP(C41,'Web-SKUS'!A:G,7,FALSE),"")</f>
        <v>£1,332.8002/month</v>
      </c>
      <c r="I41" s="219">
        <f t="shared" si="2"/>
        <v>1332.8001999999999</v>
      </c>
      <c r="J41" s="219">
        <f t="shared" si="3"/>
        <v>0</v>
      </c>
      <c r="K41" s="219">
        <f t="shared" si="4"/>
        <v>0</v>
      </c>
      <c r="L41" s="219">
        <f>IF(Dashboard_VMCosts_1!$P$1="New",K41,J41)</f>
        <v>0</v>
      </c>
    </row>
    <row r="42" spans="2:12">
      <c r="B42" s="176" t="s">
        <v>77</v>
      </c>
      <c r="C42" s="177" t="str">
        <f t="shared" si="0"/>
        <v>F2s v2</v>
      </c>
      <c r="D42" s="177">
        <v>2</v>
      </c>
      <c r="E42" s="177">
        <f>COUNTIFS(AzureVirtualMachines!AD:AD,'Dashboard Workings'!C42,AzureVirtualMachines!C:C,1)</f>
        <v>50</v>
      </c>
      <c r="F42" s="177">
        <f>IF(Dashboard_VMCosts_1!$P$1="New",E42,D42)</f>
        <v>50</v>
      </c>
      <c r="G42" s="178" t="str">
        <f t="shared" si="1"/>
        <v>Count: 50</v>
      </c>
      <c r="H42" s="183" t="str">
        <f>IFERROR(VLOOKUP(C42,'Web-SKUS'!A:G,7,FALSE),"")</f>
        <v>£31.2409/month</v>
      </c>
      <c r="I42" s="185">
        <f t="shared" si="2"/>
        <v>31.2409</v>
      </c>
      <c r="J42" s="185">
        <f t="shared" si="3"/>
        <v>62.4818</v>
      </c>
      <c r="K42" s="185">
        <f t="shared" si="4"/>
        <v>1562.0450000000001</v>
      </c>
      <c r="L42" s="185">
        <f>IF(Dashboard_VMCosts_1!$P$1="New",K42,J42)</f>
        <v>1562.0450000000001</v>
      </c>
    </row>
    <row r="43" spans="2:12">
      <c r="B43" s="179" t="s">
        <v>78</v>
      </c>
      <c r="C43" s="180" t="str">
        <f t="shared" si="0"/>
        <v>F4s v2</v>
      </c>
      <c r="D43" s="180">
        <v>2</v>
      </c>
      <c r="E43" s="180">
        <f>COUNTIFS(AzureVirtualMachines!AD:AD,'Dashboard Workings'!C43,AzureVirtualMachines!C:C,1)</f>
        <v>6</v>
      </c>
      <c r="F43" s="180">
        <f>IF(Dashboard_VMCosts_1!$P$1="New",E43,D43)</f>
        <v>6</v>
      </c>
      <c r="G43" s="181" t="str">
        <f t="shared" si="1"/>
        <v>Count: 6</v>
      </c>
      <c r="H43" s="184" t="str">
        <f>IFERROR(VLOOKUP(C43,'Web-SKUS'!A:G,7,FALSE),"")</f>
        <v>£62.5415/month</v>
      </c>
      <c r="I43" s="186">
        <f t="shared" si="2"/>
        <v>62.541499999999999</v>
      </c>
      <c r="J43" s="186">
        <f t="shared" si="3"/>
        <v>125.083</v>
      </c>
      <c r="K43" s="186">
        <f t="shared" si="4"/>
        <v>375.24900000000002</v>
      </c>
      <c r="L43" s="186">
        <f>IF(Dashboard_VMCosts_1!$P$1="New",K43,J43)</f>
        <v>375.24900000000002</v>
      </c>
    </row>
    <row r="44" spans="2:12">
      <c r="B44" s="176" t="s">
        <v>79</v>
      </c>
      <c r="C44" s="177" t="str">
        <f t="shared" si="0"/>
        <v>F8s v2</v>
      </c>
      <c r="D44" s="177">
        <v>7</v>
      </c>
      <c r="E44" s="177">
        <f>COUNTIFS(AzureVirtualMachines!AD:AD,'Dashboard Workings'!C44,AzureVirtualMachines!C:C,1)</f>
        <v>0</v>
      </c>
      <c r="F44" s="177">
        <f>IF(Dashboard_VMCosts_1!$P$1="New",E44,D44)</f>
        <v>0</v>
      </c>
      <c r="G44" s="178" t="str">
        <f t="shared" si="1"/>
        <v>Count: 0</v>
      </c>
      <c r="H44" s="183" t="str">
        <f>IFERROR(VLOOKUP(C44,'Web-SKUS'!A:G,7,FALSE),"")</f>
        <v>£125.0232/month</v>
      </c>
      <c r="I44" s="185">
        <f t="shared" si="2"/>
        <v>125.0232</v>
      </c>
      <c r="J44" s="185">
        <f t="shared" si="3"/>
        <v>875.16240000000005</v>
      </c>
      <c r="K44" s="185">
        <f t="shared" si="4"/>
        <v>0</v>
      </c>
      <c r="L44" s="185">
        <f>IF(Dashboard_VMCosts_1!$P$1="New",K44,J44)</f>
        <v>0</v>
      </c>
    </row>
    <row r="45" spans="2:12">
      <c r="B45" s="179" t="s">
        <v>80</v>
      </c>
      <c r="C45" s="180" t="str">
        <f t="shared" si="0"/>
        <v>F16s v2</v>
      </c>
      <c r="D45" s="180">
        <v>2</v>
      </c>
      <c r="E45" s="180">
        <f>COUNTIFS(AzureVirtualMachines!AD:AD,'Dashboard Workings'!C45,AzureVirtualMachines!C:C,1)</f>
        <v>0</v>
      </c>
      <c r="F45" s="180">
        <f>IF(Dashboard_VMCosts_1!$P$1="New",E45,D45)</f>
        <v>0</v>
      </c>
      <c r="G45" s="181" t="str">
        <f t="shared" si="1"/>
        <v>Count: 0</v>
      </c>
      <c r="H45" s="184" t="str">
        <f>IFERROR(VLOOKUP(C45,'Web-SKUS'!A:G,7,FALSE),"")</f>
        <v>£250.0517/month</v>
      </c>
      <c r="I45" s="186">
        <f t="shared" si="2"/>
        <v>250.05170000000001</v>
      </c>
      <c r="J45" s="186">
        <f t="shared" si="3"/>
        <v>500.10340000000002</v>
      </c>
      <c r="K45" s="186">
        <f t="shared" si="4"/>
        <v>0</v>
      </c>
      <c r="L45" s="186">
        <f>IF(Dashboard_VMCosts_1!$P$1="New",K45,J45)</f>
        <v>0</v>
      </c>
    </row>
    <row r="46" spans="2:12">
      <c r="B46" s="176" t="s">
        <v>81</v>
      </c>
      <c r="C46" s="177" t="str">
        <f t="shared" si="0"/>
        <v>F32s v2</v>
      </c>
      <c r="D46" s="177">
        <v>1</v>
      </c>
      <c r="E46" s="177">
        <f>COUNTIFS(AzureVirtualMachines!AD:AD,'Dashboard Workings'!C46,AzureVirtualMachines!C:C,1)</f>
        <v>0</v>
      </c>
      <c r="F46" s="177">
        <f>IF(Dashboard_VMCosts_1!$P$1="New",E46,D46)</f>
        <v>0</v>
      </c>
      <c r="G46" s="178" t="str">
        <f t="shared" si="1"/>
        <v>Count: 0</v>
      </c>
      <c r="H46" s="183" t="str">
        <f>IFERROR(VLOOKUP(C46,'Web-SKUS'!A:G,7,FALSE),"")</f>
        <v>£500.1633/month</v>
      </c>
      <c r="I46" s="185">
        <f t="shared" si="2"/>
        <v>500.16329999999999</v>
      </c>
      <c r="J46" s="185">
        <f t="shared" si="3"/>
        <v>500.16329999999999</v>
      </c>
      <c r="K46" s="185">
        <f t="shared" si="4"/>
        <v>0</v>
      </c>
      <c r="L46" s="185">
        <f>IF(Dashboard_VMCosts_1!$P$1="New",K46,J46)</f>
        <v>0</v>
      </c>
    </row>
    <row r="47" spans="2:12">
      <c r="B47" s="179" t="s">
        <v>82</v>
      </c>
      <c r="C47" s="180" t="str">
        <f t="shared" si="0"/>
        <v>F48s v2</v>
      </c>
      <c r="D47" s="180">
        <v>0</v>
      </c>
      <c r="E47" s="180">
        <f>COUNTIFS(AzureVirtualMachines!AD:AD,'Dashboard Workings'!C47,AzureVirtualMachines!C:C,1)</f>
        <v>0</v>
      </c>
      <c r="F47" s="180">
        <f>IF(Dashboard_VMCosts_1!$P$1="New",E47,D47)</f>
        <v>0</v>
      </c>
      <c r="G47" s="181" t="str">
        <f t="shared" si="1"/>
        <v>Count: 0</v>
      </c>
      <c r="H47" s="184" t="str">
        <f>IFERROR(VLOOKUP(C47,'Web-SKUS'!A:G,7,FALSE),"")</f>
        <v>£750.2150/month</v>
      </c>
      <c r="I47" s="186">
        <f t="shared" si="2"/>
        <v>750.21500000000003</v>
      </c>
      <c r="J47" s="186">
        <f t="shared" si="3"/>
        <v>0</v>
      </c>
      <c r="K47" s="186">
        <f t="shared" si="4"/>
        <v>0</v>
      </c>
      <c r="L47" s="186">
        <f>IF(Dashboard_VMCosts_1!$P$1="New",K47,J47)</f>
        <v>0</v>
      </c>
    </row>
    <row r="48" spans="2:12">
      <c r="B48" s="176" t="s">
        <v>83</v>
      </c>
      <c r="C48" s="177" t="str">
        <f t="shared" si="0"/>
        <v>F64s v2</v>
      </c>
      <c r="D48" s="177">
        <v>0</v>
      </c>
      <c r="E48" s="177">
        <f>COUNTIFS(AzureVirtualMachines!AD:AD,'Dashboard Workings'!C48,AzureVirtualMachines!C:C,1)</f>
        <v>0</v>
      </c>
      <c r="F48" s="177">
        <f>IF(Dashboard_VMCosts_1!$P$1="New",E48,D48)</f>
        <v>0</v>
      </c>
      <c r="G48" s="178" t="str">
        <f t="shared" si="1"/>
        <v>Count: 0</v>
      </c>
      <c r="H48" s="183" t="str">
        <f>IFERROR(VLOOKUP(C48,'Web-SKUS'!A:G,7,FALSE),"")</f>
        <v>£1,000.3265/month</v>
      </c>
      <c r="I48" s="185">
        <f t="shared" si="2"/>
        <v>1000.3265</v>
      </c>
      <c r="J48" s="185">
        <f t="shared" si="3"/>
        <v>0</v>
      </c>
      <c r="K48" s="185">
        <f t="shared" si="4"/>
        <v>0</v>
      </c>
      <c r="L48" s="185">
        <f>IF(Dashboard_VMCosts_1!$P$1="New",K48,J48)</f>
        <v>0</v>
      </c>
    </row>
    <row r="49" spans="2:14">
      <c r="B49" s="179" t="s">
        <v>84</v>
      </c>
      <c r="C49" s="180" t="str">
        <f t="shared" si="0"/>
        <v>F72s v2</v>
      </c>
      <c r="D49" s="180">
        <v>0</v>
      </c>
      <c r="E49" s="180">
        <f>COUNTIFS(AzureVirtualMachines!AD:AD,'Dashboard Workings'!C49,AzureVirtualMachines!C:C,1)</f>
        <v>0</v>
      </c>
      <c r="F49" s="180">
        <f>IF(Dashboard_VMCosts_1!$P$1="New",E49,D49)</f>
        <v>0</v>
      </c>
      <c r="G49" s="181" t="str">
        <f t="shared" si="1"/>
        <v>Count: 0</v>
      </c>
      <c r="H49" s="184" t="str">
        <f>IFERROR(VLOOKUP(C49,'Web-SKUS'!A:G,7,FALSE),"")</f>
        <v>£1,125.3551/month</v>
      </c>
      <c r="I49" s="186">
        <f t="shared" si="2"/>
        <v>1125.3551</v>
      </c>
      <c r="J49" s="186">
        <f t="shared" si="3"/>
        <v>0</v>
      </c>
      <c r="K49" s="186">
        <f t="shared" si="4"/>
        <v>0</v>
      </c>
      <c r="L49" s="186">
        <f>IF(Dashboard_VMCosts_1!$P$1="New",K49,J49)</f>
        <v>0</v>
      </c>
    </row>
    <row r="50" spans="2:14">
      <c r="B50" s="176" t="s">
        <v>85</v>
      </c>
      <c r="C50" s="177" t="str">
        <f>IFERROR(REPLACE(REPLACE(B50,FIND("Standard_",B50,1),9,""),FIND("_",REPLACE(B50,FIND("Standard_",B50,1),9,""),1),1," "),REPLACE(B50,FIND("Standard_",B50,1),9,""))</f>
        <v>F2s</v>
      </c>
      <c r="D50" s="177">
        <v>3</v>
      </c>
      <c r="E50" s="177">
        <f>COUNTIFS(AzureVirtualMachines!AD:AD,'Dashboard Workings'!C50,AzureVirtualMachines!C:C,1)</f>
        <v>0</v>
      </c>
      <c r="F50" s="177">
        <f>IF(Dashboard_VMCosts_1!$P$1="New",E50,D50)</f>
        <v>0</v>
      </c>
      <c r="G50" s="178" t="str">
        <f>_xlfn.CONCAT("Count: ",F50)</f>
        <v>Count: 0</v>
      </c>
      <c r="H50" s="183" t="str">
        <f>IFERROR(VLOOKUP(C50,'Web-SKUS'!A:G,7,FALSE),"")</f>
        <v>£44.9679/month</v>
      </c>
      <c r="I50" s="185">
        <f>IFERROR(_xlfn.NUMBERVALUE(REPLACE(REPLACE(H50,FIND("/month",H50,1),6,),FIND("£",REPLACE(H50,FIND("/month",H50,1),6,),1),1,),".",","),"")</f>
        <v>44.9679</v>
      </c>
      <c r="J50" s="185">
        <f t="shared" si="3"/>
        <v>134.90370000000001</v>
      </c>
      <c r="K50" s="185">
        <f t="shared" si="4"/>
        <v>0</v>
      </c>
      <c r="L50" s="185">
        <f>IF(Dashboard_VMCosts_1!$P$1="New",K50,J50)</f>
        <v>0</v>
      </c>
    </row>
    <row r="51" spans="2:14">
      <c r="B51" s="179"/>
      <c r="C51" s="180"/>
      <c r="D51" s="180"/>
      <c r="E51" s="180"/>
      <c r="F51" s="180"/>
      <c r="G51" s="181"/>
      <c r="H51" s="184"/>
      <c r="I51" s="186"/>
      <c r="J51" s="186"/>
      <c r="K51" s="186"/>
      <c r="L51" s="186"/>
    </row>
    <row r="52" spans="2:14">
      <c r="B52" s="176"/>
      <c r="C52" s="177"/>
      <c r="D52" s="177"/>
      <c r="E52" s="177"/>
      <c r="F52" s="177"/>
      <c r="G52" s="178"/>
      <c r="H52" s="183"/>
      <c r="I52" s="185"/>
      <c r="J52" s="185"/>
      <c r="K52" s="185"/>
      <c r="L52" s="185"/>
    </row>
    <row r="53" spans="2:14">
      <c r="B53" s="179"/>
      <c r="C53" s="180"/>
      <c r="D53" s="180"/>
      <c r="E53" s="180"/>
      <c r="F53" s="180"/>
      <c r="G53" s="181"/>
      <c r="H53" s="184"/>
      <c r="I53" s="186"/>
      <c r="J53" s="186"/>
      <c r="K53" s="186"/>
      <c r="L53" s="186"/>
    </row>
    <row r="56" spans="2:14">
      <c r="B56" s="8" t="s">
        <v>86</v>
      </c>
      <c r="G56" s="8">
        <f>SUM(D2:D50)</f>
        <v>101</v>
      </c>
    </row>
    <row r="57" spans="2:14">
      <c r="B57" s="8" t="s">
        <v>87</v>
      </c>
      <c r="G57" s="8">
        <f>SUM(E2:E50)</f>
        <v>123</v>
      </c>
    </row>
    <row r="58" spans="2:14">
      <c r="B58" s="8" t="s">
        <v>88</v>
      </c>
      <c r="G58" s="8">
        <f>COUNTIFS(AzureVirtualMachines!C:C,1)</f>
        <v>167</v>
      </c>
    </row>
    <row r="59" spans="2:14">
      <c r="B59" s="8" t="s">
        <v>89</v>
      </c>
      <c r="G59" s="116">
        <f>SUM(J2:J50)</f>
        <v>10771.777900000001</v>
      </c>
    </row>
    <row r="60" spans="2:14">
      <c r="B60" s="8" t="s">
        <v>10</v>
      </c>
      <c r="G60" s="116">
        <f>SUM(L2:L50)</f>
        <v>12413.0427</v>
      </c>
    </row>
    <row r="62" spans="2:14">
      <c r="E62" s="8" t="e" cm="1">
        <f t="array" aca="1" ref="E62" ca="1">Product</f>
        <v>#N/A</v>
      </c>
      <c r="N62" t="e">
        <f>IFERROR(REPLACE(REPLACE(O137,FIND("Standard_",O137,1),9,""),FIND("_",REPLACE(O137,FIND("Standard_",O137,1),9,""),1),1," "),REPLACE(O137,FIND("Standard_",O137,1),9,""))</f>
        <v>#VALUE!</v>
      </c>
    </row>
    <row r="63" spans="2:14">
      <c r="B63" s="8" t="s">
        <v>90</v>
      </c>
      <c r="C63" s="116">
        <f ca="1">SUMIF(AzureVirtualMachines!C:C,1,AzureVirtualMachines!AO2:AO314)</f>
        <v>25900.377199999984</v>
      </c>
      <c r="D63" s="116" t="str">
        <f ca="1">_xlfn.CONCAT("£ ",ROUND(C63,2)," /month")</f>
        <v>£ 25900.38 /month</v>
      </c>
    </row>
    <row r="64" spans="2:14">
      <c r="B64" s="8" t="s">
        <v>91</v>
      </c>
      <c r="C64" s="116">
        <f>SUM(AzureVirtualMachines!AP2:AP314)</f>
        <v>45788.769199999952</v>
      </c>
      <c r="D64" s="116" t="str">
        <f>_xlfn.CONCAT("£ ",ROUND(C64,2)," /month")</f>
        <v>£ 45788.77 /month</v>
      </c>
    </row>
    <row r="65" spans="2:15">
      <c r="B65" s="8" t="s">
        <v>18</v>
      </c>
      <c r="C65" s="116">
        <f ca="1">C63-C64</f>
        <v>-19888.391999999967</v>
      </c>
      <c r="D65" s="116" t="str">
        <f ca="1">_xlfn.CONCAT("£ ",ROUND(C65,2)," /month")</f>
        <v>£ -19888.39 /month</v>
      </c>
    </row>
    <row r="66" spans="2:15">
      <c r="B66" s="8" t="s">
        <v>92</v>
      </c>
      <c r="C66" s="116">
        <f>SUM(L2:L50)</f>
        <v>12413.0427</v>
      </c>
      <c r="D66" s="116" t="str">
        <f>_xlfn.CONCAT("£ ",ROUND(C66,2)," /month")</f>
        <v>£ 12413.04 /month</v>
      </c>
    </row>
    <row r="67" spans="2:15">
      <c r="B67" s="8" t="s">
        <v>93</v>
      </c>
      <c r="C67" s="8">
        <f>SUM(F2:F50)</f>
        <v>123</v>
      </c>
      <c r="D67" s="116" t="str">
        <f>_xlfn.CONCAT(ROUND(C67,2))</f>
        <v>123</v>
      </c>
    </row>
    <row r="69" spans="2:15" ht="23.25" customHeight="1">
      <c r="B69" s="8" t="s">
        <v>17</v>
      </c>
      <c r="D69" s="8" cm="1">
        <f t="array" aca="1" ref="D69" ca="1">INDIRECT(ADDRESS(69-1+MATCH(N70,B69:B70,1),3))</f>
        <v>0</v>
      </c>
      <c r="E69" s="8" t="str">
        <f>ADDRESS(69-1+MATCH(N70,B69:B70,1),2)</f>
        <v>$B$69</v>
      </c>
    </row>
    <row r="70" spans="2:15" ht="25.5" customHeight="1">
      <c r="B70" s="8" t="s">
        <v>0</v>
      </c>
      <c r="N70" t="s">
        <v>17</v>
      </c>
      <c r="O70" t="str">
        <f>Current_On</f>
        <v>Group 4</v>
      </c>
    </row>
    <row r="72" spans="2:15">
      <c r="B72" s="8" t="s">
        <v>94</v>
      </c>
      <c r="C72" s="8" t="s">
        <v>95</v>
      </c>
      <c r="D72" s="116" t="s">
        <v>96</v>
      </c>
    </row>
    <row r="73" spans="2:15">
      <c r="C73" s="8" t="s">
        <v>97</v>
      </c>
      <c r="D73" s="116" t="s">
        <v>98</v>
      </c>
    </row>
    <row r="74" spans="2:15">
      <c r="C74" s="8" t="s">
        <v>99</v>
      </c>
      <c r="D74" s="116" t="s">
        <v>100</v>
      </c>
    </row>
    <row r="75" spans="2:15">
      <c r="C75" s="8" t="s">
        <v>101</v>
      </c>
      <c r="D75" s="116" t="s">
        <v>102</v>
      </c>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BA315"/>
  <sheetViews>
    <sheetView topLeftCell="AS1" workbookViewId="0">
      <pane ySplit="1" topLeftCell="A2" activePane="bottomLeft" state="frozen"/>
      <selection activeCell="E1" sqref="E1"/>
      <selection pane="bottomLeft" activeCell="AT7" sqref="AT7"/>
    </sheetView>
  </sheetViews>
  <sheetFormatPr defaultRowHeight="14.5"/>
  <cols>
    <col min="1" max="1" width="75.81640625" bestFit="1" customWidth="1"/>
    <col min="2" max="2" width="34.81640625" bestFit="1" customWidth="1"/>
    <col min="3" max="4" width="10.1796875" hidden="1" customWidth="1"/>
    <col min="5" max="5" width="27.7265625" hidden="1" customWidth="1"/>
    <col min="6" max="6" width="54" hidden="1" customWidth="1"/>
    <col min="7" max="9" width="0" hidden="1" customWidth="1"/>
    <col min="10" max="10" width="22.453125" hidden="1" customWidth="1"/>
    <col min="11" max="11" width="21" style="8" hidden="1" customWidth="1"/>
    <col min="12" max="12" width="10" style="8" hidden="1" customWidth="1"/>
    <col min="13" max="13" width="13" style="8" hidden="1" customWidth="1"/>
    <col min="14" max="14" width="0" hidden="1" customWidth="1"/>
    <col min="15" max="15" width="0" style="8" hidden="1" customWidth="1"/>
    <col min="16" max="16" width="20.7265625" hidden="1" customWidth="1"/>
    <col min="17" max="17" width="0" style="8" hidden="1" customWidth="1"/>
    <col min="18" max="18" width="19.1796875" style="8" hidden="1" customWidth="1"/>
    <col min="19" max="19" width="12.81640625" style="8" hidden="1" customWidth="1"/>
    <col min="20" max="20" width="18.7265625" style="8" hidden="1" customWidth="1"/>
    <col min="21" max="21" width="22.7265625" style="8" hidden="1" customWidth="1"/>
    <col min="22" max="26" width="18.81640625" style="8" hidden="1" customWidth="1"/>
    <col min="27" max="27" width="19" style="120" hidden="1" customWidth="1"/>
    <col min="28" max="28" width="12" style="122" hidden="1" customWidth="1"/>
    <col min="29" max="29" width="12" style="122" customWidth="1"/>
    <col min="30" max="30" width="16.54296875" style="8" bestFit="1" customWidth="1"/>
    <col min="31" max="34" width="9.1796875" style="8"/>
    <col min="35" max="35" width="12.7265625" style="8" customWidth="1"/>
    <col min="36" max="37" width="13.26953125" style="8" customWidth="1"/>
    <col min="38" max="38" width="15.453125" hidden="1" customWidth="1"/>
    <col min="39" max="39" width="10.453125" style="116" bestFit="1" customWidth="1"/>
    <col min="40" max="40" width="18.1796875" hidden="1" customWidth="1"/>
    <col min="41" max="41" width="13.54296875" style="116" bestFit="1" customWidth="1"/>
    <col min="42" max="42" width="13.54296875" style="116" customWidth="1"/>
    <col min="43" max="43" width="9.1796875" style="115"/>
    <col min="44" max="44" width="15" style="115" bestFit="1" customWidth="1"/>
    <col min="45" max="45" width="20.7265625" style="115" bestFit="1" customWidth="1"/>
    <col min="46" max="46" width="23.81640625" style="115" bestFit="1" customWidth="1"/>
    <col min="47" max="47" width="14.1796875" style="115" bestFit="1" customWidth="1"/>
    <col min="48" max="48" width="18.26953125" bestFit="1" customWidth="1"/>
    <col min="49" max="49" width="8.54296875" style="8" bestFit="1" customWidth="1"/>
    <col min="50" max="50" width="14.453125" bestFit="1" customWidth="1"/>
    <col min="52" max="52" width="11.1796875" bestFit="1" customWidth="1"/>
    <col min="53" max="53" width="14" bestFit="1" customWidth="1"/>
  </cols>
  <sheetData>
    <row r="1" spans="1:53">
      <c r="A1" t="s">
        <v>103</v>
      </c>
      <c r="B1" t="s">
        <v>104</v>
      </c>
      <c r="C1" t="s">
        <v>105</v>
      </c>
      <c r="D1" t="s">
        <v>106</v>
      </c>
      <c r="E1" t="s">
        <v>107</v>
      </c>
      <c r="F1" t="s">
        <v>108</v>
      </c>
      <c r="G1" t="s">
        <v>109</v>
      </c>
      <c r="H1" t="s">
        <v>110</v>
      </c>
      <c r="I1" t="s">
        <v>111</v>
      </c>
      <c r="J1" t="s">
        <v>112</v>
      </c>
      <c r="K1" s="7" t="s">
        <v>113</v>
      </c>
      <c r="L1" s="7" t="s">
        <v>114</v>
      </c>
      <c r="M1" s="7" t="s">
        <v>115</v>
      </c>
      <c r="N1" t="s">
        <v>116</v>
      </c>
      <c r="O1" s="8" t="s">
        <v>117</v>
      </c>
      <c r="P1" t="s">
        <v>118</v>
      </c>
      <c r="Q1" s="9" t="s">
        <v>119</v>
      </c>
      <c r="R1" s="9" t="s">
        <v>120</v>
      </c>
      <c r="S1" s="9" t="s">
        <v>121</v>
      </c>
      <c r="T1" s="9" t="s">
        <v>122</v>
      </c>
      <c r="U1" s="9" t="s">
        <v>123</v>
      </c>
      <c r="V1" s="9" t="s">
        <v>124</v>
      </c>
      <c r="W1" s="9" t="s">
        <v>125</v>
      </c>
      <c r="X1" s="9" t="s">
        <v>126</v>
      </c>
      <c r="Y1" s="9" t="s">
        <v>127</v>
      </c>
      <c r="Z1" s="9" t="s">
        <v>128</v>
      </c>
      <c r="AA1" s="119" t="s">
        <v>129</v>
      </c>
      <c r="AB1" s="121" t="s">
        <v>130</v>
      </c>
      <c r="AC1" s="121" t="s">
        <v>131</v>
      </c>
      <c r="AD1" s="11" t="s">
        <v>132</v>
      </c>
      <c r="AE1" s="11" t="s">
        <v>114</v>
      </c>
      <c r="AF1" s="11" t="s">
        <v>115</v>
      </c>
      <c r="AG1" s="11" t="s">
        <v>133</v>
      </c>
      <c r="AH1" s="11" t="s">
        <v>130</v>
      </c>
      <c r="AI1" s="123" t="s">
        <v>134</v>
      </c>
      <c r="AJ1" s="123" t="s">
        <v>135</v>
      </c>
      <c r="AK1" s="123" t="s">
        <v>136</v>
      </c>
      <c r="AL1" s="11" t="s">
        <v>137</v>
      </c>
      <c r="AM1" s="114" t="s">
        <v>10</v>
      </c>
      <c r="AN1" s="72" t="s">
        <v>138</v>
      </c>
      <c r="AO1" s="117" t="s">
        <v>89</v>
      </c>
      <c r="AP1" s="222" t="s">
        <v>139</v>
      </c>
      <c r="AQ1" s="118" t="s">
        <v>18</v>
      </c>
      <c r="AR1" s="118" t="s">
        <v>140</v>
      </c>
      <c r="AS1" s="118" t="s">
        <v>141</v>
      </c>
      <c r="AT1" s="118" t="s">
        <v>142</v>
      </c>
      <c r="AU1" s="118" t="s">
        <v>143</v>
      </c>
      <c r="AV1" s="226" t="s">
        <v>144</v>
      </c>
      <c r="AW1" s="227" t="s">
        <v>145</v>
      </c>
      <c r="AX1" s="121" t="s">
        <v>146</v>
      </c>
      <c r="AY1" s="11" t="s">
        <v>147</v>
      </c>
      <c r="AZ1" s="117" t="s">
        <v>148</v>
      </c>
      <c r="BA1" s="117" t="s">
        <v>149</v>
      </c>
    </row>
    <row r="2" spans="1:53">
      <c r="B2" t="s">
        <v>150</v>
      </c>
      <c r="C2" s="8">
        <f>IFERROR(IF(VLOOKUP(B2,'Willie List'!B:B,1,FALSE) &lt;&gt; "",1,0),0)</f>
        <v>0</v>
      </c>
      <c r="D2" s="8"/>
      <c r="E2" t="s">
        <v>95</v>
      </c>
      <c r="F2" t="s">
        <v>151</v>
      </c>
      <c r="G2" t="s">
        <v>152</v>
      </c>
      <c r="H2" t="s">
        <v>153</v>
      </c>
      <c r="I2" t="s">
        <v>154</v>
      </c>
      <c r="J2" t="s">
        <v>155</v>
      </c>
      <c r="K2" s="8" t="str">
        <f>IFERROR(REPLACE(REPLACE(J2,FIND("Standard_",J2,1),9,""),FIND("_",REPLACE(J2,FIND("Standard_",J2,1),9,""),1),1," "),REPLACE(J2,FIND("Standard_",J2,1),9,""))</f>
        <v>DS3 v2</v>
      </c>
      <c r="L2" s="8">
        <f>VLOOKUP(K2,'Web-SKUS'!A:E,2,FALSE)</f>
        <v>4</v>
      </c>
      <c r="M2" s="8" t="str">
        <f>VLOOKUP(K2,'Web-SKUS'!A:E,4,FALSE)</f>
        <v>14</v>
      </c>
      <c r="N2" t="s">
        <v>156</v>
      </c>
      <c r="O2">
        <v>3</v>
      </c>
      <c r="P2" t="s">
        <v>157</v>
      </c>
      <c r="Q2" t="str">
        <f>IFERROR(VLOOKUP(B2,PercentCPU!B:F,4,FALSE),"")</f>
        <v/>
      </c>
      <c r="R2" t="str">
        <f>IFERROR(VLOOKUP(B2,MemoryAvailable!B:F,3,FALSE),"")</f>
        <v/>
      </c>
      <c r="S2" s="2" t="str">
        <f>IFERROR(100%-(R2/(M2*1024)),"")</f>
        <v/>
      </c>
      <c r="T2" t="str">
        <f>IFERROR(ROUNDUP(Q2/100*L2,0),"")</f>
        <v/>
      </c>
      <c r="U2" s="8">
        <f>IFERROR(ROUND(S2*M2,0),0)</f>
        <v>0</v>
      </c>
      <c r="V2" s="8" t="str">
        <f>IFERROR(IF(T2/U2 = 0.25, "D Series",IF(T2/U2 = 0.5, "F Series",IF(T2/U2 = 0.125, "E Series", ) ) ),"")</f>
        <v/>
      </c>
      <c r="W2" s="8" t="str">
        <f>IFERROR(VLOOKUP(B2,Write_Bytes_ps!B:F,4,FALSE)/1024/1024,"")</f>
        <v/>
      </c>
      <c r="X2" s="8" t="str">
        <f>IFERROR(VLOOKUP(B2,Read_Bytes_ps!B:F,4,FALSE)/1024/1024,"")</f>
        <v/>
      </c>
      <c r="Y2" s="8" t="str">
        <f>IFERROR(VLOOKUP(B2,Writes_ps!B:F,5,FALSE),"")</f>
        <v/>
      </c>
      <c r="Z2" s="8" t="str">
        <f>IFERROR(VLOOKUP(B2,Reads_ps!B:F,5,FALSE),"")</f>
        <v/>
      </c>
      <c r="AA2" s="8">
        <f>SUM(W2,X2)</f>
        <v>0</v>
      </c>
      <c r="AB2" s="122">
        <f t="shared" ref="AB2:AB6" si="0">ROUNDUP(SUM(Y2:Z2),0)</f>
        <v>0</v>
      </c>
      <c r="AC2" s="122" t="str">
        <f>K2</f>
        <v>DS3 v2</v>
      </c>
      <c r="AE2" s="8" t="str">
        <f>IFERROR(VLOOKUP(AD2,'Web-SKUS'!A:E,2,FALSE),"")</f>
        <v/>
      </c>
      <c r="AF2" s="8">
        <f>_xlfn.NUMBERVALUE(IFERROR(VLOOKUP(AD2,'Web-SKUS'!A:E,4,FALSE),""))</f>
        <v>0</v>
      </c>
      <c r="AG2" s="8">
        <f>IFERROR(VLOOKUP(AD2,VM_Performance_Stats!A:G,7,FALSE),0)</f>
        <v>0</v>
      </c>
      <c r="AH2" s="8" t="str">
        <f>IFERROR(VLOOKUP(AD2,VM_Performance_Stats!A:I,8,FALSE),"")</f>
        <v/>
      </c>
      <c r="AI2" s="8">
        <f>IFERROR(IF(AF2&lt;U2,0,1),0)</f>
        <v>1</v>
      </c>
      <c r="AJ2" s="8">
        <f>IF(AG2&lt;O2,0,1)</f>
        <v>0</v>
      </c>
      <c r="AK2" s="8">
        <f>IFERROR(IF(VLOOKUP(AD2,VM_Performance_Stats!A:I,8,FALSE)&gt;0,1,0),0)</f>
        <v>0</v>
      </c>
      <c r="AL2" t="str">
        <f>IFERROR(VLOOKUP(AD2,'Web-SKUS'!A:G,7,FALSE),"")</f>
        <v/>
      </c>
      <c r="AM2" s="116" t="str">
        <f t="shared" ref="AM2:AM58" si="1">IFERROR(_xlfn.NUMBERVALUE(REPLACE(REPLACE(AL2,FIND("/month",AL2,1),6,),FIND("£",REPLACE(AL2,FIND("/month",AL2,1),6,),1),1,),".",","),"")</f>
        <v/>
      </c>
      <c r="AN2" t="str">
        <f>IFERROR(IF(C2=1,VLOOKUP(K2,'Web-SKUS'!A:G,7,FALSE),VLOOKUP(K2,'Web-SKUS'!A:G,6,FALSE)),"")</f>
        <v>£147.9886/month</v>
      </c>
      <c r="AO2" s="116">
        <f t="shared" ref="AO2:AO58" si="2">IFERROR(_xlfn.NUMBERVALUE(REPLACE(REPLACE(AN2,FIND("/month",AN2,1),6,),FIND("£",REPLACE(AN2,FIND("/month",AN2,1),6,),1),1,),".",","),"")</f>
        <v>147.98859999999999</v>
      </c>
      <c r="AP2" s="116">
        <f>IF(_xlfn.NUMBERVALUE(AM2,".",",")&gt;0,AM2,AO2)</f>
        <v>147.98859999999999</v>
      </c>
      <c r="AQ2" s="115">
        <f>IFERROR(IF(AM2&gt;0,AO2-AM2,0),0)</f>
        <v>0</v>
      </c>
      <c r="AR2" s="115">
        <f>AQ2*12</f>
        <v>0</v>
      </c>
      <c r="AS2" s="115" t="e">
        <f>VLOOKUP(B2,'Willie List'!B:M,12,FALSE)</f>
        <v>#N/A</v>
      </c>
      <c r="AT2" s="115" t="str">
        <f>J2</f>
        <v>Standard_DS3_v2</v>
      </c>
      <c r="AU2" s="115" t="str">
        <f>IFERROR(REPLACE(REPLACE(AT2,FIND("Standard_",AT2,1),9,""),FIND("_",REPLACE(AT2,FIND("Standard_",AT2,1),9,""),1),1," "),REPLACE(AT2,FIND("Standard_",AT2,1),9,""))</f>
        <v>DS3 v2</v>
      </c>
      <c r="AV2">
        <f>AD2</f>
        <v>0</v>
      </c>
      <c r="AW2" s="8">
        <f>IFERROR(IF(AV2=AU2,1,0),"")</f>
        <v>0</v>
      </c>
    </row>
    <row r="3" spans="1:53">
      <c r="B3" t="s">
        <v>158</v>
      </c>
      <c r="C3" s="8">
        <f>IFERROR(IF(VLOOKUP(B3,'Willie List'!B:B,1,FALSE) &lt;&gt; "",1,0),0)</f>
        <v>0</v>
      </c>
      <c r="D3" s="8"/>
      <c r="E3" t="s">
        <v>95</v>
      </c>
      <c r="F3" t="s">
        <v>159</v>
      </c>
      <c r="G3" t="s">
        <v>152</v>
      </c>
      <c r="H3" t="s">
        <v>153</v>
      </c>
      <c r="I3" t="s">
        <v>154</v>
      </c>
      <c r="J3" t="s">
        <v>155</v>
      </c>
      <c r="K3" s="8" t="str">
        <f t="shared" ref="K3:K58" si="3">IFERROR(REPLACE(REPLACE(J3,FIND("Standard_",J3,1),9,""),FIND("_",REPLACE(J3,FIND("Standard_",J3,1),9,""),1),1," "),REPLACE(J3,FIND("Standard_",J3,1),9,""))</f>
        <v>DS3 v2</v>
      </c>
      <c r="L3" s="8">
        <f>VLOOKUP(K3,'Web-SKUS'!A:E,2,FALSE)</f>
        <v>4</v>
      </c>
      <c r="M3" s="8" t="str">
        <f>VLOOKUP(K3,'Web-SKUS'!A:E,4,FALSE)</f>
        <v>14</v>
      </c>
      <c r="N3" t="s">
        <v>160</v>
      </c>
      <c r="O3">
        <v>9</v>
      </c>
      <c r="P3" t="s">
        <v>157</v>
      </c>
      <c r="Q3" t="str">
        <f>IFERROR(VLOOKUP(B3,PercentCPU!B:F,4,FALSE),"")</f>
        <v/>
      </c>
      <c r="R3" t="str">
        <f>IFERROR(VLOOKUP(B3,MemoryAvailable!B:F,3,FALSE),"")</f>
        <v/>
      </c>
      <c r="S3" s="2" t="str">
        <f t="shared" ref="S3:S58" si="4">IFERROR(100%-(R3/(M3*1024)),"")</f>
        <v/>
      </c>
      <c r="T3" t="str">
        <f t="shared" ref="T3:T58" si="5">IFERROR(ROUNDUP(Q3/100*L3,0),"")</f>
        <v/>
      </c>
      <c r="U3" s="8">
        <f t="shared" ref="U3:U58" si="6">IFERROR(ROUND(S3*M3,0),0)</f>
        <v>0</v>
      </c>
      <c r="V3" s="8" t="str">
        <f t="shared" ref="V3:V58" si="7">IFERROR(IF(T3/U3 = 0.25, "D Series",IF(T3/U3 = 0.5, "F Series",IF(T3/U3 = 0.125, "E Series", ) ) ),"")</f>
        <v/>
      </c>
      <c r="W3" s="8" t="str">
        <f>IFERROR(VLOOKUP(B3,Write_Bytes_ps!B:F,4,FALSE)/1024/1024,"")</f>
        <v/>
      </c>
      <c r="X3" s="8" t="str">
        <f>IFERROR(VLOOKUP(B3,Read_Bytes_ps!B:F,4,FALSE)/1024/1024,"")</f>
        <v/>
      </c>
      <c r="Y3" s="8" t="str">
        <f>IFERROR(VLOOKUP(B3,Writes_ps!B:F,5,FALSE),"")</f>
        <v/>
      </c>
      <c r="Z3" s="8" t="str">
        <f>IFERROR(VLOOKUP(B3,Reads_ps!B:F,5,FALSE),"")</f>
        <v/>
      </c>
      <c r="AA3" s="8">
        <f t="shared" ref="AA3:AA58" si="8">SUM(W3,X3)</f>
        <v>0</v>
      </c>
      <c r="AB3" s="122">
        <f t="shared" si="0"/>
        <v>0</v>
      </c>
      <c r="AC3" s="122" t="str">
        <f t="shared" ref="AC3:AC58" si="9">K3</f>
        <v>DS3 v2</v>
      </c>
      <c r="AE3" s="8" t="str">
        <f>IFERROR(VLOOKUP(AD3,'Web-SKUS'!A:E,2,FALSE),"")</f>
        <v/>
      </c>
      <c r="AF3" s="8">
        <f>_xlfn.NUMBERVALUE(IFERROR(VLOOKUP(AD3,'Web-SKUS'!A:E,4,FALSE),""))</f>
        <v>0</v>
      </c>
      <c r="AG3" s="8">
        <f>IFERROR(VLOOKUP(AD3,VM_Performance_Stats!A:G,7,FALSE),0)</f>
        <v>0</v>
      </c>
      <c r="AH3" s="8" t="str">
        <f>IFERROR(VLOOKUP(AD3,VM_Performance_Stats!A:I,8,FALSE),"")</f>
        <v/>
      </c>
      <c r="AI3" s="8">
        <f t="shared" ref="AI3:AI58" si="10">IFERROR(IF(AF3&lt;U3,0,1),0)</f>
        <v>1</v>
      </c>
      <c r="AJ3" s="8">
        <f t="shared" ref="AJ3:AJ58" si="11">IF(AG3&lt;O3,0,1)</f>
        <v>0</v>
      </c>
      <c r="AK3" s="8">
        <f>IFERROR(IF(VLOOKUP(AD3,VM_Performance_Stats!A:I,8,FALSE)&gt;0,1,0),0)</f>
        <v>0</v>
      </c>
      <c r="AL3" t="str">
        <f>IFERROR(VLOOKUP(AD3,'Web-SKUS'!A:G,7,FALSE),"")</f>
        <v/>
      </c>
      <c r="AM3" s="116" t="str">
        <f t="shared" si="1"/>
        <v/>
      </c>
      <c r="AN3" t="str">
        <f>IFERROR(IF(C3=1,VLOOKUP(K3,'Web-SKUS'!A:G,7,FALSE),VLOOKUP(K3,'Web-SKUS'!A:G,6,FALSE)),"")</f>
        <v>£147.9886/month</v>
      </c>
      <c r="AO3" s="116">
        <f>IFERROR(_xlfn.NUMBERVALUE(REPLACE(REPLACE(AN3,FIND("/month",AN3,1),6,),FIND("£",REPLACE(AN3,FIND("/month",AN3,1),6,),1),1,),".",","),"")</f>
        <v>147.98859999999999</v>
      </c>
      <c r="AP3" s="116">
        <f t="shared" ref="AP3:AP58" si="12">IF(_xlfn.NUMBERVALUE(AM3,".",",")&gt;0,AM3,AO3)</f>
        <v>147.98859999999999</v>
      </c>
      <c r="AQ3" s="115">
        <f t="shared" ref="AQ3:AQ58" si="13">IFERROR(IF(AM3&gt;0,AO3-AM3,0),0)</f>
        <v>0</v>
      </c>
      <c r="AR3" s="115">
        <f t="shared" ref="AR3:AR66" si="14">AQ3*12</f>
        <v>0</v>
      </c>
      <c r="AS3" s="115" t="e">
        <f>VLOOKUP(B3,'Willie List'!B:M,12,FALSE)</f>
        <v>#N/A</v>
      </c>
      <c r="AT3" s="115" t="str">
        <f t="shared" ref="AT3:AT66" si="15">J3</f>
        <v>Standard_DS3_v2</v>
      </c>
      <c r="AU3" s="115" t="str">
        <f t="shared" ref="AU3:AU66" si="16">IFERROR(REPLACE(REPLACE(AT3,FIND("Standard_",AT3,1),9,""),FIND("_",REPLACE(AT3,FIND("Standard_",AT3,1),9,""),1),1," "),REPLACE(AT3,FIND("Standard_",AT3,1),9,""))</f>
        <v>DS3 v2</v>
      </c>
      <c r="AV3">
        <f t="shared" ref="AV3:AV66" si="17">AD3</f>
        <v>0</v>
      </c>
      <c r="AW3" s="8">
        <f t="shared" ref="AW3:AW66" si="18">IFERROR(IF(AV3=AU3,1,0),"")</f>
        <v>0</v>
      </c>
    </row>
    <row r="4" spans="1:53">
      <c r="B4" t="s">
        <v>161</v>
      </c>
      <c r="C4" s="8">
        <f>IFERROR(IF(VLOOKUP(B4,'Willie List'!B:B,1,FALSE) &lt;&gt; "",1,0),0)</f>
        <v>0</v>
      </c>
      <c r="D4" s="8"/>
      <c r="E4" t="s">
        <v>99</v>
      </c>
      <c r="F4" t="s">
        <v>162</v>
      </c>
      <c r="G4" t="s">
        <v>152</v>
      </c>
      <c r="H4" t="s">
        <v>153</v>
      </c>
      <c r="I4" t="s">
        <v>154</v>
      </c>
      <c r="J4" t="s">
        <v>155</v>
      </c>
      <c r="K4" s="8" t="str">
        <f t="shared" si="3"/>
        <v>DS3 v2</v>
      </c>
      <c r="L4" s="8">
        <f>VLOOKUP(K4,'Web-SKUS'!A:E,2,FALSE)</f>
        <v>4</v>
      </c>
      <c r="M4" s="8" t="str">
        <f>VLOOKUP(K4,'Web-SKUS'!A:E,4,FALSE)</f>
        <v>14</v>
      </c>
      <c r="N4" t="s">
        <v>163</v>
      </c>
      <c r="O4">
        <v>4</v>
      </c>
      <c r="P4" t="s">
        <v>157</v>
      </c>
      <c r="Q4" t="str">
        <f>IFERROR(VLOOKUP(B4,PercentCPU!B:F,4,FALSE),"")</f>
        <v/>
      </c>
      <c r="R4" t="str">
        <f>IFERROR(VLOOKUP(B4,MemoryAvailable!B:F,3,FALSE),"")</f>
        <v/>
      </c>
      <c r="S4" s="2" t="str">
        <f t="shared" si="4"/>
        <v/>
      </c>
      <c r="T4" t="str">
        <f t="shared" si="5"/>
        <v/>
      </c>
      <c r="U4" s="8">
        <f t="shared" si="6"/>
        <v>0</v>
      </c>
      <c r="V4" s="8" t="str">
        <f t="shared" si="7"/>
        <v/>
      </c>
      <c r="W4" s="8" t="str">
        <f>IFERROR(VLOOKUP(B4,Write_Bytes_ps!B:F,4,FALSE)/1024/1024,"")</f>
        <v/>
      </c>
      <c r="X4" s="8" t="str">
        <f>IFERROR(VLOOKUP(B4,Read_Bytes_ps!B:F,4,FALSE)/1024/1024,"")</f>
        <v/>
      </c>
      <c r="Y4" s="8" t="str">
        <f>IFERROR(VLOOKUP(B4,Writes_ps!B:F,5,FALSE),"")</f>
        <v/>
      </c>
      <c r="Z4" s="8" t="str">
        <f>IFERROR(VLOOKUP(B4,Reads_ps!B:F,5,FALSE),"")</f>
        <v/>
      </c>
      <c r="AA4" s="8">
        <f t="shared" si="8"/>
        <v>0</v>
      </c>
      <c r="AB4" s="122">
        <f t="shared" si="0"/>
        <v>0</v>
      </c>
      <c r="AC4" s="122" t="str">
        <f t="shared" si="9"/>
        <v>DS3 v2</v>
      </c>
      <c r="AE4" s="8" t="str">
        <f>IFERROR(VLOOKUP(AD4,'Web-SKUS'!A:E,2,FALSE),"")</f>
        <v/>
      </c>
      <c r="AF4" s="8">
        <f>_xlfn.NUMBERVALUE(IFERROR(VLOOKUP(AD4,'Web-SKUS'!A:E,4,FALSE),""))</f>
        <v>0</v>
      </c>
      <c r="AG4" s="8">
        <f>IFERROR(VLOOKUP(AD4,VM_Performance_Stats!A:G,7,FALSE),0)</f>
        <v>0</v>
      </c>
      <c r="AH4" s="8" t="str">
        <f>IFERROR(VLOOKUP(AD4,VM_Performance_Stats!A:I,8,FALSE),"")</f>
        <v/>
      </c>
      <c r="AI4" s="8">
        <f t="shared" si="10"/>
        <v>1</v>
      </c>
      <c r="AJ4" s="8">
        <f t="shared" si="11"/>
        <v>0</v>
      </c>
      <c r="AK4" s="8">
        <f>IFERROR(IF(VLOOKUP(AD4,VM_Performance_Stats!A:I,8,FALSE)&gt;0,1,0),0)</f>
        <v>0</v>
      </c>
      <c r="AL4" t="str">
        <f>IFERROR(VLOOKUP(AD4,'Web-SKUS'!A:G,7,FALSE),"")</f>
        <v/>
      </c>
      <c r="AM4" s="116" t="str">
        <f t="shared" si="1"/>
        <v/>
      </c>
      <c r="AN4" t="str">
        <f>IFERROR(IF(C4=1,VLOOKUP(K4,'Web-SKUS'!A:G,7,FALSE),VLOOKUP(K4,'Web-SKUS'!A:G,6,FALSE)),"")</f>
        <v>£147.9886/month</v>
      </c>
      <c r="AO4" s="116">
        <f t="shared" si="2"/>
        <v>147.98859999999999</v>
      </c>
      <c r="AP4" s="116">
        <f t="shared" si="12"/>
        <v>147.98859999999999</v>
      </c>
      <c r="AQ4" s="115">
        <f t="shared" si="13"/>
        <v>0</v>
      </c>
      <c r="AR4" s="115">
        <f t="shared" si="14"/>
        <v>0</v>
      </c>
      <c r="AS4" s="115" t="e">
        <f>VLOOKUP(B4,'Willie List'!B:M,12,FALSE)</f>
        <v>#N/A</v>
      </c>
      <c r="AT4" s="115" t="str">
        <f t="shared" si="15"/>
        <v>Standard_DS3_v2</v>
      </c>
      <c r="AU4" s="115" t="str">
        <f t="shared" si="16"/>
        <v>DS3 v2</v>
      </c>
      <c r="AV4">
        <f t="shared" si="17"/>
        <v>0</v>
      </c>
      <c r="AW4" s="8">
        <f t="shared" si="18"/>
        <v>0</v>
      </c>
    </row>
    <row r="5" spans="1:53">
      <c r="B5" t="s">
        <v>164</v>
      </c>
      <c r="C5" s="8">
        <f>IFERROR(IF(VLOOKUP(B5,'Willie List'!B:B,1,FALSE) &lt;&gt; "",1,0),0)</f>
        <v>0</v>
      </c>
      <c r="D5" s="8"/>
      <c r="E5" t="s">
        <v>95</v>
      </c>
      <c r="F5" t="s">
        <v>159</v>
      </c>
      <c r="G5" t="s">
        <v>152</v>
      </c>
      <c r="H5" t="s">
        <v>153</v>
      </c>
      <c r="I5" t="s">
        <v>154</v>
      </c>
      <c r="J5" t="s">
        <v>155</v>
      </c>
      <c r="K5" s="8" t="str">
        <f t="shared" si="3"/>
        <v>DS3 v2</v>
      </c>
      <c r="L5" s="8">
        <f>VLOOKUP(K5,'Web-SKUS'!A:E,2,FALSE)</f>
        <v>4</v>
      </c>
      <c r="M5" s="8" t="str">
        <f>VLOOKUP(K5,'Web-SKUS'!A:E,4,FALSE)</f>
        <v>14</v>
      </c>
      <c r="N5" t="s">
        <v>165</v>
      </c>
      <c r="O5">
        <v>4</v>
      </c>
      <c r="P5" t="s">
        <v>157</v>
      </c>
      <c r="Q5" t="str">
        <f>IFERROR(VLOOKUP(B5,PercentCPU!B:F,4,FALSE),"")</f>
        <v/>
      </c>
      <c r="R5" t="str">
        <f>IFERROR(VLOOKUP(B5,MemoryAvailable!B:F,3,FALSE),"")</f>
        <v/>
      </c>
      <c r="S5" s="2" t="str">
        <f t="shared" si="4"/>
        <v/>
      </c>
      <c r="T5" t="str">
        <f t="shared" si="5"/>
        <v/>
      </c>
      <c r="U5" s="8">
        <f t="shared" si="6"/>
        <v>0</v>
      </c>
      <c r="V5" s="8" t="str">
        <f t="shared" si="7"/>
        <v/>
      </c>
      <c r="W5" s="8" t="str">
        <f>IFERROR(VLOOKUP(B5,Write_Bytes_ps!B:F,4,FALSE)/1024/1024,"")</f>
        <v/>
      </c>
      <c r="X5" s="8" t="str">
        <f>IFERROR(VLOOKUP(B5,Read_Bytes_ps!B:F,4,FALSE)/1024/1024,"")</f>
        <v/>
      </c>
      <c r="Y5" s="8" t="str">
        <f>IFERROR(VLOOKUP(B5,Writes_ps!B:F,5,FALSE),"")</f>
        <v/>
      </c>
      <c r="Z5" s="8" t="str">
        <f>IFERROR(VLOOKUP(B5,Reads_ps!B:F,5,FALSE),"")</f>
        <v/>
      </c>
      <c r="AA5" s="8">
        <f t="shared" si="8"/>
        <v>0</v>
      </c>
      <c r="AB5" s="122">
        <f t="shared" si="0"/>
        <v>0</v>
      </c>
      <c r="AC5" s="122" t="str">
        <f t="shared" si="9"/>
        <v>DS3 v2</v>
      </c>
      <c r="AE5" s="8" t="str">
        <f>IFERROR(VLOOKUP(AD5,'Web-SKUS'!A:E,2,FALSE),"")</f>
        <v/>
      </c>
      <c r="AF5" s="8">
        <f>_xlfn.NUMBERVALUE(IFERROR(VLOOKUP(AD5,'Web-SKUS'!A:E,4,FALSE),""))</f>
        <v>0</v>
      </c>
      <c r="AG5" s="8">
        <f>IFERROR(VLOOKUP(AD5,VM_Performance_Stats!A:G,7,FALSE),0)</f>
        <v>0</v>
      </c>
      <c r="AH5" s="8" t="str">
        <f>IFERROR(VLOOKUP(AD5,VM_Performance_Stats!A:I,8,FALSE),"")</f>
        <v/>
      </c>
      <c r="AI5" s="8">
        <f t="shared" si="10"/>
        <v>1</v>
      </c>
      <c r="AJ5" s="8">
        <f t="shared" si="11"/>
        <v>0</v>
      </c>
      <c r="AK5" s="8">
        <f>IFERROR(IF(VLOOKUP(AD5,VM_Performance_Stats!A:I,8,FALSE)&gt;0,1,0),0)</f>
        <v>0</v>
      </c>
      <c r="AL5" t="str">
        <f>IFERROR(VLOOKUP(AD5,'Web-SKUS'!A:G,7,FALSE),"")</f>
        <v/>
      </c>
      <c r="AM5" s="116" t="str">
        <f t="shared" si="1"/>
        <v/>
      </c>
      <c r="AN5" t="str">
        <f>IFERROR(IF(C5=1,VLOOKUP(K5,'Web-SKUS'!A:G,7,FALSE),VLOOKUP(K5,'Web-SKUS'!A:G,6,FALSE)),"")</f>
        <v>£147.9886/month</v>
      </c>
      <c r="AO5" s="116">
        <f t="shared" si="2"/>
        <v>147.98859999999999</v>
      </c>
      <c r="AP5" s="116">
        <f t="shared" si="12"/>
        <v>147.98859999999999</v>
      </c>
      <c r="AQ5" s="115">
        <f t="shared" si="13"/>
        <v>0</v>
      </c>
      <c r="AR5" s="115">
        <f t="shared" si="14"/>
        <v>0</v>
      </c>
      <c r="AS5" s="115" t="e">
        <f>VLOOKUP(B5,'Willie List'!B:M,12,FALSE)</f>
        <v>#N/A</v>
      </c>
      <c r="AT5" s="115" t="str">
        <f t="shared" si="15"/>
        <v>Standard_DS3_v2</v>
      </c>
      <c r="AU5" s="115" t="str">
        <f t="shared" si="16"/>
        <v>DS3 v2</v>
      </c>
      <c r="AV5">
        <f t="shared" si="17"/>
        <v>0</v>
      </c>
      <c r="AW5" s="8">
        <f t="shared" si="18"/>
        <v>0</v>
      </c>
    </row>
    <row r="6" spans="1:53">
      <c r="B6" t="s">
        <v>166</v>
      </c>
      <c r="C6" s="8">
        <f>IFERROR(IF(VLOOKUP(B6,'Willie List'!B:B,1,FALSE) &lt;&gt; "",1,0),0)</f>
        <v>0</v>
      </c>
      <c r="D6" s="8"/>
      <c r="E6" t="s">
        <v>99</v>
      </c>
      <c r="F6" t="s">
        <v>162</v>
      </c>
      <c r="G6" t="s">
        <v>152</v>
      </c>
      <c r="H6" t="s">
        <v>153</v>
      </c>
      <c r="I6" t="s">
        <v>154</v>
      </c>
      <c r="J6" t="s">
        <v>155</v>
      </c>
      <c r="K6" s="8" t="str">
        <f t="shared" si="3"/>
        <v>DS3 v2</v>
      </c>
      <c r="L6" s="8">
        <f>VLOOKUP(K6,'Web-SKUS'!A:E,2,FALSE)</f>
        <v>4</v>
      </c>
      <c r="M6" s="8" t="str">
        <f>VLOOKUP(K6,'Web-SKUS'!A:E,4,FALSE)</f>
        <v>14</v>
      </c>
      <c r="N6" t="s">
        <v>167</v>
      </c>
      <c r="O6">
        <v>4</v>
      </c>
      <c r="P6" t="s">
        <v>157</v>
      </c>
      <c r="Q6" t="str">
        <f>IFERROR(VLOOKUP(B6,PercentCPU!B:F,4,FALSE),"")</f>
        <v/>
      </c>
      <c r="R6" t="str">
        <f>IFERROR(VLOOKUP(B6,MemoryAvailable!B:F,3,FALSE),"")</f>
        <v/>
      </c>
      <c r="S6" s="2" t="str">
        <f t="shared" si="4"/>
        <v/>
      </c>
      <c r="T6" t="str">
        <f t="shared" si="5"/>
        <v/>
      </c>
      <c r="U6" s="8">
        <f t="shared" si="6"/>
        <v>0</v>
      </c>
      <c r="V6" s="8" t="str">
        <f t="shared" si="7"/>
        <v/>
      </c>
      <c r="W6" s="8" t="str">
        <f>IFERROR(VLOOKUP(B6,Write_Bytes_ps!B:F,4,FALSE)/1024/1024,"")</f>
        <v/>
      </c>
      <c r="X6" s="8" t="str">
        <f>IFERROR(VLOOKUP(B6,Read_Bytes_ps!B:F,4,FALSE)/1024/1024,"")</f>
        <v/>
      </c>
      <c r="Y6" s="8" t="str">
        <f>IFERROR(VLOOKUP(B6,Writes_ps!B:F,5,FALSE),"")</f>
        <v/>
      </c>
      <c r="Z6" s="8" t="str">
        <f>IFERROR(VLOOKUP(B6,Reads_ps!B:F,5,FALSE),"")</f>
        <v/>
      </c>
      <c r="AA6" s="8">
        <f t="shared" si="8"/>
        <v>0</v>
      </c>
      <c r="AB6" s="122">
        <f t="shared" si="0"/>
        <v>0</v>
      </c>
      <c r="AC6" s="122" t="str">
        <f t="shared" si="9"/>
        <v>DS3 v2</v>
      </c>
      <c r="AE6" s="8" t="str">
        <f>IFERROR(VLOOKUP(AD6,'Web-SKUS'!A:E,2,FALSE),"")</f>
        <v/>
      </c>
      <c r="AF6" s="8">
        <f>_xlfn.NUMBERVALUE(IFERROR(VLOOKUP(AD6,'Web-SKUS'!A:E,4,FALSE),""))</f>
        <v>0</v>
      </c>
      <c r="AG6" s="8">
        <f>IFERROR(VLOOKUP(AD6,VM_Performance_Stats!A:G,7,FALSE),0)</f>
        <v>0</v>
      </c>
      <c r="AH6" s="8" t="str">
        <f>IFERROR(VLOOKUP(AD6,VM_Performance_Stats!A:I,8,FALSE),"")</f>
        <v/>
      </c>
      <c r="AI6" s="8">
        <f t="shared" si="10"/>
        <v>1</v>
      </c>
      <c r="AJ6" s="8">
        <f t="shared" si="11"/>
        <v>0</v>
      </c>
      <c r="AK6" s="8">
        <f>IFERROR(IF(VLOOKUP(AD6,VM_Performance_Stats!A:I,8,FALSE)&gt;0,1,0),0)</f>
        <v>0</v>
      </c>
      <c r="AL6" t="str">
        <f>IFERROR(VLOOKUP(AD6,'Web-SKUS'!A:G,7,FALSE),"")</f>
        <v/>
      </c>
      <c r="AM6" s="116" t="str">
        <f t="shared" si="1"/>
        <v/>
      </c>
      <c r="AN6" t="str">
        <f>IFERROR(IF(C6=1,VLOOKUP(K6,'Web-SKUS'!A:G,7,FALSE),VLOOKUP(K6,'Web-SKUS'!A:G,6,FALSE)),"")</f>
        <v>£147.9886/month</v>
      </c>
      <c r="AO6" s="116">
        <f t="shared" si="2"/>
        <v>147.98859999999999</v>
      </c>
      <c r="AP6" s="116">
        <f t="shared" si="12"/>
        <v>147.98859999999999</v>
      </c>
      <c r="AQ6" s="115">
        <f t="shared" si="13"/>
        <v>0</v>
      </c>
      <c r="AR6" s="115">
        <f t="shared" si="14"/>
        <v>0</v>
      </c>
      <c r="AS6" s="115" t="e">
        <f>VLOOKUP(B6,'Willie List'!B:M,12,FALSE)</f>
        <v>#N/A</v>
      </c>
      <c r="AT6" s="115" t="str">
        <f t="shared" si="15"/>
        <v>Standard_DS3_v2</v>
      </c>
      <c r="AU6" s="115" t="str">
        <f t="shared" si="16"/>
        <v>DS3 v2</v>
      </c>
      <c r="AV6">
        <f t="shared" si="17"/>
        <v>0</v>
      </c>
      <c r="AW6" s="8">
        <f t="shared" si="18"/>
        <v>0</v>
      </c>
    </row>
    <row r="7" spans="1:53">
      <c r="B7" t="s">
        <v>168</v>
      </c>
      <c r="C7" s="8">
        <f>IFERROR(IF(VLOOKUP(B7,'Willie List'!B:B,1,FALSE) &lt;&gt; "",1,0),0)</f>
        <v>0</v>
      </c>
      <c r="D7" s="8"/>
      <c r="E7" t="s">
        <v>99</v>
      </c>
      <c r="F7" t="s">
        <v>162</v>
      </c>
      <c r="G7" t="s">
        <v>152</v>
      </c>
      <c r="H7" t="s">
        <v>153</v>
      </c>
      <c r="I7" t="s">
        <v>154</v>
      </c>
      <c r="J7" t="s">
        <v>50</v>
      </c>
      <c r="K7" s="8" t="str">
        <f t="shared" si="3"/>
        <v>D8as v4</v>
      </c>
      <c r="L7" s="8">
        <f>VLOOKUP(K7,'Web-SKUS'!A:E,2,FALSE)</f>
        <v>8</v>
      </c>
      <c r="M7" s="8" t="str">
        <f>VLOOKUP(K7,'Web-SKUS'!A:E,4,FALSE)</f>
        <v>32</v>
      </c>
      <c r="N7" t="s">
        <v>169</v>
      </c>
      <c r="O7">
        <v>3</v>
      </c>
      <c r="P7" t="s">
        <v>157</v>
      </c>
      <c r="Q7" t="str">
        <f>IFERROR(VLOOKUP(B7,PercentCPU!B:F,4,FALSE),"")</f>
        <v/>
      </c>
      <c r="R7" t="str">
        <f>IFERROR(VLOOKUP(B7,MemoryAvailable!B:F,3,FALSE),"")</f>
        <v/>
      </c>
      <c r="S7" s="2" t="str">
        <f t="shared" si="4"/>
        <v/>
      </c>
      <c r="T7" t="str">
        <f t="shared" si="5"/>
        <v/>
      </c>
      <c r="U7" s="8">
        <f t="shared" si="6"/>
        <v>0</v>
      </c>
      <c r="V7" s="8" t="str">
        <f t="shared" si="7"/>
        <v/>
      </c>
      <c r="W7" s="8" t="str">
        <f>IFERROR(VLOOKUP(B7,Write_Bytes_ps!B:F,4,FALSE)/1024/1024,"")</f>
        <v/>
      </c>
      <c r="X7" s="8" t="str">
        <f>IFERROR(VLOOKUP(B7,Read_Bytes_ps!B:F,4,FALSE)/1024/1024,"")</f>
        <v/>
      </c>
      <c r="Y7" s="8" t="str">
        <f>IFERROR(VLOOKUP(B7,Writes_ps!B:F,5,FALSE),"")</f>
        <v/>
      </c>
      <c r="Z7" s="8" t="str">
        <f>IFERROR(VLOOKUP(B7,Reads_ps!B:F,5,FALSE),"")</f>
        <v/>
      </c>
      <c r="AA7" s="8">
        <f t="shared" si="8"/>
        <v>0</v>
      </c>
      <c r="AB7" s="122">
        <f t="shared" ref="AB7:AB58" si="19">ROUNDUP(SUM(Y7:Z7),0)</f>
        <v>0</v>
      </c>
      <c r="AC7" s="122" t="str">
        <f t="shared" si="9"/>
        <v>D8as v4</v>
      </c>
      <c r="AE7" s="8" t="str">
        <f>IFERROR(VLOOKUP(AD7,'Web-SKUS'!A:E,2,FALSE),"")</f>
        <v/>
      </c>
      <c r="AF7" s="8">
        <f>_xlfn.NUMBERVALUE(IFERROR(VLOOKUP(AD7,'Web-SKUS'!A:E,4,FALSE),""))</f>
        <v>0</v>
      </c>
      <c r="AG7" s="8">
        <f>IFERROR(VLOOKUP(AD7,VM_Performance_Stats!A:G,7,FALSE),0)</f>
        <v>0</v>
      </c>
      <c r="AH7" s="8" t="str">
        <f>IFERROR(VLOOKUP(AD7,VM_Performance_Stats!A:I,8,FALSE),"")</f>
        <v/>
      </c>
      <c r="AI7" s="8">
        <f t="shared" si="10"/>
        <v>1</v>
      </c>
      <c r="AJ7" s="8">
        <f t="shared" si="11"/>
        <v>0</v>
      </c>
      <c r="AK7" s="8">
        <f>IFERROR(IF(VLOOKUP(AD7,VM_Performance_Stats!A:I,8,FALSE)&gt;AB7,1,0),0)</f>
        <v>0</v>
      </c>
      <c r="AL7" t="str">
        <f>IFERROR(VLOOKUP(AD7,'Web-SKUS'!A:G,7,FALSE),"")</f>
        <v/>
      </c>
      <c r="AM7" s="116" t="str">
        <f t="shared" si="1"/>
        <v/>
      </c>
      <c r="AN7" t="str">
        <f>IFERROR(IF(C7=1,VLOOKUP(K7,'Web-SKUS'!A:G,7,FALSE),VLOOKUP(K7,'Web-SKUS'!A:G,6,FALSE)),"")</f>
        <v>£250.2748/month</v>
      </c>
      <c r="AO7" s="116">
        <f t="shared" si="2"/>
        <v>250.2748</v>
      </c>
      <c r="AP7" s="116">
        <f t="shared" si="12"/>
        <v>250.2748</v>
      </c>
      <c r="AQ7" s="115">
        <f t="shared" si="13"/>
        <v>0</v>
      </c>
      <c r="AR7" s="115">
        <f t="shared" si="14"/>
        <v>0</v>
      </c>
      <c r="AS7" s="115" t="e">
        <f>VLOOKUP(B7,'Willie List'!B:M,12,FALSE)</f>
        <v>#N/A</v>
      </c>
      <c r="AT7" s="115" t="str">
        <f t="shared" si="15"/>
        <v>Standard_D8as_v4</v>
      </c>
      <c r="AU7" s="115" t="str">
        <f t="shared" si="16"/>
        <v>D8as v4</v>
      </c>
      <c r="AV7">
        <f t="shared" si="17"/>
        <v>0</v>
      </c>
      <c r="AW7" s="8">
        <f t="shared" si="18"/>
        <v>0</v>
      </c>
    </row>
    <row r="8" spans="1:53">
      <c r="B8" t="s">
        <v>170</v>
      </c>
      <c r="C8" s="8">
        <f>IFERROR(IF(VLOOKUP(B8,'Willie List'!B:B,1,FALSE) &lt;&gt; "",1,0),0)</f>
        <v>0</v>
      </c>
      <c r="D8" s="8"/>
      <c r="E8" t="s">
        <v>95</v>
      </c>
      <c r="F8" t="s">
        <v>151</v>
      </c>
      <c r="G8" t="s">
        <v>152</v>
      </c>
      <c r="H8" t="s">
        <v>153</v>
      </c>
      <c r="I8" t="s">
        <v>154</v>
      </c>
      <c r="J8" t="s">
        <v>155</v>
      </c>
      <c r="K8" s="8" t="str">
        <f t="shared" si="3"/>
        <v>DS3 v2</v>
      </c>
      <c r="L8" s="8">
        <f>VLOOKUP(K8,'Web-SKUS'!A:E,2,FALSE)</f>
        <v>4</v>
      </c>
      <c r="M8" s="8" t="str">
        <f>VLOOKUP(K8,'Web-SKUS'!A:E,4,FALSE)</f>
        <v>14</v>
      </c>
      <c r="N8" t="s">
        <v>171</v>
      </c>
      <c r="O8">
        <v>3</v>
      </c>
      <c r="P8" t="s">
        <v>157</v>
      </c>
      <c r="Q8" t="str">
        <f>IFERROR(VLOOKUP(B8,PercentCPU!B:F,4,FALSE),"")</f>
        <v/>
      </c>
      <c r="R8" t="str">
        <f>IFERROR(VLOOKUP(B8,MemoryAvailable!B:F,3,FALSE),"")</f>
        <v/>
      </c>
      <c r="S8" s="2" t="str">
        <f t="shared" si="4"/>
        <v/>
      </c>
      <c r="T8" t="str">
        <f t="shared" si="5"/>
        <v/>
      </c>
      <c r="U8" s="8">
        <f t="shared" si="6"/>
        <v>0</v>
      </c>
      <c r="V8" s="8" t="str">
        <f t="shared" si="7"/>
        <v/>
      </c>
      <c r="W8" s="8" t="str">
        <f>IFERROR(VLOOKUP(B8,Write_Bytes_ps!B:F,4,FALSE)/1024/1024,"")</f>
        <v/>
      </c>
      <c r="X8" s="8" t="str">
        <f>IFERROR(VLOOKUP(B8,Read_Bytes_ps!B:F,4,FALSE)/1024/1024,"")</f>
        <v/>
      </c>
      <c r="Y8" s="8" t="str">
        <f>IFERROR(VLOOKUP(B8,Writes_ps!B:F,5,FALSE),"")</f>
        <v/>
      </c>
      <c r="Z8" s="8" t="str">
        <f>IFERROR(VLOOKUP(B8,Reads_ps!B:F,5,FALSE),"")</f>
        <v/>
      </c>
      <c r="AA8" s="8">
        <f t="shared" si="8"/>
        <v>0</v>
      </c>
      <c r="AB8" s="122">
        <f t="shared" si="19"/>
        <v>0</v>
      </c>
      <c r="AC8" s="122" t="str">
        <f t="shared" si="9"/>
        <v>DS3 v2</v>
      </c>
      <c r="AE8" s="8" t="str">
        <f>IFERROR(VLOOKUP(AD8,'Web-SKUS'!A:E,2,FALSE),"")</f>
        <v/>
      </c>
      <c r="AF8" s="8">
        <f>_xlfn.NUMBERVALUE(IFERROR(VLOOKUP(AD8,'Web-SKUS'!A:E,4,FALSE),""))</f>
        <v>0</v>
      </c>
      <c r="AG8" s="8">
        <f>IFERROR(VLOOKUP(AD8,VM_Performance_Stats!A:G,7,FALSE),0)</f>
        <v>0</v>
      </c>
      <c r="AH8" s="8" t="str">
        <f>IFERROR(VLOOKUP(AD8,VM_Performance_Stats!A:I,8,FALSE),"")</f>
        <v/>
      </c>
      <c r="AI8" s="8">
        <f t="shared" si="10"/>
        <v>1</v>
      </c>
      <c r="AJ8" s="8">
        <f t="shared" si="11"/>
        <v>0</v>
      </c>
      <c r="AK8" s="8">
        <f>IFERROR(IF(VLOOKUP(AD8,VM_Performance_Stats!A:I,8,FALSE)&gt;AB8,1,0),0)</f>
        <v>0</v>
      </c>
      <c r="AL8" t="str">
        <f>IFERROR(VLOOKUP(AD8,'Web-SKUS'!A:G,7,FALSE),"")</f>
        <v/>
      </c>
      <c r="AM8" s="116" t="str">
        <f t="shared" si="1"/>
        <v/>
      </c>
      <c r="AN8" t="str">
        <f>IFERROR(IF(C8=1,VLOOKUP(K8,'Web-SKUS'!A:G,7,FALSE),VLOOKUP(K8,'Web-SKUS'!A:G,6,FALSE)),"")</f>
        <v>£147.9886/month</v>
      </c>
      <c r="AO8" s="116">
        <f t="shared" si="2"/>
        <v>147.98859999999999</v>
      </c>
      <c r="AP8" s="116">
        <f t="shared" si="12"/>
        <v>147.98859999999999</v>
      </c>
      <c r="AQ8" s="115">
        <f t="shared" si="13"/>
        <v>0</v>
      </c>
      <c r="AR8" s="115">
        <f t="shared" si="14"/>
        <v>0</v>
      </c>
      <c r="AS8" s="115" t="e">
        <f>VLOOKUP(B8,'Willie List'!B:M,12,FALSE)</f>
        <v>#N/A</v>
      </c>
      <c r="AT8" s="115" t="str">
        <f t="shared" si="15"/>
        <v>Standard_DS3_v2</v>
      </c>
      <c r="AU8" s="115" t="str">
        <f t="shared" si="16"/>
        <v>DS3 v2</v>
      </c>
      <c r="AV8">
        <f t="shared" si="17"/>
        <v>0</v>
      </c>
      <c r="AW8" s="8">
        <f t="shared" si="18"/>
        <v>0</v>
      </c>
    </row>
    <row r="9" spans="1:53">
      <c r="B9" t="s">
        <v>172</v>
      </c>
      <c r="C9" s="8">
        <f>IFERROR(IF(VLOOKUP(B9,'Willie List'!B:B,1,FALSE) &lt;&gt; "",1,0),0)</f>
        <v>0</v>
      </c>
      <c r="D9" s="8"/>
      <c r="E9" t="s">
        <v>95</v>
      </c>
      <c r="F9" t="s">
        <v>159</v>
      </c>
      <c r="G9" t="s">
        <v>152</v>
      </c>
      <c r="H9" t="s">
        <v>153</v>
      </c>
      <c r="I9" t="s">
        <v>154</v>
      </c>
      <c r="J9" t="s">
        <v>155</v>
      </c>
      <c r="K9" s="8" t="str">
        <f t="shared" si="3"/>
        <v>DS3 v2</v>
      </c>
      <c r="L9" s="8">
        <f>VLOOKUP(K9,'Web-SKUS'!A:E,2,FALSE)</f>
        <v>4</v>
      </c>
      <c r="M9" s="8" t="str">
        <f>VLOOKUP(K9,'Web-SKUS'!A:E,4,FALSE)</f>
        <v>14</v>
      </c>
      <c r="N9" t="s">
        <v>173</v>
      </c>
      <c r="O9">
        <v>9</v>
      </c>
      <c r="P9" t="s">
        <v>157</v>
      </c>
      <c r="Q9" t="str">
        <f>IFERROR(VLOOKUP(B9,PercentCPU!B:F,4,FALSE),"")</f>
        <v/>
      </c>
      <c r="R9" t="str">
        <f>IFERROR(VLOOKUP(B9,MemoryAvailable!B:F,3,FALSE),"")</f>
        <v/>
      </c>
      <c r="S9" s="2" t="str">
        <f t="shared" si="4"/>
        <v/>
      </c>
      <c r="T9" t="str">
        <f t="shared" si="5"/>
        <v/>
      </c>
      <c r="U9" s="8">
        <f t="shared" si="6"/>
        <v>0</v>
      </c>
      <c r="V9" s="8" t="str">
        <f t="shared" si="7"/>
        <v/>
      </c>
      <c r="W9" s="8" t="str">
        <f>IFERROR(VLOOKUP(B9,Write_Bytes_ps!B:F,4,FALSE)/1024/1024,"")</f>
        <v/>
      </c>
      <c r="X9" s="8" t="str">
        <f>IFERROR(VLOOKUP(B9,Read_Bytes_ps!B:F,4,FALSE)/1024/1024,"")</f>
        <v/>
      </c>
      <c r="Y9" s="8" t="str">
        <f>IFERROR(VLOOKUP(B9,Writes_ps!B:F,5,FALSE),"")</f>
        <v/>
      </c>
      <c r="Z9" s="8" t="str">
        <f>IFERROR(VLOOKUP(B9,Reads_ps!B:F,5,FALSE),"")</f>
        <v/>
      </c>
      <c r="AA9" s="8">
        <f t="shared" si="8"/>
        <v>0</v>
      </c>
      <c r="AB9" s="122">
        <f t="shared" si="19"/>
        <v>0</v>
      </c>
      <c r="AC9" s="122" t="str">
        <f t="shared" si="9"/>
        <v>DS3 v2</v>
      </c>
      <c r="AE9" s="8" t="str">
        <f>IFERROR(VLOOKUP(AD9,'Web-SKUS'!A:E,2,FALSE),"")</f>
        <v/>
      </c>
      <c r="AF9" s="8">
        <f>_xlfn.NUMBERVALUE(IFERROR(VLOOKUP(AD9,'Web-SKUS'!A:E,4,FALSE),""))</f>
        <v>0</v>
      </c>
      <c r="AG9" s="8">
        <f>IFERROR(VLOOKUP(AD9,VM_Performance_Stats!A:G,7,FALSE),0)</f>
        <v>0</v>
      </c>
      <c r="AH9" s="8" t="str">
        <f>IFERROR(VLOOKUP(AD9,VM_Performance_Stats!A:I,8,FALSE),"")</f>
        <v/>
      </c>
      <c r="AI9" s="8">
        <f t="shared" si="10"/>
        <v>1</v>
      </c>
      <c r="AJ9" s="8">
        <f t="shared" si="11"/>
        <v>0</v>
      </c>
      <c r="AK9" s="8">
        <f>IFERROR(IF(VLOOKUP(AD9,VM_Performance_Stats!A:I,8,FALSE)&gt;AB9,1,0),0)</f>
        <v>0</v>
      </c>
      <c r="AL9" t="str">
        <f>IFERROR(VLOOKUP(AD9,'Web-SKUS'!A:G,7,FALSE),"")</f>
        <v/>
      </c>
      <c r="AM9" s="116" t="str">
        <f t="shared" si="1"/>
        <v/>
      </c>
      <c r="AN9" t="str">
        <f>IFERROR(IF(C9=1,VLOOKUP(K9,'Web-SKUS'!A:G,7,FALSE),VLOOKUP(K9,'Web-SKUS'!A:G,6,FALSE)),"")</f>
        <v>£147.9886/month</v>
      </c>
      <c r="AO9" s="116">
        <f t="shared" si="2"/>
        <v>147.98859999999999</v>
      </c>
      <c r="AP9" s="116">
        <f t="shared" si="12"/>
        <v>147.98859999999999</v>
      </c>
      <c r="AQ9" s="115">
        <f t="shared" si="13"/>
        <v>0</v>
      </c>
      <c r="AR9" s="115">
        <f t="shared" si="14"/>
        <v>0</v>
      </c>
      <c r="AS9" s="115" t="e">
        <f>VLOOKUP(B9,'Willie List'!B:M,12,FALSE)</f>
        <v>#N/A</v>
      </c>
      <c r="AT9" s="115" t="str">
        <f t="shared" si="15"/>
        <v>Standard_DS3_v2</v>
      </c>
      <c r="AU9" s="115" t="str">
        <f t="shared" si="16"/>
        <v>DS3 v2</v>
      </c>
      <c r="AV9">
        <f t="shared" si="17"/>
        <v>0</v>
      </c>
      <c r="AW9" s="8">
        <f t="shared" si="18"/>
        <v>0</v>
      </c>
    </row>
    <row r="10" spans="1:53">
      <c r="B10" t="s">
        <v>174</v>
      </c>
      <c r="C10" s="8">
        <f>IFERROR(IF(VLOOKUP(B10,'Willie List'!B:B,1,FALSE) &lt;&gt; "",1,0),0)</f>
        <v>0</v>
      </c>
      <c r="D10" s="8"/>
      <c r="E10" t="s">
        <v>175</v>
      </c>
      <c r="F10" t="s">
        <v>176</v>
      </c>
      <c r="G10" t="s">
        <v>152</v>
      </c>
      <c r="H10" t="s">
        <v>153</v>
      </c>
      <c r="I10" t="s">
        <v>154</v>
      </c>
      <c r="J10" t="s">
        <v>155</v>
      </c>
      <c r="K10" s="8" t="str">
        <f t="shared" si="3"/>
        <v>DS3 v2</v>
      </c>
      <c r="L10" s="8">
        <f>VLOOKUP(K10,'Web-SKUS'!A:E,2,FALSE)</f>
        <v>4</v>
      </c>
      <c r="M10" s="8" t="str">
        <f>VLOOKUP(K10,'Web-SKUS'!A:E,4,FALSE)</f>
        <v>14</v>
      </c>
      <c r="N10" t="s">
        <v>177</v>
      </c>
      <c r="O10">
        <v>4</v>
      </c>
      <c r="P10" t="s">
        <v>157</v>
      </c>
      <c r="Q10" t="str">
        <f>IFERROR(VLOOKUP(B10,PercentCPU!B:F,4,FALSE),"")</f>
        <v/>
      </c>
      <c r="R10" t="str">
        <f>IFERROR(VLOOKUP(B10,MemoryAvailable!B:F,3,FALSE),"")</f>
        <v/>
      </c>
      <c r="S10" s="2" t="str">
        <f t="shared" si="4"/>
        <v/>
      </c>
      <c r="T10" t="str">
        <f t="shared" si="5"/>
        <v/>
      </c>
      <c r="U10" s="8">
        <f t="shared" si="6"/>
        <v>0</v>
      </c>
      <c r="V10" s="8" t="str">
        <f t="shared" si="7"/>
        <v/>
      </c>
      <c r="W10" s="8" t="str">
        <f>IFERROR(VLOOKUP(B10,Write_Bytes_ps!B:F,4,FALSE)/1024/1024,"")</f>
        <v/>
      </c>
      <c r="X10" s="8" t="str">
        <f>IFERROR(VLOOKUP(B10,Read_Bytes_ps!B:F,4,FALSE)/1024/1024,"")</f>
        <v/>
      </c>
      <c r="Y10" s="8" t="str">
        <f>IFERROR(VLOOKUP(B10,Writes_ps!B:F,5,FALSE),"")</f>
        <v/>
      </c>
      <c r="Z10" s="8" t="str">
        <f>IFERROR(VLOOKUP(B10,Reads_ps!B:F,5,FALSE),"")</f>
        <v/>
      </c>
      <c r="AA10" s="8">
        <f t="shared" si="8"/>
        <v>0</v>
      </c>
      <c r="AB10" s="122">
        <f t="shared" si="19"/>
        <v>0</v>
      </c>
      <c r="AC10" s="122" t="str">
        <f t="shared" si="9"/>
        <v>DS3 v2</v>
      </c>
      <c r="AE10" s="8" t="str">
        <f>IFERROR(VLOOKUP(AD10,'Web-SKUS'!A:E,2,FALSE),"")</f>
        <v/>
      </c>
      <c r="AF10" s="8">
        <f>_xlfn.NUMBERVALUE(IFERROR(VLOOKUP(AD10,'Web-SKUS'!A:E,4,FALSE),""))</f>
        <v>0</v>
      </c>
      <c r="AG10" s="8">
        <f>IFERROR(VLOOKUP(AD10,VM_Performance_Stats!A:G,7,FALSE),0)</f>
        <v>0</v>
      </c>
      <c r="AH10" s="8" t="str">
        <f>IFERROR(VLOOKUP(AD10,VM_Performance_Stats!A:I,8,FALSE),"")</f>
        <v/>
      </c>
      <c r="AI10" s="8">
        <f t="shared" si="10"/>
        <v>1</v>
      </c>
      <c r="AJ10" s="8">
        <f t="shared" si="11"/>
        <v>0</v>
      </c>
      <c r="AK10" s="8">
        <f>IFERROR(IF(VLOOKUP(AD10,VM_Performance_Stats!A:I,8,FALSE)&gt;AB10,1,0),0)</f>
        <v>0</v>
      </c>
      <c r="AL10" t="str">
        <f>IFERROR(VLOOKUP(AD10,'Web-SKUS'!A:G,7,FALSE),"")</f>
        <v/>
      </c>
      <c r="AM10" s="116" t="str">
        <f t="shared" si="1"/>
        <v/>
      </c>
      <c r="AN10" t="str">
        <f>IFERROR(IF(C10=1,VLOOKUP(K10,'Web-SKUS'!A:G,7,FALSE),VLOOKUP(K10,'Web-SKUS'!A:G,6,FALSE)),"")</f>
        <v>£147.9886/month</v>
      </c>
      <c r="AO10" s="116">
        <f t="shared" si="2"/>
        <v>147.98859999999999</v>
      </c>
      <c r="AP10" s="116">
        <f t="shared" si="12"/>
        <v>147.98859999999999</v>
      </c>
      <c r="AQ10" s="115">
        <f t="shared" si="13"/>
        <v>0</v>
      </c>
      <c r="AR10" s="115">
        <f t="shared" si="14"/>
        <v>0</v>
      </c>
      <c r="AS10" s="115" t="e">
        <f>VLOOKUP(B10,'Willie List'!B:M,12,FALSE)</f>
        <v>#N/A</v>
      </c>
      <c r="AT10" s="115" t="str">
        <f t="shared" si="15"/>
        <v>Standard_DS3_v2</v>
      </c>
      <c r="AU10" s="115" t="str">
        <f t="shared" si="16"/>
        <v>DS3 v2</v>
      </c>
      <c r="AV10">
        <f t="shared" si="17"/>
        <v>0</v>
      </c>
      <c r="AW10" s="8">
        <f t="shared" si="18"/>
        <v>0</v>
      </c>
    </row>
    <row r="11" spans="1:53">
      <c r="B11" t="s">
        <v>178</v>
      </c>
      <c r="C11" s="8">
        <f>IFERROR(IF(VLOOKUP(B11,'Willie List'!B:B,1,FALSE) &lt;&gt; "",1,0),0)</f>
        <v>0</v>
      </c>
      <c r="D11" s="8"/>
      <c r="E11" t="s">
        <v>95</v>
      </c>
      <c r="F11" t="s">
        <v>151</v>
      </c>
      <c r="G11" t="s">
        <v>152</v>
      </c>
      <c r="H11" t="s">
        <v>153</v>
      </c>
      <c r="I11" t="s">
        <v>154</v>
      </c>
      <c r="J11" t="s">
        <v>155</v>
      </c>
      <c r="K11" s="8" t="str">
        <f t="shared" si="3"/>
        <v>DS3 v2</v>
      </c>
      <c r="L11" s="8">
        <f>VLOOKUP(K11,'Web-SKUS'!A:E,2,FALSE)</f>
        <v>4</v>
      </c>
      <c r="M11" s="8" t="str">
        <f>VLOOKUP(K11,'Web-SKUS'!A:E,4,FALSE)</f>
        <v>14</v>
      </c>
      <c r="N11" t="s">
        <v>179</v>
      </c>
      <c r="O11">
        <v>3</v>
      </c>
      <c r="P11" t="s">
        <v>157</v>
      </c>
      <c r="Q11" t="str">
        <f>IFERROR(VLOOKUP(B11,PercentCPU!B:F,4,FALSE),"")</f>
        <v/>
      </c>
      <c r="R11" t="str">
        <f>IFERROR(VLOOKUP(B11,MemoryAvailable!B:F,3,FALSE),"")</f>
        <v/>
      </c>
      <c r="S11" s="2" t="str">
        <f t="shared" si="4"/>
        <v/>
      </c>
      <c r="T11" t="str">
        <f t="shared" si="5"/>
        <v/>
      </c>
      <c r="U11" s="8">
        <f t="shared" si="6"/>
        <v>0</v>
      </c>
      <c r="V11" s="8" t="str">
        <f t="shared" si="7"/>
        <v/>
      </c>
      <c r="W11" s="8" t="str">
        <f>IFERROR(VLOOKUP(B11,Write_Bytes_ps!B:F,4,FALSE)/1024/1024,"")</f>
        <v/>
      </c>
      <c r="X11" s="8" t="str">
        <f>IFERROR(VLOOKUP(B11,Read_Bytes_ps!B:F,4,FALSE)/1024/1024,"")</f>
        <v/>
      </c>
      <c r="Y11" s="8" t="str">
        <f>IFERROR(VLOOKUP(B11,Writes_ps!B:F,5,FALSE),"")</f>
        <v/>
      </c>
      <c r="Z11" s="8" t="str">
        <f>IFERROR(VLOOKUP(B11,Reads_ps!B:F,5,FALSE),"")</f>
        <v/>
      </c>
      <c r="AA11" s="8">
        <f t="shared" si="8"/>
        <v>0</v>
      </c>
      <c r="AB11" s="122">
        <f t="shared" si="19"/>
        <v>0</v>
      </c>
      <c r="AC11" s="122" t="str">
        <f t="shared" si="9"/>
        <v>DS3 v2</v>
      </c>
      <c r="AE11" s="8" t="str">
        <f>IFERROR(VLOOKUP(AD11,'Web-SKUS'!A:E,2,FALSE),"")</f>
        <v/>
      </c>
      <c r="AF11" s="8">
        <f>_xlfn.NUMBERVALUE(IFERROR(VLOOKUP(AD11,'Web-SKUS'!A:E,4,FALSE),""))</f>
        <v>0</v>
      </c>
      <c r="AG11" s="8">
        <f>IFERROR(VLOOKUP(AD11,VM_Performance_Stats!A:G,7,FALSE),0)</f>
        <v>0</v>
      </c>
      <c r="AH11" s="8" t="str">
        <f>IFERROR(VLOOKUP(AD11,VM_Performance_Stats!A:I,8,FALSE),"")</f>
        <v/>
      </c>
      <c r="AI11" s="8">
        <f t="shared" si="10"/>
        <v>1</v>
      </c>
      <c r="AJ11" s="8">
        <f t="shared" si="11"/>
        <v>0</v>
      </c>
      <c r="AK11" s="8">
        <f>IFERROR(IF(VLOOKUP(AD11,VM_Performance_Stats!A:I,8,FALSE)&gt;AB11,1,0),0)</f>
        <v>0</v>
      </c>
      <c r="AL11" t="str">
        <f>IFERROR(VLOOKUP(AD11,'Web-SKUS'!A:G,7,FALSE),"")</f>
        <v/>
      </c>
      <c r="AM11" s="116" t="str">
        <f t="shared" si="1"/>
        <v/>
      </c>
      <c r="AN11" t="str">
        <f>IFERROR(IF(C11=1,VLOOKUP(K11,'Web-SKUS'!A:G,7,FALSE),VLOOKUP(K11,'Web-SKUS'!A:G,6,FALSE)),"")</f>
        <v>£147.9886/month</v>
      </c>
      <c r="AO11" s="116">
        <f t="shared" si="2"/>
        <v>147.98859999999999</v>
      </c>
      <c r="AP11" s="116">
        <f t="shared" si="12"/>
        <v>147.98859999999999</v>
      </c>
      <c r="AQ11" s="115">
        <f t="shared" si="13"/>
        <v>0</v>
      </c>
      <c r="AR11" s="115">
        <f t="shared" si="14"/>
        <v>0</v>
      </c>
      <c r="AS11" s="115" t="e">
        <f>VLOOKUP(B11,'Willie List'!B:M,12,FALSE)</f>
        <v>#N/A</v>
      </c>
      <c r="AT11" s="115" t="str">
        <f t="shared" si="15"/>
        <v>Standard_DS3_v2</v>
      </c>
      <c r="AU11" s="115" t="str">
        <f t="shared" si="16"/>
        <v>DS3 v2</v>
      </c>
      <c r="AV11">
        <f t="shared" si="17"/>
        <v>0</v>
      </c>
      <c r="AW11" s="8">
        <f t="shared" si="18"/>
        <v>0</v>
      </c>
    </row>
    <row r="12" spans="1:53">
      <c r="B12" t="s">
        <v>180</v>
      </c>
      <c r="C12" s="8">
        <f>IFERROR(IF(VLOOKUP(B12,'Willie List'!B:B,1,FALSE) &lt;&gt; "",1,0),0)</f>
        <v>0</v>
      </c>
      <c r="D12" s="8"/>
      <c r="E12" t="s">
        <v>99</v>
      </c>
      <c r="F12" t="s">
        <v>162</v>
      </c>
      <c r="G12" t="s">
        <v>152</v>
      </c>
      <c r="H12" t="s">
        <v>153</v>
      </c>
      <c r="I12" t="s">
        <v>154</v>
      </c>
      <c r="J12" t="s">
        <v>50</v>
      </c>
      <c r="K12" s="8" t="str">
        <f t="shared" si="3"/>
        <v>D8as v4</v>
      </c>
      <c r="L12" s="8">
        <f>VLOOKUP(K12,'Web-SKUS'!A:E,2,FALSE)</f>
        <v>8</v>
      </c>
      <c r="M12" s="8" t="str">
        <f>VLOOKUP(K12,'Web-SKUS'!A:E,4,FALSE)</f>
        <v>32</v>
      </c>
      <c r="N12" t="s">
        <v>181</v>
      </c>
      <c r="O12">
        <v>3</v>
      </c>
      <c r="P12" t="s">
        <v>157</v>
      </c>
      <c r="Q12" t="str">
        <f>IFERROR(VLOOKUP(B12,PercentCPU!B:F,4,FALSE),"")</f>
        <v/>
      </c>
      <c r="R12" t="str">
        <f>IFERROR(VLOOKUP(B12,MemoryAvailable!B:F,3,FALSE),"")</f>
        <v/>
      </c>
      <c r="S12" s="2" t="str">
        <f t="shared" si="4"/>
        <v/>
      </c>
      <c r="T12" t="str">
        <f t="shared" si="5"/>
        <v/>
      </c>
      <c r="U12" s="8">
        <f t="shared" si="6"/>
        <v>0</v>
      </c>
      <c r="V12" s="8" t="str">
        <f t="shared" si="7"/>
        <v/>
      </c>
      <c r="W12" s="8" t="str">
        <f>IFERROR(VLOOKUP(B12,Write_Bytes_ps!B:F,4,FALSE)/1024/1024,"")</f>
        <v/>
      </c>
      <c r="X12" s="8" t="str">
        <f>IFERROR(VLOOKUP(B12,Read_Bytes_ps!B:F,4,FALSE)/1024/1024,"")</f>
        <v/>
      </c>
      <c r="Y12" s="8" t="str">
        <f>IFERROR(VLOOKUP(B12,Writes_ps!B:F,5,FALSE),"")</f>
        <v/>
      </c>
      <c r="Z12" s="8" t="str">
        <f>IFERROR(VLOOKUP(B12,Reads_ps!B:F,5,FALSE),"")</f>
        <v/>
      </c>
      <c r="AA12" s="8">
        <f t="shared" si="8"/>
        <v>0</v>
      </c>
      <c r="AB12" s="122">
        <f t="shared" si="19"/>
        <v>0</v>
      </c>
      <c r="AC12" s="122" t="str">
        <f t="shared" si="9"/>
        <v>D8as v4</v>
      </c>
      <c r="AE12" s="8" t="str">
        <f>IFERROR(VLOOKUP(AD12,'Web-SKUS'!A:E,2,FALSE),"")</f>
        <v/>
      </c>
      <c r="AF12" s="8">
        <f>_xlfn.NUMBERVALUE(IFERROR(VLOOKUP(AD12,'Web-SKUS'!A:E,4,FALSE),""))</f>
        <v>0</v>
      </c>
      <c r="AG12" s="8">
        <f>IFERROR(VLOOKUP(AD12,VM_Performance_Stats!A:G,7,FALSE),0)</f>
        <v>0</v>
      </c>
      <c r="AH12" s="8" t="str">
        <f>IFERROR(VLOOKUP(AD12,VM_Performance_Stats!A:I,8,FALSE),"")</f>
        <v/>
      </c>
      <c r="AI12" s="8">
        <f t="shared" si="10"/>
        <v>1</v>
      </c>
      <c r="AJ12" s="8">
        <f t="shared" si="11"/>
        <v>0</v>
      </c>
      <c r="AK12" s="8">
        <f>IFERROR(IF(VLOOKUP(AD12,VM_Performance_Stats!A:I,8,FALSE)&gt;AB12,1,0),0)</f>
        <v>0</v>
      </c>
      <c r="AL12" t="str">
        <f>IFERROR(VLOOKUP(AD12,'Web-SKUS'!A:G,7,FALSE),"")</f>
        <v/>
      </c>
      <c r="AM12" s="116" t="str">
        <f t="shared" si="1"/>
        <v/>
      </c>
      <c r="AN12" t="str">
        <f>IFERROR(IF(C12=1,VLOOKUP(K12,'Web-SKUS'!A:G,7,FALSE),VLOOKUP(K12,'Web-SKUS'!A:G,6,FALSE)),"")</f>
        <v>£250.2748/month</v>
      </c>
      <c r="AO12" s="116">
        <f t="shared" si="2"/>
        <v>250.2748</v>
      </c>
      <c r="AP12" s="116">
        <f t="shared" si="12"/>
        <v>250.2748</v>
      </c>
      <c r="AQ12" s="115">
        <f t="shared" si="13"/>
        <v>0</v>
      </c>
      <c r="AR12" s="115">
        <f t="shared" si="14"/>
        <v>0</v>
      </c>
      <c r="AS12" s="115" t="e">
        <f>VLOOKUP(B12,'Willie List'!B:M,12,FALSE)</f>
        <v>#N/A</v>
      </c>
      <c r="AT12" s="115" t="str">
        <f t="shared" si="15"/>
        <v>Standard_D8as_v4</v>
      </c>
      <c r="AU12" s="115" t="str">
        <f t="shared" si="16"/>
        <v>D8as v4</v>
      </c>
      <c r="AV12">
        <f t="shared" si="17"/>
        <v>0</v>
      </c>
      <c r="AW12" s="8">
        <f t="shared" si="18"/>
        <v>0</v>
      </c>
    </row>
    <row r="13" spans="1:53">
      <c r="B13" t="s">
        <v>182</v>
      </c>
      <c r="C13" s="8">
        <f>IFERROR(IF(VLOOKUP(B13,'Willie List'!B:B,1,FALSE) &lt;&gt; "",1,0),0)</f>
        <v>0</v>
      </c>
      <c r="D13" s="8"/>
      <c r="E13" t="s">
        <v>99</v>
      </c>
      <c r="F13" t="s">
        <v>162</v>
      </c>
      <c r="G13" t="s">
        <v>152</v>
      </c>
      <c r="H13" t="s">
        <v>153</v>
      </c>
      <c r="I13" t="s">
        <v>154</v>
      </c>
      <c r="J13" t="s">
        <v>155</v>
      </c>
      <c r="K13" s="8" t="str">
        <f t="shared" si="3"/>
        <v>DS3 v2</v>
      </c>
      <c r="L13" s="8">
        <f>VLOOKUP(K13,'Web-SKUS'!A:E,2,FALSE)</f>
        <v>4</v>
      </c>
      <c r="M13" s="8" t="str">
        <f>VLOOKUP(K13,'Web-SKUS'!A:E,4,FALSE)</f>
        <v>14</v>
      </c>
      <c r="N13" t="s">
        <v>183</v>
      </c>
      <c r="O13">
        <v>3</v>
      </c>
      <c r="P13" t="s">
        <v>157</v>
      </c>
      <c r="Q13" t="str">
        <f>IFERROR(VLOOKUP(B13,PercentCPU!B:F,4,FALSE),"")</f>
        <v/>
      </c>
      <c r="R13" t="str">
        <f>IFERROR(VLOOKUP(B13,MemoryAvailable!B:F,3,FALSE),"")</f>
        <v/>
      </c>
      <c r="S13" s="2" t="str">
        <f t="shared" si="4"/>
        <v/>
      </c>
      <c r="T13" t="str">
        <f t="shared" si="5"/>
        <v/>
      </c>
      <c r="U13" s="8">
        <f t="shared" si="6"/>
        <v>0</v>
      </c>
      <c r="V13" s="8" t="str">
        <f t="shared" si="7"/>
        <v/>
      </c>
      <c r="W13" s="8" t="str">
        <f>IFERROR(VLOOKUP(B13,Write_Bytes_ps!B:F,4,FALSE)/1024/1024,"")</f>
        <v/>
      </c>
      <c r="X13" s="8" t="str">
        <f>IFERROR(VLOOKUP(B13,Read_Bytes_ps!B:F,4,FALSE)/1024/1024,"")</f>
        <v/>
      </c>
      <c r="Y13" s="8" t="str">
        <f>IFERROR(VLOOKUP(B13,Writes_ps!B:F,5,FALSE),"")</f>
        <v/>
      </c>
      <c r="Z13" s="8" t="str">
        <f>IFERROR(VLOOKUP(B13,Reads_ps!B:F,5,FALSE),"")</f>
        <v/>
      </c>
      <c r="AA13" s="8">
        <f t="shared" si="8"/>
        <v>0</v>
      </c>
      <c r="AB13" s="122">
        <f t="shared" si="19"/>
        <v>0</v>
      </c>
      <c r="AC13" s="122" t="str">
        <f t="shared" si="9"/>
        <v>DS3 v2</v>
      </c>
      <c r="AE13" s="8" t="str">
        <f>IFERROR(VLOOKUP(AD13,'Web-SKUS'!A:E,2,FALSE),"")</f>
        <v/>
      </c>
      <c r="AF13" s="8">
        <f>_xlfn.NUMBERVALUE(IFERROR(VLOOKUP(AD13,'Web-SKUS'!A:E,4,FALSE),""))</f>
        <v>0</v>
      </c>
      <c r="AG13" s="8">
        <f>IFERROR(VLOOKUP(AD13,VM_Performance_Stats!A:G,7,FALSE),0)</f>
        <v>0</v>
      </c>
      <c r="AH13" s="8" t="str">
        <f>IFERROR(VLOOKUP(AD13,VM_Performance_Stats!A:I,8,FALSE),"")</f>
        <v/>
      </c>
      <c r="AI13" s="8">
        <f t="shared" si="10"/>
        <v>1</v>
      </c>
      <c r="AJ13" s="8">
        <f t="shared" si="11"/>
        <v>0</v>
      </c>
      <c r="AK13" s="8">
        <f>IFERROR(IF(VLOOKUP(AD13,VM_Performance_Stats!A:I,8,FALSE)&gt;AB13,1,0),0)</f>
        <v>0</v>
      </c>
      <c r="AL13" t="str">
        <f>IFERROR(VLOOKUP(AD13,'Web-SKUS'!A:G,7,FALSE),"")</f>
        <v/>
      </c>
      <c r="AM13" s="116" t="str">
        <f t="shared" si="1"/>
        <v/>
      </c>
      <c r="AN13" t="str">
        <f>IFERROR(IF(C13=1,VLOOKUP(K13,'Web-SKUS'!A:G,7,FALSE),VLOOKUP(K13,'Web-SKUS'!A:G,6,FALSE)),"")</f>
        <v>£147.9886/month</v>
      </c>
      <c r="AO13" s="116">
        <f t="shared" si="2"/>
        <v>147.98859999999999</v>
      </c>
      <c r="AP13" s="116">
        <f t="shared" si="12"/>
        <v>147.98859999999999</v>
      </c>
      <c r="AQ13" s="115">
        <f t="shared" si="13"/>
        <v>0</v>
      </c>
      <c r="AR13" s="115">
        <f t="shared" si="14"/>
        <v>0</v>
      </c>
      <c r="AS13" s="115" t="e">
        <f>VLOOKUP(B13,'Willie List'!B:M,12,FALSE)</f>
        <v>#N/A</v>
      </c>
      <c r="AT13" s="115" t="str">
        <f t="shared" si="15"/>
        <v>Standard_DS3_v2</v>
      </c>
      <c r="AU13" s="115" t="str">
        <f t="shared" si="16"/>
        <v>DS3 v2</v>
      </c>
      <c r="AV13">
        <f t="shared" si="17"/>
        <v>0</v>
      </c>
      <c r="AW13" s="8">
        <f t="shared" si="18"/>
        <v>0</v>
      </c>
    </row>
    <row r="14" spans="1:53">
      <c r="B14" t="s">
        <v>184</v>
      </c>
      <c r="C14" s="8">
        <f>IFERROR(IF(VLOOKUP(B14,'Willie List'!B:B,1,FALSE) &lt;&gt; "",1,0),0)</f>
        <v>0</v>
      </c>
      <c r="D14" s="8"/>
      <c r="E14" t="s">
        <v>95</v>
      </c>
      <c r="F14" t="s">
        <v>159</v>
      </c>
      <c r="G14" t="s">
        <v>152</v>
      </c>
      <c r="H14" t="s">
        <v>153</v>
      </c>
      <c r="I14" t="s">
        <v>154</v>
      </c>
      <c r="J14" t="s">
        <v>155</v>
      </c>
      <c r="K14" s="8" t="str">
        <f t="shared" si="3"/>
        <v>DS3 v2</v>
      </c>
      <c r="L14" s="8">
        <f>VLOOKUP(K14,'Web-SKUS'!A:E,2,FALSE)</f>
        <v>4</v>
      </c>
      <c r="M14" s="8" t="str">
        <f>VLOOKUP(K14,'Web-SKUS'!A:E,4,FALSE)</f>
        <v>14</v>
      </c>
      <c r="N14" t="s">
        <v>185</v>
      </c>
      <c r="O14">
        <v>4</v>
      </c>
      <c r="P14" t="s">
        <v>157</v>
      </c>
      <c r="Q14" t="str">
        <f>IFERROR(VLOOKUP(B14,PercentCPU!B:F,4,FALSE),"")</f>
        <v/>
      </c>
      <c r="R14" t="str">
        <f>IFERROR(VLOOKUP(B14,MemoryAvailable!B:F,3,FALSE),"")</f>
        <v/>
      </c>
      <c r="S14" s="2" t="str">
        <f t="shared" si="4"/>
        <v/>
      </c>
      <c r="T14" t="str">
        <f t="shared" si="5"/>
        <v/>
      </c>
      <c r="U14" s="8">
        <f t="shared" si="6"/>
        <v>0</v>
      </c>
      <c r="V14" s="8" t="str">
        <f t="shared" si="7"/>
        <v/>
      </c>
      <c r="W14" s="8" t="str">
        <f>IFERROR(VLOOKUP(B14,Write_Bytes_ps!B:F,4,FALSE)/1024/1024,"")</f>
        <v/>
      </c>
      <c r="X14" s="8" t="str">
        <f>IFERROR(VLOOKUP(B14,Read_Bytes_ps!B:F,4,FALSE)/1024/1024,"")</f>
        <v/>
      </c>
      <c r="Y14" s="8" t="str">
        <f>IFERROR(VLOOKUP(B14,Writes_ps!B:F,5,FALSE),"")</f>
        <v/>
      </c>
      <c r="Z14" s="8" t="str">
        <f>IFERROR(VLOOKUP(B14,Reads_ps!B:F,5,FALSE),"")</f>
        <v/>
      </c>
      <c r="AA14" s="8">
        <f t="shared" si="8"/>
        <v>0</v>
      </c>
      <c r="AB14" s="122">
        <f t="shared" si="19"/>
        <v>0</v>
      </c>
      <c r="AC14" s="122" t="str">
        <f t="shared" si="9"/>
        <v>DS3 v2</v>
      </c>
      <c r="AE14" s="8" t="str">
        <f>IFERROR(VLOOKUP(AD14,'Web-SKUS'!A:E,2,FALSE),"")</f>
        <v/>
      </c>
      <c r="AF14" s="8">
        <f>_xlfn.NUMBERVALUE(IFERROR(VLOOKUP(AD14,'Web-SKUS'!A:E,4,FALSE),""))</f>
        <v>0</v>
      </c>
      <c r="AG14" s="8">
        <f>IFERROR(VLOOKUP(AD14,VM_Performance_Stats!A:G,7,FALSE),0)</f>
        <v>0</v>
      </c>
      <c r="AH14" s="8" t="str">
        <f>IFERROR(VLOOKUP(AD14,VM_Performance_Stats!A:I,8,FALSE),"")</f>
        <v/>
      </c>
      <c r="AI14" s="8">
        <f t="shared" si="10"/>
        <v>1</v>
      </c>
      <c r="AJ14" s="8">
        <f t="shared" si="11"/>
        <v>0</v>
      </c>
      <c r="AK14" s="8">
        <f>IFERROR(IF(VLOOKUP(AD14,VM_Performance_Stats!A:I,8,FALSE)&gt;AB14,1,0),0)</f>
        <v>0</v>
      </c>
      <c r="AL14" t="str">
        <f>IFERROR(VLOOKUP(AD14,'Web-SKUS'!A:G,7,FALSE),"")</f>
        <v/>
      </c>
      <c r="AM14" s="116" t="str">
        <f t="shared" si="1"/>
        <v/>
      </c>
      <c r="AN14" t="str">
        <f>IFERROR(IF(C14=1,VLOOKUP(K14,'Web-SKUS'!A:G,7,FALSE),VLOOKUP(K14,'Web-SKUS'!A:G,6,FALSE)),"")</f>
        <v>£147.9886/month</v>
      </c>
      <c r="AO14" s="116">
        <f t="shared" si="2"/>
        <v>147.98859999999999</v>
      </c>
      <c r="AP14" s="116">
        <f t="shared" si="12"/>
        <v>147.98859999999999</v>
      </c>
      <c r="AQ14" s="115">
        <f t="shared" si="13"/>
        <v>0</v>
      </c>
      <c r="AR14" s="115">
        <f t="shared" si="14"/>
        <v>0</v>
      </c>
      <c r="AS14" s="115" t="e">
        <f>VLOOKUP(B14,'Willie List'!B:M,12,FALSE)</f>
        <v>#N/A</v>
      </c>
      <c r="AT14" s="115" t="str">
        <f t="shared" si="15"/>
        <v>Standard_DS3_v2</v>
      </c>
      <c r="AU14" s="115" t="str">
        <f t="shared" si="16"/>
        <v>DS3 v2</v>
      </c>
      <c r="AV14">
        <f t="shared" si="17"/>
        <v>0</v>
      </c>
      <c r="AW14" s="8">
        <f t="shared" si="18"/>
        <v>0</v>
      </c>
    </row>
    <row r="15" spans="1:53">
      <c r="B15" t="s">
        <v>186</v>
      </c>
      <c r="C15" s="8">
        <f>IFERROR(IF(VLOOKUP(B15,'Willie List'!B:B,1,FALSE) &lt;&gt; "",1,0),0)</f>
        <v>0</v>
      </c>
      <c r="D15" s="8"/>
      <c r="E15" t="s">
        <v>99</v>
      </c>
      <c r="F15" t="s">
        <v>162</v>
      </c>
      <c r="G15" t="s">
        <v>152</v>
      </c>
      <c r="H15" t="s">
        <v>153</v>
      </c>
      <c r="I15" t="s">
        <v>154</v>
      </c>
      <c r="J15" t="s">
        <v>155</v>
      </c>
      <c r="K15" s="8" t="str">
        <f t="shared" si="3"/>
        <v>DS3 v2</v>
      </c>
      <c r="L15" s="8">
        <f>VLOOKUP(K15,'Web-SKUS'!A:E,2,FALSE)</f>
        <v>4</v>
      </c>
      <c r="M15" s="8" t="str">
        <f>VLOOKUP(K15,'Web-SKUS'!A:E,4,FALSE)</f>
        <v>14</v>
      </c>
      <c r="N15" t="s">
        <v>187</v>
      </c>
      <c r="O15">
        <v>3</v>
      </c>
      <c r="P15" t="s">
        <v>157</v>
      </c>
      <c r="Q15" t="str">
        <f>IFERROR(VLOOKUP(B15,PercentCPU!B:F,4,FALSE),"")</f>
        <v/>
      </c>
      <c r="R15" t="str">
        <f>IFERROR(VLOOKUP(B15,MemoryAvailable!B:F,3,FALSE),"")</f>
        <v/>
      </c>
      <c r="S15" s="2" t="str">
        <f t="shared" si="4"/>
        <v/>
      </c>
      <c r="T15" t="str">
        <f t="shared" si="5"/>
        <v/>
      </c>
      <c r="U15" s="8">
        <f t="shared" si="6"/>
        <v>0</v>
      </c>
      <c r="V15" s="8" t="str">
        <f t="shared" si="7"/>
        <v/>
      </c>
      <c r="W15" s="8" t="str">
        <f>IFERROR(VLOOKUP(B15,Write_Bytes_ps!B:F,4,FALSE)/1024/1024,"")</f>
        <v/>
      </c>
      <c r="X15" s="8" t="str">
        <f>IFERROR(VLOOKUP(B15,Read_Bytes_ps!B:F,4,FALSE)/1024/1024,"")</f>
        <v/>
      </c>
      <c r="Y15" s="8" t="str">
        <f>IFERROR(VLOOKUP(B15,Writes_ps!B:F,5,FALSE),"")</f>
        <v/>
      </c>
      <c r="Z15" s="8" t="str">
        <f>IFERROR(VLOOKUP(B15,Reads_ps!B:F,5,FALSE),"")</f>
        <v/>
      </c>
      <c r="AA15" s="8">
        <f t="shared" si="8"/>
        <v>0</v>
      </c>
      <c r="AB15" s="122">
        <f t="shared" si="19"/>
        <v>0</v>
      </c>
      <c r="AC15" s="122" t="str">
        <f t="shared" si="9"/>
        <v>DS3 v2</v>
      </c>
      <c r="AE15" s="8" t="str">
        <f>IFERROR(VLOOKUP(AD15,'Web-SKUS'!A:E,2,FALSE),"")</f>
        <v/>
      </c>
      <c r="AF15" s="8">
        <f>_xlfn.NUMBERVALUE(IFERROR(VLOOKUP(AD15,'Web-SKUS'!A:E,4,FALSE),""))</f>
        <v>0</v>
      </c>
      <c r="AG15" s="8">
        <f>IFERROR(VLOOKUP(AD15,VM_Performance_Stats!A:G,7,FALSE),0)</f>
        <v>0</v>
      </c>
      <c r="AH15" s="8" t="str">
        <f>IFERROR(VLOOKUP(AD15,VM_Performance_Stats!A:I,8,FALSE),"")</f>
        <v/>
      </c>
      <c r="AI15" s="8">
        <f t="shared" si="10"/>
        <v>1</v>
      </c>
      <c r="AJ15" s="8">
        <f t="shared" si="11"/>
        <v>0</v>
      </c>
      <c r="AK15" s="8">
        <f>IFERROR(IF(VLOOKUP(AD15,VM_Performance_Stats!A:I,8,FALSE)&gt;AB15,1,0),0)</f>
        <v>0</v>
      </c>
      <c r="AL15" t="str">
        <f>IFERROR(VLOOKUP(AD15,'Web-SKUS'!A:G,7,FALSE),"")</f>
        <v/>
      </c>
      <c r="AM15" s="116" t="str">
        <f t="shared" si="1"/>
        <v/>
      </c>
      <c r="AN15" t="str">
        <f>IFERROR(IF(C15=1,VLOOKUP(K15,'Web-SKUS'!A:G,7,FALSE),VLOOKUP(K15,'Web-SKUS'!A:G,6,FALSE)),"")</f>
        <v>£147.9886/month</v>
      </c>
      <c r="AO15" s="116">
        <f t="shared" si="2"/>
        <v>147.98859999999999</v>
      </c>
      <c r="AP15" s="116">
        <f t="shared" si="12"/>
        <v>147.98859999999999</v>
      </c>
      <c r="AQ15" s="115">
        <f t="shared" si="13"/>
        <v>0</v>
      </c>
      <c r="AR15" s="115">
        <f t="shared" si="14"/>
        <v>0</v>
      </c>
      <c r="AS15" s="115" t="e">
        <f>VLOOKUP(B15,'Willie List'!B:M,12,FALSE)</f>
        <v>#N/A</v>
      </c>
      <c r="AT15" s="115" t="str">
        <f t="shared" si="15"/>
        <v>Standard_DS3_v2</v>
      </c>
      <c r="AU15" s="115" t="str">
        <f t="shared" si="16"/>
        <v>DS3 v2</v>
      </c>
      <c r="AV15">
        <f t="shared" si="17"/>
        <v>0</v>
      </c>
      <c r="AW15" s="8">
        <f t="shared" si="18"/>
        <v>0</v>
      </c>
    </row>
    <row r="16" spans="1:53">
      <c r="B16" t="s">
        <v>188</v>
      </c>
      <c r="C16" s="8">
        <f>IFERROR(IF(VLOOKUP(B16,'Willie List'!B:B,1,FALSE) &lt;&gt; "",1,0),0)</f>
        <v>0</v>
      </c>
      <c r="D16" s="8"/>
      <c r="E16" t="s">
        <v>95</v>
      </c>
      <c r="F16" t="s">
        <v>159</v>
      </c>
      <c r="G16" t="s">
        <v>152</v>
      </c>
      <c r="H16" t="s">
        <v>153</v>
      </c>
      <c r="I16" t="s">
        <v>154</v>
      </c>
      <c r="J16" t="s">
        <v>155</v>
      </c>
      <c r="K16" s="8" t="str">
        <f t="shared" si="3"/>
        <v>DS3 v2</v>
      </c>
      <c r="L16" s="8">
        <f>VLOOKUP(K16,'Web-SKUS'!A:E,2,FALSE)</f>
        <v>4</v>
      </c>
      <c r="M16" s="8" t="str">
        <f>VLOOKUP(K16,'Web-SKUS'!A:E,4,FALSE)</f>
        <v>14</v>
      </c>
      <c r="N16" t="s">
        <v>189</v>
      </c>
      <c r="O16">
        <v>4</v>
      </c>
      <c r="P16" t="s">
        <v>157</v>
      </c>
      <c r="Q16" t="str">
        <f>IFERROR(VLOOKUP(B16,PercentCPU!B:F,4,FALSE),"")</f>
        <v/>
      </c>
      <c r="R16" t="str">
        <f>IFERROR(VLOOKUP(B16,MemoryAvailable!B:F,3,FALSE),"")</f>
        <v/>
      </c>
      <c r="S16" s="2" t="str">
        <f t="shared" si="4"/>
        <v/>
      </c>
      <c r="T16" t="str">
        <f t="shared" si="5"/>
        <v/>
      </c>
      <c r="U16" s="8">
        <f t="shared" si="6"/>
        <v>0</v>
      </c>
      <c r="V16" s="8" t="str">
        <f t="shared" si="7"/>
        <v/>
      </c>
      <c r="W16" s="8" t="str">
        <f>IFERROR(VLOOKUP(B16,Write_Bytes_ps!B:F,4,FALSE)/1024/1024,"")</f>
        <v/>
      </c>
      <c r="X16" s="8" t="str">
        <f>IFERROR(VLOOKUP(B16,Read_Bytes_ps!B:F,4,FALSE)/1024/1024,"")</f>
        <v/>
      </c>
      <c r="Y16" s="8" t="str">
        <f>IFERROR(VLOOKUP(B16,Writes_ps!B:F,5,FALSE),"")</f>
        <v/>
      </c>
      <c r="Z16" s="8" t="str">
        <f>IFERROR(VLOOKUP(B16,Reads_ps!B:F,5,FALSE),"")</f>
        <v/>
      </c>
      <c r="AA16" s="8">
        <f t="shared" si="8"/>
        <v>0</v>
      </c>
      <c r="AB16" s="122">
        <f t="shared" si="19"/>
        <v>0</v>
      </c>
      <c r="AC16" s="122" t="str">
        <f t="shared" si="9"/>
        <v>DS3 v2</v>
      </c>
      <c r="AE16" s="8" t="str">
        <f>IFERROR(VLOOKUP(AD16,'Web-SKUS'!A:E,2,FALSE),"")</f>
        <v/>
      </c>
      <c r="AF16" s="8">
        <f>_xlfn.NUMBERVALUE(IFERROR(VLOOKUP(AD16,'Web-SKUS'!A:E,4,FALSE),""))</f>
        <v>0</v>
      </c>
      <c r="AG16" s="8">
        <f>IFERROR(VLOOKUP(AD16,VM_Performance_Stats!A:G,7,FALSE),0)</f>
        <v>0</v>
      </c>
      <c r="AH16" s="8" t="str">
        <f>IFERROR(VLOOKUP(AD16,VM_Performance_Stats!A:I,8,FALSE),"")</f>
        <v/>
      </c>
      <c r="AI16" s="8">
        <f t="shared" si="10"/>
        <v>1</v>
      </c>
      <c r="AJ16" s="8">
        <f t="shared" si="11"/>
        <v>0</v>
      </c>
      <c r="AK16" s="8">
        <f>IFERROR(IF(VLOOKUP(AD16,VM_Performance_Stats!A:I,8,FALSE)&gt;AB16,1,0),0)</f>
        <v>0</v>
      </c>
      <c r="AL16" t="str">
        <f>IFERROR(VLOOKUP(AD16,'Web-SKUS'!A:G,7,FALSE),"")</f>
        <v/>
      </c>
      <c r="AM16" s="116" t="str">
        <f t="shared" si="1"/>
        <v/>
      </c>
      <c r="AN16" t="str">
        <f>IFERROR(IF(C16=1,VLOOKUP(K16,'Web-SKUS'!A:G,7,FALSE),VLOOKUP(K16,'Web-SKUS'!A:G,6,FALSE)),"")</f>
        <v>£147.9886/month</v>
      </c>
      <c r="AO16" s="116">
        <f t="shared" si="2"/>
        <v>147.98859999999999</v>
      </c>
      <c r="AP16" s="116">
        <f t="shared" si="12"/>
        <v>147.98859999999999</v>
      </c>
      <c r="AQ16" s="115">
        <f t="shared" si="13"/>
        <v>0</v>
      </c>
      <c r="AR16" s="115">
        <f t="shared" si="14"/>
        <v>0</v>
      </c>
      <c r="AS16" s="115" t="e">
        <f>VLOOKUP(B16,'Willie List'!B:M,12,FALSE)</f>
        <v>#N/A</v>
      </c>
      <c r="AT16" s="115" t="str">
        <f t="shared" si="15"/>
        <v>Standard_DS3_v2</v>
      </c>
      <c r="AU16" s="115" t="str">
        <f t="shared" si="16"/>
        <v>DS3 v2</v>
      </c>
      <c r="AV16">
        <f t="shared" si="17"/>
        <v>0</v>
      </c>
      <c r="AW16" s="8">
        <f t="shared" si="18"/>
        <v>0</v>
      </c>
    </row>
    <row r="17" spans="2:49">
      <c r="B17" t="s">
        <v>190</v>
      </c>
      <c r="C17" s="8">
        <f>IFERROR(IF(VLOOKUP(B17,'Willie List'!B:B,1,FALSE) &lt;&gt; "",1,0),0)</f>
        <v>0</v>
      </c>
      <c r="D17" s="8"/>
      <c r="E17" t="s">
        <v>191</v>
      </c>
      <c r="F17" t="s">
        <v>192</v>
      </c>
      <c r="G17" t="s">
        <v>152</v>
      </c>
      <c r="H17" t="s">
        <v>153</v>
      </c>
      <c r="I17" t="s">
        <v>154</v>
      </c>
      <c r="J17" t="s">
        <v>193</v>
      </c>
      <c r="K17" s="8" t="str">
        <f t="shared" si="3"/>
        <v>DS12 v2</v>
      </c>
      <c r="L17" s="8">
        <f>VLOOKUP(K17,'Web-SKUS'!A:E,2,FALSE)</f>
        <v>4</v>
      </c>
      <c r="M17" s="8" t="str">
        <f>VLOOKUP(K17,'Web-SKUS'!A:E,4,FALSE)</f>
        <v>28</v>
      </c>
      <c r="N17" t="s">
        <v>194</v>
      </c>
      <c r="O17">
        <v>3</v>
      </c>
      <c r="P17" t="s">
        <v>157</v>
      </c>
      <c r="Q17" t="str">
        <f>IFERROR(VLOOKUP(B17,PercentCPU!B:F,4,FALSE),"")</f>
        <v/>
      </c>
      <c r="R17" t="str">
        <f>IFERROR(VLOOKUP(B17,MemoryAvailable!B:F,3,FALSE),"")</f>
        <v/>
      </c>
      <c r="S17" s="2" t="str">
        <f t="shared" si="4"/>
        <v/>
      </c>
      <c r="T17" t="str">
        <f t="shared" si="5"/>
        <v/>
      </c>
      <c r="U17" s="8">
        <f t="shared" si="6"/>
        <v>0</v>
      </c>
      <c r="V17" s="8" t="str">
        <f t="shared" si="7"/>
        <v/>
      </c>
      <c r="W17" s="8" t="str">
        <f>IFERROR(VLOOKUP(B17,Write_Bytes_ps!B:F,4,FALSE)/1024/1024,"")</f>
        <v/>
      </c>
      <c r="X17" s="8" t="str">
        <f>IFERROR(VLOOKUP(B17,Read_Bytes_ps!B:F,4,FALSE)/1024/1024,"")</f>
        <v/>
      </c>
      <c r="Y17" s="8" t="str">
        <f>IFERROR(VLOOKUP(B17,Writes_ps!B:F,5,FALSE),"")</f>
        <v/>
      </c>
      <c r="Z17" s="8" t="str">
        <f>IFERROR(VLOOKUP(B17,Reads_ps!B:F,5,FALSE),"")</f>
        <v/>
      </c>
      <c r="AA17" s="8">
        <f t="shared" si="8"/>
        <v>0</v>
      </c>
      <c r="AB17" s="122">
        <f t="shared" si="19"/>
        <v>0</v>
      </c>
      <c r="AC17" s="122" t="str">
        <f t="shared" si="9"/>
        <v>DS12 v2</v>
      </c>
      <c r="AE17" s="8" t="str">
        <f>IFERROR(VLOOKUP(AD17,'Web-SKUS'!A:E,2,FALSE),"")</f>
        <v/>
      </c>
      <c r="AF17" s="8">
        <f>_xlfn.NUMBERVALUE(IFERROR(VLOOKUP(AD17,'Web-SKUS'!A:E,4,FALSE),""))</f>
        <v>0</v>
      </c>
      <c r="AG17" s="8">
        <f>IFERROR(VLOOKUP(AD17,VM_Performance_Stats!A:G,7,FALSE),0)</f>
        <v>0</v>
      </c>
      <c r="AH17" s="8" t="str">
        <f>IFERROR(VLOOKUP(AD17,VM_Performance_Stats!A:I,8,FALSE),"")</f>
        <v/>
      </c>
      <c r="AI17" s="8">
        <f t="shared" si="10"/>
        <v>1</v>
      </c>
      <c r="AJ17" s="8">
        <f t="shared" si="11"/>
        <v>0</v>
      </c>
      <c r="AK17" s="8">
        <f>IFERROR(IF(VLOOKUP(AD17,VM_Performance_Stats!A:I,8,FALSE)&gt;AB17,1,0),0)</f>
        <v>0</v>
      </c>
      <c r="AL17" t="str">
        <f>IFERROR(VLOOKUP(AD17,'Web-SKUS'!A:G,7,FALSE),"")</f>
        <v/>
      </c>
      <c r="AM17" s="116" t="str">
        <f t="shared" si="1"/>
        <v/>
      </c>
      <c r="AN17" t="str">
        <f>IFERROR(IF(C17=1,VLOOKUP(K17,'Web-SKUS'!A:G,7,FALSE),VLOOKUP(K17,'Web-SKUS'!A:G,6,FALSE)),"")</f>
        <v>£206.2047/month</v>
      </c>
      <c r="AO17" s="116">
        <f t="shared" si="2"/>
        <v>206.2047</v>
      </c>
      <c r="AP17" s="116">
        <f t="shared" si="12"/>
        <v>206.2047</v>
      </c>
      <c r="AQ17" s="115">
        <f t="shared" si="13"/>
        <v>0</v>
      </c>
      <c r="AR17" s="115">
        <f t="shared" si="14"/>
        <v>0</v>
      </c>
      <c r="AS17" s="115" t="e">
        <f>VLOOKUP(B17,'Willie List'!B:M,12,FALSE)</f>
        <v>#N/A</v>
      </c>
      <c r="AT17" s="115" t="str">
        <f t="shared" si="15"/>
        <v>Standard_DS12_v2</v>
      </c>
      <c r="AU17" s="115" t="str">
        <f t="shared" si="16"/>
        <v>DS12 v2</v>
      </c>
      <c r="AV17">
        <f t="shared" si="17"/>
        <v>0</v>
      </c>
      <c r="AW17" s="8">
        <f t="shared" si="18"/>
        <v>0</v>
      </c>
    </row>
    <row r="18" spans="2:49">
      <c r="B18" t="s">
        <v>195</v>
      </c>
      <c r="C18" s="8">
        <f>IFERROR(IF(VLOOKUP(B18,'Willie List'!B:B,1,FALSE) &lt;&gt; "",1,0),0)</f>
        <v>0</v>
      </c>
      <c r="D18" s="8"/>
      <c r="E18" t="s">
        <v>95</v>
      </c>
      <c r="F18" t="s">
        <v>159</v>
      </c>
      <c r="G18" t="s">
        <v>152</v>
      </c>
      <c r="H18" t="s">
        <v>153</v>
      </c>
      <c r="I18" t="s">
        <v>154</v>
      </c>
      <c r="J18" t="s">
        <v>155</v>
      </c>
      <c r="K18" s="8" t="str">
        <f t="shared" si="3"/>
        <v>DS3 v2</v>
      </c>
      <c r="L18" s="8">
        <f>VLOOKUP(K18,'Web-SKUS'!A:E,2,FALSE)</f>
        <v>4</v>
      </c>
      <c r="M18" s="8" t="str">
        <f>VLOOKUP(K18,'Web-SKUS'!A:E,4,FALSE)</f>
        <v>14</v>
      </c>
      <c r="N18" t="s">
        <v>196</v>
      </c>
      <c r="O18">
        <v>4</v>
      </c>
      <c r="P18" t="s">
        <v>157</v>
      </c>
      <c r="Q18" t="str">
        <f>IFERROR(VLOOKUP(B18,PercentCPU!B:F,4,FALSE),"")</f>
        <v/>
      </c>
      <c r="R18" t="str">
        <f>IFERROR(VLOOKUP(B18,MemoryAvailable!B:F,3,FALSE),"")</f>
        <v/>
      </c>
      <c r="S18" s="2" t="str">
        <f t="shared" si="4"/>
        <v/>
      </c>
      <c r="T18" t="str">
        <f t="shared" si="5"/>
        <v/>
      </c>
      <c r="U18" s="8">
        <f t="shared" si="6"/>
        <v>0</v>
      </c>
      <c r="V18" s="8" t="str">
        <f t="shared" si="7"/>
        <v/>
      </c>
      <c r="W18" s="8" t="str">
        <f>IFERROR(VLOOKUP(B18,Write_Bytes_ps!B:F,4,FALSE)/1024/1024,"")</f>
        <v/>
      </c>
      <c r="X18" s="8" t="str">
        <f>IFERROR(VLOOKUP(B18,Read_Bytes_ps!B:F,4,FALSE)/1024/1024,"")</f>
        <v/>
      </c>
      <c r="Y18" s="8" t="str">
        <f>IFERROR(VLOOKUP(B18,Writes_ps!B:F,5,FALSE),"")</f>
        <v/>
      </c>
      <c r="Z18" s="8" t="str">
        <f>IFERROR(VLOOKUP(B18,Reads_ps!B:F,5,FALSE),"")</f>
        <v/>
      </c>
      <c r="AA18" s="8">
        <f t="shared" si="8"/>
        <v>0</v>
      </c>
      <c r="AB18" s="122">
        <f t="shared" si="19"/>
        <v>0</v>
      </c>
      <c r="AC18" s="122" t="str">
        <f t="shared" si="9"/>
        <v>DS3 v2</v>
      </c>
      <c r="AE18" s="8" t="str">
        <f>IFERROR(VLOOKUP(AD18,'Web-SKUS'!A:E,2,FALSE),"")</f>
        <v/>
      </c>
      <c r="AF18" s="8">
        <f>_xlfn.NUMBERVALUE(IFERROR(VLOOKUP(AD18,'Web-SKUS'!A:E,4,FALSE),""))</f>
        <v>0</v>
      </c>
      <c r="AG18" s="8">
        <f>IFERROR(VLOOKUP(AD18,VM_Performance_Stats!A:G,7,FALSE),0)</f>
        <v>0</v>
      </c>
      <c r="AH18" s="8" t="str">
        <f>IFERROR(VLOOKUP(AD18,VM_Performance_Stats!A:I,8,FALSE),"")</f>
        <v/>
      </c>
      <c r="AI18" s="8">
        <f t="shared" si="10"/>
        <v>1</v>
      </c>
      <c r="AJ18" s="8">
        <f t="shared" si="11"/>
        <v>0</v>
      </c>
      <c r="AK18" s="8">
        <f>IFERROR(IF(VLOOKUP(AD18,VM_Performance_Stats!A:I,8,FALSE)&gt;AB18,1,0),0)</f>
        <v>0</v>
      </c>
      <c r="AL18" t="str">
        <f>IFERROR(VLOOKUP(AD18,'Web-SKUS'!A:G,7,FALSE),"")</f>
        <v/>
      </c>
      <c r="AM18" s="116" t="str">
        <f t="shared" si="1"/>
        <v/>
      </c>
      <c r="AN18" t="str">
        <f>IFERROR(IF(C18=1,VLOOKUP(K18,'Web-SKUS'!A:G,7,FALSE),VLOOKUP(K18,'Web-SKUS'!A:G,6,FALSE)),"")</f>
        <v>£147.9886/month</v>
      </c>
      <c r="AO18" s="116">
        <f t="shared" si="2"/>
        <v>147.98859999999999</v>
      </c>
      <c r="AP18" s="116">
        <f t="shared" si="12"/>
        <v>147.98859999999999</v>
      </c>
      <c r="AQ18" s="115">
        <f t="shared" si="13"/>
        <v>0</v>
      </c>
      <c r="AR18" s="115">
        <f t="shared" si="14"/>
        <v>0</v>
      </c>
      <c r="AS18" s="115" t="e">
        <f>VLOOKUP(B18,'Willie List'!B:M,12,FALSE)</f>
        <v>#N/A</v>
      </c>
      <c r="AT18" s="115" t="str">
        <f t="shared" si="15"/>
        <v>Standard_DS3_v2</v>
      </c>
      <c r="AU18" s="115" t="str">
        <f t="shared" si="16"/>
        <v>DS3 v2</v>
      </c>
      <c r="AV18">
        <f t="shared" si="17"/>
        <v>0</v>
      </c>
      <c r="AW18" s="8">
        <f t="shared" si="18"/>
        <v>0</v>
      </c>
    </row>
    <row r="19" spans="2:49">
      <c r="B19" t="s">
        <v>197</v>
      </c>
      <c r="C19" s="8">
        <f>IFERROR(IF(VLOOKUP(B19,'Willie List'!B:B,1,FALSE) &lt;&gt; "",1,0),0)</f>
        <v>0</v>
      </c>
      <c r="D19" s="8"/>
      <c r="E19" t="s">
        <v>95</v>
      </c>
      <c r="F19" t="s">
        <v>151</v>
      </c>
      <c r="G19" t="s">
        <v>152</v>
      </c>
      <c r="H19" t="s">
        <v>153</v>
      </c>
      <c r="I19" t="s">
        <v>154</v>
      </c>
      <c r="J19" t="s">
        <v>155</v>
      </c>
      <c r="K19" s="8" t="str">
        <f t="shared" si="3"/>
        <v>DS3 v2</v>
      </c>
      <c r="L19" s="8">
        <f>VLOOKUP(K19,'Web-SKUS'!A:E,2,FALSE)</f>
        <v>4</v>
      </c>
      <c r="M19" s="8" t="str">
        <f>VLOOKUP(K19,'Web-SKUS'!A:E,4,FALSE)</f>
        <v>14</v>
      </c>
      <c r="N19" t="s">
        <v>198</v>
      </c>
      <c r="O19">
        <v>3</v>
      </c>
      <c r="P19" t="s">
        <v>157</v>
      </c>
      <c r="Q19" t="str">
        <f>IFERROR(VLOOKUP(B19,PercentCPU!B:F,4,FALSE),"")</f>
        <v/>
      </c>
      <c r="R19" t="str">
        <f>IFERROR(VLOOKUP(B19,MemoryAvailable!B:F,3,FALSE),"")</f>
        <v/>
      </c>
      <c r="S19" s="2" t="str">
        <f t="shared" si="4"/>
        <v/>
      </c>
      <c r="T19" t="str">
        <f t="shared" si="5"/>
        <v/>
      </c>
      <c r="U19" s="8">
        <f t="shared" si="6"/>
        <v>0</v>
      </c>
      <c r="V19" s="8" t="str">
        <f t="shared" si="7"/>
        <v/>
      </c>
      <c r="W19" s="8" t="str">
        <f>IFERROR(VLOOKUP(B19,Write_Bytes_ps!B:F,4,FALSE)/1024/1024,"")</f>
        <v/>
      </c>
      <c r="X19" s="8" t="str">
        <f>IFERROR(VLOOKUP(B19,Read_Bytes_ps!B:F,4,FALSE)/1024/1024,"")</f>
        <v/>
      </c>
      <c r="Y19" s="8" t="str">
        <f>IFERROR(VLOOKUP(B19,Writes_ps!B:F,5,FALSE),"")</f>
        <v/>
      </c>
      <c r="Z19" s="8" t="str">
        <f>IFERROR(VLOOKUP(B19,Reads_ps!B:F,5,FALSE),"")</f>
        <v/>
      </c>
      <c r="AA19" s="8">
        <f t="shared" si="8"/>
        <v>0</v>
      </c>
      <c r="AB19" s="122">
        <f t="shared" si="19"/>
        <v>0</v>
      </c>
      <c r="AC19" s="122" t="str">
        <f t="shared" si="9"/>
        <v>DS3 v2</v>
      </c>
      <c r="AE19" s="8" t="str">
        <f>IFERROR(VLOOKUP(AD19,'Web-SKUS'!A:E,2,FALSE),"")</f>
        <v/>
      </c>
      <c r="AF19" s="8">
        <f>_xlfn.NUMBERVALUE(IFERROR(VLOOKUP(AD19,'Web-SKUS'!A:E,4,FALSE),""))</f>
        <v>0</v>
      </c>
      <c r="AG19" s="8">
        <f>IFERROR(VLOOKUP(AD19,VM_Performance_Stats!A:G,7,FALSE),0)</f>
        <v>0</v>
      </c>
      <c r="AH19" s="8" t="str">
        <f>IFERROR(VLOOKUP(AD19,VM_Performance_Stats!A:I,8,FALSE),"")</f>
        <v/>
      </c>
      <c r="AI19" s="8">
        <f t="shared" si="10"/>
        <v>1</v>
      </c>
      <c r="AJ19" s="8">
        <f t="shared" si="11"/>
        <v>0</v>
      </c>
      <c r="AK19" s="8">
        <f>IFERROR(IF(VLOOKUP(AD19,VM_Performance_Stats!A:I,8,FALSE)&gt;AB19,1,0),0)</f>
        <v>0</v>
      </c>
      <c r="AL19" t="str">
        <f>IFERROR(VLOOKUP(AD19,'Web-SKUS'!A:G,7,FALSE),"")</f>
        <v/>
      </c>
      <c r="AM19" s="116" t="str">
        <f t="shared" si="1"/>
        <v/>
      </c>
      <c r="AN19" t="str">
        <f>IFERROR(IF(C19=1,VLOOKUP(K19,'Web-SKUS'!A:G,7,FALSE),VLOOKUP(K19,'Web-SKUS'!A:G,6,FALSE)),"")</f>
        <v>£147.9886/month</v>
      </c>
      <c r="AO19" s="116">
        <f t="shared" si="2"/>
        <v>147.98859999999999</v>
      </c>
      <c r="AP19" s="116">
        <f t="shared" si="12"/>
        <v>147.98859999999999</v>
      </c>
      <c r="AQ19" s="115">
        <f t="shared" si="13"/>
        <v>0</v>
      </c>
      <c r="AR19" s="115">
        <f t="shared" si="14"/>
        <v>0</v>
      </c>
      <c r="AS19" s="115" t="e">
        <f>VLOOKUP(B19,'Willie List'!B:M,12,FALSE)</f>
        <v>#N/A</v>
      </c>
      <c r="AT19" s="115" t="str">
        <f t="shared" si="15"/>
        <v>Standard_DS3_v2</v>
      </c>
      <c r="AU19" s="115" t="str">
        <f t="shared" si="16"/>
        <v>DS3 v2</v>
      </c>
      <c r="AV19">
        <f t="shared" si="17"/>
        <v>0</v>
      </c>
      <c r="AW19" s="8">
        <f t="shared" si="18"/>
        <v>0</v>
      </c>
    </row>
    <row r="20" spans="2:49">
      <c r="B20" t="s">
        <v>199</v>
      </c>
      <c r="C20" s="8">
        <f>IFERROR(IF(VLOOKUP(B20,'Willie List'!B:B,1,FALSE) &lt;&gt; "",1,0),0)</f>
        <v>0</v>
      </c>
      <c r="D20" s="8"/>
      <c r="E20" t="s">
        <v>95</v>
      </c>
      <c r="F20" t="s">
        <v>159</v>
      </c>
      <c r="G20" t="s">
        <v>152</v>
      </c>
      <c r="H20" t="s">
        <v>153</v>
      </c>
      <c r="I20" t="s">
        <v>154</v>
      </c>
      <c r="J20" t="s">
        <v>155</v>
      </c>
      <c r="K20" s="8" t="str">
        <f t="shared" si="3"/>
        <v>DS3 v2</v>
      </c>
      <c r="L20" s="8">
        <f>VLOOKUP(K20,'Web-SKUS'!A:E,2,FALSE)</f>
        <v>4</v>
      </c>
      <c r="M20" s="8" t="str">
        <f>VLOOKUP(K20,'Web-SKUS'!A:E,4,FALSE)</f>
        <v>14</v>
      </c>
      <c r="N20" t="s">
        <v>200</v>
      </c>
      <c r="O20">
        <v>9</v>
      </c>
      <c r="P20" t="s">
        <v>157</v>
      </c>
      <c r="Q20" t="str">
        <f>IFERROR(VLOOKUP(B20,PercentCPU!B:F,4,FALSE),"")</f>
        <v/>
      </c>
      <c r="R20" t="str">
        <f>IFERROR(VLOOKUP(B20,MemoryAvailable!B:F,3,FALSE),"")</f>
        <v/>
      </c>
      <c r="S20" s="2" t="str">
        <f t="shared" si="4"/>
        <v/>
      </c>
      <c r="T20" t="str">
        <f t="shared" si="5"/>
        <v/>
      </c>
      <c r="U20" s="8">
        <f t="shared" si="6"/>
        <v>0</v>
      </c>
      <c r="V20" s="8" t="str">
        <f t="shared" si="7"/>
        <v/>
      </c>
      <c r="W20" s="8" t="str">
        <f>IFERROR(VLOOKUP(B20,Write_Bytes_ps!B:F,4,FALSE)/1024/1024,"")</f>
        <v/>
      </c>
      <c r="X20" s="8" t="str">
        <f>IFERROR(VLOOKUP(B20,Read_Bytes_ps!B:F,4,FALSE)/1024/1024,"")</f>
        <v/>
      </c>
      <c r="Y20" s="8" t="str">
        <f>IFERROR(VLOOKUP(B20,Writes_ps!B:F,5,FALSE),"")</f>
        <v/>
      </c>
      <c r="Z20" s="8" t="str">
        <f>IFERROR(VLOOKUP(B20,Reads_ps!B:F,5,FALSE),"")</f>
        <v/>
      </c>
      <c r="AA20" s="8">
        <f t="shared" si="8"/>
        <v>0</v>
      </c>
      <c r="AB20" s="122">
        <f t="shared" si="19"/>
        <v>0</v>
      </c>
      <c r="AC20" s="122" t="str">
        <f t="shared" si="9"/>
        <v>DS3 v2</v>
      </c>
      <c r="AE20" s="8" t="str">
        <f>IFERROR(VLOOKUP(AD20,'Web-SKUS'!A:E,2,FALSE),"")</f>
        <v/>
      </c>
      <c r="AF20" s="8">
        <f>_xlfn.NUMBERVALUE(IFERROR(VLOOKUP(AD20,'Web-SKUS'!A:E,4,FALSE),""))</f>
        <v>0</v>
      </c>
      <c r="AG20" s="8">
        <f>IFERROR(VLOOKUP(AD20,VM_Performance_Stats!A:G,7,FALSE),0)</f>
        <v>0</v>
      </c>
      <c r="AH20" s="8" t="str">
        <f>IFERROR(VLOOKUP(AD20,VM_Performance_Stats!A:I,8,FALSE),"")</f>
        <v/>
      </c>
      <c r="AI20" s="8">
        <f t="shared" si="10"/>
        <v>1</v>
      </c>
      <c r="AJ20" s="8">
        <f t="shared" si="11"/>
        <v>0</v>
      </c>
      <c r="AK20" s="8">
        <f>IFERROR(IF(VLOOKUP(AD20,VM_Performance_Stats!A:I,8,FALSE)&gt;AB20,1,0),0)</f>
        <v>0</v>
      </c>
      <c r="AL20" t="str">
        <f>IFERROR(VLOOKUP(AD20,'Web-SKUS'!A:G,7,FALSE),"")</f>
        <v/>
      </c>
      <c r="AM20" s="116" t="str">
        <f t="shared" si="1"/>
        <v/>
      </c>
      <c r="AN20" t="str">
        <f>IFERROR(IF(C20=1,VLOOKUP(K20,'Web-SKUS'!A:G,7,FALSE),VLOOKUP(K20,'Web-SKUS'!A:G,6,FALSE)),"")</f>
        <v>£147.9886/month</v>
      </c>
      <c r="AO20" s="116">
        <f t="shared" si="2"/>
        <v>147.98859999999999</v>
      </c>
      <c r="AP20" s="116">
        <f t="shared" si="12"/>
        <v>147.98859999999999</v>
      </c>
      <c r="AQ20" s="115">
        <f t="shared" si="13"/>
        <v>0</v>
      </c>
      <c r="AR20" s="115">
        <f t="shared" si="14"/>
        <v>0</v>
      </c>
      <c r="AS20" s="115" t="e">
        <f>VLOOKUP(B20,'Willie List'!B:M,12,FALSE)</f>
        <v>#N/A</v>
      </c>
      <c r="AT20" s="115" t="str">
        <f t="shared" si="15"/>
        <v>Standard_DS3_v2</v>
      </c>
      <c r="AU20" s="115" t="str">
        <f t="shared" si="16"/>
        <v>DS3 v2</v>
      </c>
      <c r="AV20">
        <f t="shared" si="17"/>
        <v>0</v>
      </c>
      <c r="AW20" s="8">
        <f t="shared" si="18"/>
        <v>0</v>
      </c>
    </row>
    <row r="21" spans="2:49">
      <c r="B21" s="1" t="s">
        <v>201</v>
      </c>
      <c r="C21" s="8">
        <f>IFERROR(IF(VLOOKUP(B21,'Willie List'!B:B,1,FALSE) &lt;&gt; "",1,0),0)</f>
        <v>0</v>
      </c>
      <c r="D21" s="8"/>
      <c r="E21" t="s">
        <v>99</v>
      </c>
      <c r="F21" t="s">
        <v>162</v>
      </c>
      <c r="G21" t="s">
        <v>152</v>
      </c>
      <c r="H21" t="s">
        <v>153</v>
      </c>
      <c r="I21" t="s">
        <v>154</v>
      </c>
      <c r="J21" t="s">
        <v>155</v>
      </c>
      <c r="K21" s="8" t="str">
        <f t="shared" si="3"/>
        <v>DS3 v2</v>
      </c>
      <c r="L21" s="8">
        <f>VLOOKUP(K21,'Web-SKUS'!A:E,2,FALSE)</f>
        <v>4</v>
      </c>
      <c r="M21" s="8" t="str">
        <f>VLOOKUP(K21,'Web-SKUS'!A:E,4,FALSE)</f>
        <v>14</v>
      </c>
      <c r="N21" t="s">
        <v>202</v>
      </c>
      <c r="O21">
        <v>4</v>
      </c>
      <c r="P21" t="s">
        <v>157</v>
      </c>
      <c r="Q21" t="str">
        <f>IFERROR(VLOOKUP(B21,PercentCPU!B:F,4,FALSE),"")</f>
        <v/>
      </c>
      <c r="R21" t="str">
        <f>IFERROR(VLOOKUP(B21,MemoryAvailable!B:F,3,FALSE),"")</f>
        <v/>
      </c>
      <c r="S21" s="2" t="str">
        <f t="shared" si="4"/>
        <v/>
      </c>
      <c r="T21" t="str">
        <f t="shared" si="5"/>
        <v/>
      </c>
      <c r="U21" s="8">
        <f t="shared" si="6"/>
        <v>0</v>
      </c>
      <c r="V21" s="8" t="str">
        <f t="shared" si="7"/>
        <v/>
      </c>
      <c r="W21" s="8" t="str">
        <f>IFERROR(VLOOKUP(B21,Write_Bytes_ps!B:F,4,FALSE)/1024/1024,"")</f>
        <v/>
      </c>
      <c r="X21" s="8" t="str">
        <f>IFERROR(VLOOKUP(B21,Read_Bytes_ps!B:F,4,FALSE)/1024/1024,"")</f>
        <v/>
      </c>
      <c r="Y21" s="8" t="str">
        <f>IFERROR(VLOOKUP(B21,Writes_ps!B:F,5,FALSE),"")</f>
        <v/>
      </c>
      <c r="Z21" s="8" t="str">
        <f>IFERROR(VLOOKUP(B21,Reads_ps!B:F,5,FALSE),"")</f>
        <v/>
      </c>
      <c r="AA21" s="8">
        <f t="shared" si="8"/>
        <v>0</v>
      </c>
      <c r="AB21" s="122">
        <f t="shared" si="19"/>
        <v>0</v>
      </c>
      <c r="AC21" s="122" t="str">
        <f t="shared" si="9"/>
        <v>DS3 v2</v>
      </c>
      <c r="AE21" s="8" t="str">
        <f>IFERROR(VLOOKUP(AD21,'Web-SKUS'!A:E,2,FALSE),"")</f>
        <v/>
      </c>
      <c r="AF21" s="8">
        <f>_xlfn.NUMBERVALUE(IFERROR(VLOOKUP(AD21,'Web-SKUS'!A:E,4,FALSE),""))</f>
        <v>0</v>
      </c>
      <c r="AG21" s="8">
        <f>IFERROR(VLOOKUP(AD21,VM_Performance_Stats!A:G,7,FALSE),0)</f>
        <v>0</v>
      </c>
      <c r="AH21" s="8" t="str">
        <f>IFERROR(VLOOKUP(AD21,VM_Performance_Stats!A:I,8,FALSE),"")</f>
        <v/>
      </c>
      <c r="AI21" s="8">
        <f t="shared" si="10"/>
        <v>1</v>
      </c>
      <c r="AJ21" s="8">
        <f t="shared" si="11"/>
        <v>0</v>
      </c>
      <c r="AK21" s="8">
        <f>IFERROR(IF(VLOOKUP(AD21,VM_Performance_Stats!A:I,8,FALSE)&gt;AB21,1,0),0)</f>
        <v>0</v>
      </c>
      <c r="AL21" t="str">
        <f>IFERROR(VLOOKUP(AD21,'Web-SKUS'!A:G,7,FALSE),"")</f>
        <v/>
      </c>
      <c r="AM21" s="116" t="str">
        <f t="shared" si="1"/>
        <v/>
      </c>
      <c r="AN21" t="str">
        <f>IFERROR(IF(C21=1,VLOOKUP(K21,'Web-SKUS'!A:G,7,FALSE),VLOOKUP(K21,'Web-SKUS'!A:G,6,FALSE)),"")</f>
        <v>£147.9886/month</v>
      </c>
      <c r="AO21" s="116">
        <f t="shared" si="2"/>
        <v>147.98859999999999</v>
      </c>
      <c r="AP21" s="116">
        <f t="shared" si="12"/>
        <v>147.98859999999999</v>
      </c>
      <c r="AQ21" s="115">
        <f t="shared" si="13"/>
        <v>0</v>
      </c>
      <c r="AR21" s="115">
        <f t="shared" si="14"/>
        <v>0</v>
      </c>
      <c r="AS21" s="115" t="e">
        <f>VLOOKUP(B21,'Willie List'!B:M,12,FALSE)</f>
        <v>#N/A</v>
      </c>
      <c r="AT21" s="115" t="str">
        <f t="shared" si="15"/>
        <v>Standard_DS3_v2</v>
      </c>
      <c r="AU21" s="115" t="str">
        <f t="shared" si="16"/>
        <v>DS3 v2</v>
      </c>
      <c r="AV21">
        <f t="shared" si="17"/>
        <v>0</v>
      </c>
      <c r="AW21" s="8">
        <f t="shared" si="18"/>
        <v>0</v>
      </c>
    </row>
    <row r="22" spans="2:49">
      <c r="B22" t="s">
        <v>203</v>
      </c>
      <c r="C22" s="8">
        <f>IFERROR(IF(VLOOKUP(B22,'Willie List'!B:B,1,FALSE) &lt;&gt; "",1,0),0)</f>
        <v>0</v>
      </c>
      <c r="D22" s="8"/>
      <c r="E22" t="s">
        <v>99</v>
      </c>
      <c r="F22" t="s">
        <v>162</v>
      </c>
      <c r="G22" t="s">
        <v>152</v>
      </c>
      <c r="H22" t="s">
        <v>153</v>
      </c>
      <c r="I22" t="s">
        <v>154</v>
      </c>
      <c r="J22" t="s">
        <v>51</v>
      </c>
      <c r="K22" s="8" t="str">
        <f t="shared" si="3"/>
        <v>D16as v4</v>
      </c>
      <c r="L22" s="8">
        <f>VLOOKUP(K22,'Web-SKUS'!A:E,2,FALSE)</f>
        <v>16</v>
      </c>
      <c r="M22" s="8" t="str">
        <f>VLOOKUP(K22,'Web-SKUS'!A:E,4,FALSE)</f>
        <v>64</v>
      </c>
      <c r="N22" t="s">
        <v>204</v>
      </c>
      <c r="O22">
        <v>3</v>
      </c>
      <c r="P22" t="s">
        <v>157</v>
      </c>
      <c r="Q22" t="str">
        <f>IFERROR(VLOOKUP(B22,PercentCPU!B:F,4,FALSE),"")</f>
        <v/>
      </c>
      <c r="R22" t="str">
        <f>IFERROR(VLOOKUP(B22,MemoryAvailable!B:F,3,FALSE),"")</f>
        <v/>
      </c>
      <c r="S22" s="2" t="str">
        <f t="shared" si="4"/>
        <v/>
      </c>
      <c r="T22" t="str">
        <f t="shared" si="5"/>
        <v/>
      </c>
      <c r="U22" s="8">
        <f t="shared" si="6"/>
        <v>0</v>
      </c>
      <c r="V22" s="8" t="str">
        <f t="shared" si="7"/>
        <v/>
      </c>
      <c r="W22" s="8" t="str">
        <f>IFERROR(VLOOKUP(B22,Write_Bytes_ps!B:F,4,FALSE)/1024/1024,"")</f>
        <v/>
      </c>
      <c r="X22" s="8" t="str">
        <f>IFERROR(VLOOKUP(B22,Read_Bytes_ps!B:F,4,FALSE)/1024/1024,"")</f>
        <v/>
      </c>
      <c r="Y22" s="8" t="str">
        <f>IFERROR(VLOOKUP(B22,Writes_ps!B:F,5,FALSE),"")</f>
        <v/>
      </c>
      <c r="Z22" s="8" t="str">
        <f>IFERROR(VLOOKUP(B22,Reads_ps!B:F,5,FALSE),"")</f>
        <v/>
      </c>
      <c r="AA22" s="8">
        <f t="shared" si="8"/>
        <v>0</v>
      </c>
      <c r="AB22" s="122">
        <f t="shared" si="19"/>
        <v>0</v>
      </c>
      <c r="AC22" s="122" t="str">
        <f t="shared" si="9"/>
        <v>D16as v4</v>
      </c>
      <c r="AE22" s="8" t="str">
        <f>IFERROR(VLOOKUP(AD22,'Web-SKUS'!A:E,2,FALSE),"")</f>
        <v/>
      </c>
      <c r="AF22" s="8">
        <f>_xlfn.NUMBERVALUE(IFERROR(VLOOKUP(AD22,'Web-SKUS'!A:E,4,FALSE),""))</f>
        <v>0</v>
      </c>
      <c r="AG22" s="8">
        <f>IFERROR(VLOOKUP(AD22,VM_Performance_Stats!A:G,7,FALSE),0)</f>
        <v>0</v>
      </c>
      <c r="AH22" s="8" t="str">
        <f>IFERROR(VLOOKUP(AD22,VM_Performance_Stats!A:I,8,FALSE),"")</f>
        <v/>
      </c>
      <c r="AI22" s="8">
        <f t="shared" si="10"/>
        <v>1</v>
      </c>
      <c r="AJ22" s="8">
        <f t="shared" si="11"/>
        <v>0</v>
      </c>
      <c r="AK22" s="8">
        <f>IFERROR(IF(VLOOKUP(AD22,VM_Performance_Stats!A:I,8,FALSE)&gt;AB22,1,0),0)</f>
        <v>0</v>
      </c>
      <c r="AL22" t="str">
        <f>IFERROR(VLOOKUP(AD22,'Web-SKUS'!A:G,7,FALSE),"")</f>
        <v/>
      </c>
      <c r="AM22" s="116" t="str">
        <f t="shared" si="1"/>
        <v/>
      </c>
      <c r="AN22" t="str">
        <f>IFERROR(IF(C22=1,VLOOKUP(K22,'Web-SKUS'!A:G,7,FALSE),VLOOKUP(K22,'Web-SKUS'!A:G,6,FALSE)),"")</f>
        <v>£500.5496/month</v>
      </c>
      <c r="AO22" s="116">
        <f t="shared" si="2"/>
        <v>500.5496</v>
      </c>
      <c r="AP22" s="116">
        <f t="shared" si="12"/>
        <v>500.5496</v>
      </c>
      <c r="AQ22" s="115">
        <f t="shared" si="13"/>
        <v>0</v>
      </c>
      <c r="AR22" s="115">
        <f t="shared" si="14"/>
        <v>0</v>
      </c>
      <c r="AS22" s="115" t="e">
        <f>VLOOKUP(B22,'Willie List'!B:M,12,FALSE)</f>
        <v>#N/A</v>
      </c>
      <c r="AT22" s="115" t="str">
        <f t="shared" si="15"/>
        <v>Standard_D16as_v4</v>
      </c>
      <c r="AU22" s="115" t="str">
        <f t="shared" si="16"/>
        <v>D16as v4</v>
      </c>
      <c r="AV22">
        <f t="shared" si="17"/>
        <v>0</v>
      </c>
      <c r="AW22" s="8">
        <f t="shared" si="18"/>
        <v>0</v>
      </c>
    </row>
    <row r="23" spans="2:49">
      <c r="B23" t="s">
        <v>205</v>
      </c>
      <c r="C23" s="8">
        <f>IFERROR(IF(VLOOKUP(B23,'Willie List'!B:B,1,FALSE) &lt;&gt; "",1,0),0)</f>
        <v>0</v>
      </c>
      <c r="D23" s="8"/>
      <c r="E23" t="s">
        <v>99</v>
      </c>
      <c r="F23" t="s">
        <v>162</v>
      </c>
      <c r="G23" t="s">
        <v>152</v>
      </c>
      <c r="H23" t="s">
        <v>153</v>
      </c>
      <c r="I23" t="s">
        <v>154</v>
      </c>
      <c r="J23" t="s">
        <v>50</v>
      </c>
      <c r="K23" s="8" t="str">
        <f t="shared" si="3"/>
        <v>D8as v4</v>
      </c>
      <c r="L23" s="8">
        <f>VLOOKUP(K23,'Web-SKUS'!A:E,2,FALSE)</f>
        <v>8</v>
      </c>
      <c r="M23" s="8" t="str">
        <f>VLOOKUP(K23,'Web-SKUS'!A:E,4,FALSE)</f>
        <v>32</v>
      </c>
      <c r="N23" t="s">
        <v>206</v>
      </c>
      <c r="O23">
        <v>3</v>
      </c>
      <c r="P23" t="s">
        <v>157</v>
      </c>
      <c r="Q23" t="str">
        <f>IFERROR(VLOOKUP(B23,PercentCPU!B:F,4,FALSE),"")</f>
        <v/>
      </c>
      <c r="R23" t="str">
        <f>IFERROR(VLOOKUP(B23,MemoryAvailable!B:F,3,FALSE),"")</f>
        <v/>
      </c>
      <c r="S23" s="2" t="str">
        <f t="shared" si="4"/>
        <v/>
      </c>
      <c r="T23" t="str">
        <f t="shared" si="5"/>
        <v/>
      </c>
      <c r="U23" s="8">
        <f t="shared" si="6"/>
        <v>0</v>
      </c>
      <c r="V23" s="8" t="str">
        <f t="shared" si="7"/>
        <v/>
      </c>
      <c r="W23" s="8" t="str">
        <f>IFERROR(VLOOKUP(B23,Write_Bytes_ps!B:F,4,FALSE)/1024/1024,"")</f>
        <v/>
      </c>
      <c r="X23" s="8" t="str">
        <f>IFERROR(VLOOKUP(B23,Read_Bytes_ps!B:F,4,FALSE)/1024/1024,"")</f>
        <v/>
      </c>
      <c r="Y23" s="8" t="str">
        <f>IFERROR(VLOOKUP(B23,Writes_ps!B:F,5,FALSE),"")</f>
        <v/>
      </c>
      <c r="Z23" s="8" t="str">
        <f>IFERROR(VLOOKUP(B23,Reads_ps!B:F,5,FALSE),"")</f>
        <v/>
      </c>
      <c r="AA23" s="8">
        <f t="shared" si="8"/>
        <v>0</v>
      </c>
      <c r="AB23" s="122">
        <f t="shared" si="19"/>
        <v>0</v>
      </c>
      <c r="AC23" s="122" t="str">
        <f t="shared" si="9"/>
        <v>D8as v4</v>
      </c>
      <c r="AE23" s="8" t="str">
        <f>IFERROR(VLOOKUP(AD23,'Web-SKUS'!A:E,2,FALSE),"")</f>
        <v/>
      </c>
      <c r="AF23" s="8">
        <f>_xlfn.NUMBERVALUE(IFERROR(VLOOKUP(AD23,'Web-SKUS'!A:E,4,FALSE),""))</f>
        <v>0</v>
      </c>
      <c r="AG23" s="8">
        <f>IFERROR(VLOOKUP(AD23,VM_Performance_Stats!A:G,7,FALSE),0)</f>
        <v>0</v>
      </c>
      <c r="AH23" s="8" t="str">
        <f>IFERROR(VLOOKUP(AD23,VM_Performance_Stats!A:I,8,FALSE),"")</f>
        <v/>
      </c>
      <c r="AI23" s="8">
        <f t="shared" si="10"/>
        <v>1</v>
      </c>
      <c r="AJ23" s="8">
        <f t="shared" si="11"/>
        <v>0</v>
      </c>
      <c r="AK23" s="8">
        <f>IFERROR(IF(VLOOKUP(AD23,VM_Performance_Stats!A:I,8,FALSE)&gt;AB23,1,0),0)</f>
        <v>0</v>
      </c>
      <c r="AL23" t="str">
        <f>IFERROR(VLOOKUP(AD23,'Web-SKUS'!A:G,7,FALSE),"")</f>
        <v/>
      </c>
      <c r="AM23" s="116" t="str">
        <f t="shared" si="1"/>
        <v/>
      </c>
      <c r="AN23" t="str">
        <f>IFERROR(IF(C23=1,VLOOKUP(K23,'Web-SKUS'!A:G,7,FALSE),VLOOKUP(K23,'Web-SKUS'!A:G,6,FALSE)),"")</f>
        <v>£250.2748/month</v>
      </c>
      <c r="AO23" s="116">
        <f t="shared" si="2"/>
        <v>250.2748</v>
      </c>
      <c r="AP23" s="116">
        <f t="shared" si="12"/>
        <v>250.2748</v>
      </c>
      <c r="AQ23" s="115">
        <f t="shared" si="13"/>
        <v>0</v>
      </c>
      <c r="AR23" s="115">
        <f t="shared" si="14"/>
        <v>0</v>
      </c>
      <c r="AS23" s="115" t="e">
        <f>VLOOKUP(B23,'Willie List'!B:M,12,FALSE)</f>
        <v>#N/A</v>
      </c>
      <c r="AT23" s="115" t="str">
        <f t="shared" si="15"/>
        <v>Standard_D8as_v4</v>
      </c>
      <c r="AU23" s="115" t="str">
        <f t="shared" si="16"/>
        <v>D8as v4</v>
      </c>
      <c r="AV23">
        <f t="shared" si="17"/>
        <v>0</v>
      </c>
      <c r="AW23" s="8">
        <f t="shared" si="18"/>
        <v>0</v>
      </c>
    </row>
    <row r="24" spans="2:49">
      <c r="B24" t="s">
        <v>207</v>
      </c>
      <c r="C24" s="8">
        <f>IFERROR(IF(VLOOKUP(B24,'Willie List'!B:B,1,FALSE) &lt;&gt; "",1,0),0)</f>
        <v>0</v>
      </c>
      <c r="D24" s="8"/>
      <c r="E24" t="s">
        <v>95</v>
      </c>
      <c r="F24" t="s">
        <v>151</v>
      </c>
      <c r="G24" t="s">
        <v>152</v>
      </c>
      <c r="H24" t="s">
        <v>153</v>
      </c>
      <c r="I24" t="s">
        <v>154</v>
      </c>
      <c r="J24" t="s">
        <v>155</v>
      </c>
      <c r="K24" s="8" t="str">
        <f t="shared" si="3"/>
        <v>DS3 v2</v>
      </c>
      <c r="L24" s="8">
        <f>VLOOKUP(K24,'Web-SKUS'!A:E,2,FALSE)</f>
        <v>4</v>
      </c>
      <c r="M24" s="8" t="str">
        <f>VLOOKUP(K24,'Web-SKUS'!A:E,4,FALSE)</f>
        <v>14</v>
      </c>
      <c r="N24" t="s">
        <v>208</v>
      </c>
      <c r="O24">
        <v>4</v>
      </c>
      <c r="P24" t="s">
        <v>157</v>
      </c>
      <c r="Q24" t="str">
        <f>IFERROR(VLOOKUP(B24,PercentCPU!B:F,4,FALSE),"")</f>
        <v/>
      </c>
      <c r="R24" t="str">
        <f>IFERROR(VLOOKUP(B24,MemoryAvailable!B:F,3,FALSE),"")</f>
        <v/>
      </c>
      <c r="S24" s="2" t="str">
        <f t="shared" si="4"/>
        <v/>
      </c>
      <c r="T24" t="str">
        <f t="shared" si="5"/>
        <v/>
      </c>
      <c r="U24" s="8">
        <f t="shared" si="6"/>
        <v>0</v>
      </c>
      <c r="V24" s="8" t="str">
        <f t="shared" si="7"/>
        <v/>
      </c>
      <c r="W24" s="8" t="str">
        <f>IFERROR(VLOOKUP(B24,Write_Bytes_ps!B:F,4,FALSE)/1024/1024,"")</f>
        <v/>
      </c>
      <c r="X24" s="8" t="str">
        <f>IFERROR(VLOOKUP(B24,Read_Bytes_ps!B:F,4,FALSE)/1024/1024,"")</f>
        <v/>
      </c>
      <c r="Y24" s="8" t="str">
        <f>IFERROR(VLOOKUP(B24,Writes_ps!B:F,5,FALSE),"")</f>
        <v/>
      </c>
      <c r="Z24" s="8" t="str">
        <f>IFERROR(VLOOKUP(B24,Reads_ps!B:F,5,FALSE),"")</f>
        <v/>
      </c>
      <c r="AA24" s="8">
        <f t="shared" si="8"/>
        <v>0</v>
      </c>
      <c r="AB24" s="122">
        <f t="shared" si="19"/>
        <v>0</v>
      </c>
      <c r="AC24" s="122" t="str">
        <f t="shared" si="9"/>
        <v>DS3 v2</v>
      </c>
      <c r="AE24" s="8" t="str">
        <f>IFERROR(VLOOKUP(AD24,'Web-SKUS'!A:E,2,FALSE),"")</f>
        <v/>
      </c>
      <c r="AF24" s="8">
        <f>_xlfn.NUMBERVALUE(IFERROR(VLOOKUP(AD24,'Web-SKUS'!A:E,4,FALSE),""))</f>
        <v>0</v>
      </c>
      <c r="AG24" s="8">
        <f>IFERROR(VLOOKUP(AD24,VM_Performance_Stats!A:G,7,FALSE),0)</f>
        <v>0</v>
      </c>
      <c r="AH24" s="8" t="str">
        <f>IFERROR(VLOOKUP(AD24,VM_Performance_Stats!A:I,8,FALSE),"")</f>
        <v/>
      </c>
      <c r="AI24" s="8">
        <f t="shared" si="10"/>
        <v>1</v>
      </c>
      <c r="AJ24" s="8">
        <f t="shared" si="11"/>
        <v>0</v>
      </c>
      <c r="AK24" s="8">
        <f>IFERROR(IF(VLOOKUP(AD24,VM_Performance_Stats!A:I,8,FALSE)&gt;AB24,1,0),0)</f>
        <v>0</v>
      </c>
      <c r="AL24" t="str">
        <f>IFERROR(VLOOKUP(AD24,'Web-SKUS'!A:G,7,FALSE),"")</f>
        <v/>
      </c>
      <c r="AM24" s="116" t="str">
        <f t="shared" si="1"/>
        <v/>
      </c>
      <c r="AN24" t="str">
        <f>IFERROR(IF(C24=1,VLOOKUP(K24,'Web-SKUS'!A:G,7,FALSE),VLOOKUP(K24,'Web-SKUS'!A:G,6,FALSE)),"")</f>
        <v>£147.9886/month</v>
      </c>
      <c r="AO24" s="116">
        <f t="shared" si="2"/>
        <v>147.98859999999999</v>
      </c>
      <c r="AP24" s="116">
        <f t="shared" si="12"/>
        <v>147.98859999999999</v>
      </c>
      <c r="AQ24" s="115">
        <f t="shared" si="13"/>
        <v>0</v>
      </c>
      <c r="AR24" s="115">
        <f t="shared" si="14"/>
        <v>0</v>
      </c>
      <c r="AS24" s="115" t="e">
        <f>VLOOKUP(B24,'Willie List'!B:M,12,FALSE)</f>
        <v>#N/A</v>
      </c>
      <c r="AT24" s="115" t="str">
        <f t="shared" si="15"/>
        <v>Standard_DS3_v2</v>
      </c>
      <c r="AU24" s="115" t="str">
        <f t="shared" si="16"/>
        <v>DS3 v2</v>
      </c>
      <c r="AV24">
        <f t="shared" si="17"/>
        <v>0</v>
      </c>
      <c r="AW24" s="8">
        <f t="shared" si="18"/>
        <v>0</v>
      </c>
    </row>
    <row r="25" spans="2:49">
      <c r="B25" t="s">
        <v>209</v>
      </c>
      <c r="C25" s="8">
        <f>IFERROR(IF(VLOOKUP(B25,'Willie List'!B:B,1,FALSE) &lt;&gt; "",1,0),0)</f>
        <v>0</v>
      </c>
      <c r="D25" s="8"/>
      <c r="E25" t="s">
        <v>95</v>
      </c>
      <c r="F25" t="s">
        <v>151</v>
      </c>
      <c r="G25" t="s">
        <v>152</v>
      </c>
      <c r="H25" t="s">
        <v>153</v>
      </c>
      <c r="I25" t="s">
        <v>154</v>
      </c>
      <c r="J25" t="s">
        <v>155</v>
      </c>
      <c r="K25" s="8" t="str">
        <f t="shared" si="3"/>
        <v>DS3 v2</v>
      </c>
      <c r="L25" s="8">
        <f>VLOOKUP(K25,'Web-SKUS'!A:E,2,FALSE)</f>
        <v>4</v>
      </c>
      <c r="M25" s="8" t="str">
        <f>VLOOKUP(K25,'Web-SKUS'!A:E,4,FALSE)</f>
        <v>14</v>
      </c>
      <c r="N25" t="s">
        <v>210</v>
      </c>
      <c r="O25">
        <v>3</v>
      </c>
      <c r="P25" t="s">
        <v>157</v>
      </c>
      <c r="Q25" t="str">
        <f>IFERROR(VLOOKUP(B25,PercentCPU!B:F,4,FALSE),"")</f>
        <v/>
      </c>
      <c r="R25" t="str">
        <f>IFERROR(VLOOKUP(B25,MemoryAvailable!B:F,3,FALSE),"")</f>
        <v/>
      </c>
      <c r="S25" s="2" t="str">
        <f t="shared" si="4"/>
        <v/>
      </c>
      <c r="T25" t="str">
        <f t="shared" si="5"/>
        <v/>
      </c>
      <c r="U25" s="8">
        <f t="shared" si="6"/>
        <v>0</v>
      </c>
      <c r="V25" s="8" t="str">
        <f t="shared" si="7"/>
        <v/>
      </c>
      <c r="W25" s="8" t="str">
        <f>IFERROR(VLOOKUP(B25,Write_Bytes_ps!B:F,4,FALSE)/1024/1024,"")</f>
        <v/>
      </c>
      <c r="X25" s="8" t="str">
        <f>IFERROR(VLOOKUP(B25,Read_Bytes_ps!B:F,4,FALSE)/1024/1024,"")</f>
        <v/>
      </c>
      <c r="Y25" s="8" t="str">
        <f>IFERROR(VLOOKUP(B25,Writes_ps!B:F,5,FALSE),"")</f>
        <v/>
      </c>
      <c r="Z25" s="8" t="str">
        <f>IFERROR(VLOOKUP(B25,Reads_ps!B:F,5,FALSE),"")</f>
        <v/>
      </c>
      <c r="AA25" s="8">
        <f t="shared" si="8"/>
        <v>0</v>
      </c>
      <c r="AB25" s="122">
        <f t="shared" si="19"/>
        <v>0</v>
      </c>
      <c r="AC25" s="122" t="str">
        <f t="shared" si="9"/>
        <v>DS3 v2</v>
      </c>
      <c r="AE25" s="8" t="str">
        <f>IFERROR(VLOOKUP(AD25,'Web-SKUS'!A:E,2,FALSE),"")</f>
        <v/>
      </c>
      <c r="AF25" s="8">
        <f>_xlfn.NUMBERVALUE(IFERROR(VLOOKUP(AD25,'Web-SKUS'!A:E,4,FALSE),""))</f>
        <v>0</v>
      </c>
      <c r="AG25" s="8">
        <f>IFERROR(VLOOKUP(AD25,VM_Performance_Stats!A:G,7,FALSE),0)</f>
        <v>0</v>
      </c>
      <c r="AH25" s="8" t="str">
        <f>IFERROR(VLOOKUP(AD25,VM_Performance_Stats!A:I,8,FALSE),"")</f>
        <v/>
      </c>
      <c r="AI25" s="8">
        <f t="shared" si="10"/>
        <v>1</v>
      </c>
      <c r="AJ25" s="8">
        <f t="shared" si="11"/>
        <v>0</v>
      </c>
      <c r="AK25" s="8">
        <f>IFERROR(IF(VLOOKUP(AD25,VM_Performance_Stats!A:I,8,FALSE)&gt;AB25,1,0),0)</f>
        <v>0</v>
      </c>
      <c r="AL25" t="str">
        <f>IFERROR(VLOOKUP(AD25,'Web-SKUS'!A:G,7,FALSE),"")</f>
        <v/>
      </c>
      <c r="AM25" s="116" t="str">
        <f t="shared" si="1"/>
        <v/>
      </c>
      <c r="AN25" t="str">
        <f>IFERROR(IF(C25=1,VLOOKUP(K25,'Web-SKUS'!A:G,7,FALSE),VLOOKUP(K25,'Web-SKUS'!A:G,6,FALSE)),"")</f>
        <v>£147.9886/month</v>
      </c>
      <c r="AO25" s="116">
        <f t="shared" si="2"/>
        <v>147.98859999999999</v>
      </c>
      <c r="AP25" s="116">
        <f t="shared" si="12"/>
        <v>147.98859999999999</v>
      </c>
      <c r="AQ25" s="115">
        <f t="shared" si="13"/>
        <v>0</v>
      </c>
      <c r="AR25" s="115">
        <f t="shared" si="14"/>
        <v>0</v>
      </c>
      <c r="AS25" s="115" t="e">
        <f>VLOOKUP(B25,'Willie List'!B:M,12,FALSE)</f>
        <v>#N/A</v>
      </c>
      <c r="AT25" s="115" t="str">
        <f t="shared" si="15"/>
        <v>Standard_DS3_v2</v>
      </c>
      <c r="AU25" s="115" t="str">
        <f t="shared" si="16"/>
        <v>DS3 v2</v>
      </c>
      <c r="AV25">
        <f t="shared" si="17"/>
        <v>0</v>
      </c>
      <c r="AW25" s="8">
        <f t="shared" si="18"/>
        <v>0</v>
      </c>
    </row>
    <row r="26" spans="2:49">
      <c r="B26" t="s">
        <v>211</v>
      </c>
      <c r="C26" s="8">
        <f>IFERROR(IF(VLOOKUP(B26,'Willie List'!B:B,1,FALSE) &lt;&gt; "",1,0),0)</f>
        <v>0</v>
      </c>
      <c r="D26" s="8"/>
      <c r="E26" t="s">
        <v>95</v>
      </c>
      <c r="F26" t="s">
        <v>151</v>
      </c>
      <c r="G26" t="s">
        <v>152</v>
      </c>
      <c r="H26" t="s">
        <v>153</v>
      </c>
      <c r="I26" t="s">
        <v>154</v>
      </c>
      <c r="J26" t="s">
        <v>155</v>
      </c>
      <c r="K26" s="8" t="str">
        <f t="shared" si="3"/>
        <v>DS3 v2</v>
      </c>
      <c r="L26" s="8">
        <f>VLOOKUP(K26,'Web-SKUS'!A:E,2,FALSE)</f>
        <v>4</v>
      </c>
      <c r="M26" s="8" t="str">
        <f>VLOOKUP(K26,'Web-SKUS'!A:E,4,FALSE)</f>
        <v>14</v>
      </c>
      <c r="N26" t="s">
        <v>212</v>
      </c>
      <c r="O26">
        <v>3</v>
      </c>
      <c r="P26" t="s">
        <v>157</v>
      </c>
      <c r="Q26" t="str">
        <f>IFERROR(VLOOKUP(B26,PercentCPU!B:F,4,FALSE),"")</f>
        <v/>
      </c>
      <c r="R26" t="str">
        <f>IFERROR(VLOOKUP(B26,MemoryAvailable!B:F,3,FALSE),"")</f>
        <v/>
      </c>
      <c r="S26" s="2" t="str">
        <f t="shared" si="4"/>
        <v/>
      </c>
      <c r="T26" t="str">
        <f t="shared" si="5"/>
        <v/>
      </c>
      <c r="U26" s="8">
        <f t="shared" si="6"/>
        <v>0</v>
      </c>
      <c r="V26" s="8" t="str">
        <f t="shared" si="7"/>
        <v/>
      </c>
      <c r="W26" s="8" t="str">
        <f>IFERROR(VLOOKUP(B26,Write_Bytes_ps!B:F,4,FALSE)/1024/1024,"")</f>
        <v/>
      </c>
      <c r="X26" s="8" t="str">
        <f>IFERROR(VLOOKUP(B26,Read_Bytes_ps!B:F,4,FALSE)/1024/1024,"")</f>
        <v/>
      </c>
      <c r="Y26" s="8" t="str">
        <f>IFERROR(VLOOKUP(B26,Writes_ps!B:F,5,FALSE),"")</f>
        <v/>
      </c>
      <c r="Z26" s="8" t="str">
        <f>IFERROR(VLOOKUP(B26,Reads_ps!B:F,5,FALSE),"")</f>
        <v/>
      </c>
      <c r="AA26" s="8">
        <f t="shared" si="8"/>
        <v>0</v>
      </c>
      <c r="AB26" s="122">
        <f t="shared" si="19"/>
        <v>0</v>
      </c>
      <c r="AC26" s="122" t="str">
        <f t="shared" si="9"/>
        <v>DS3 v2</v>
      </c>
      <c r="AE26" s="8" t="str">
        <f>IFERROR(VLOOKUP(AD26,'Web-SKUS'!A:E,2,FALSE),"")</f>
        <v/>
      </c>
      <c r="AF26" s="8">
        <f>_xlfn.NUMBERVALUE(IFERROR(VLOOKUP(AD26,'Web-SKUS'!A:E,4,FALSE),""))</f>
        <v>0</v>
      </c>
      <c r="AG26" s="8">
        <f>IFERROR(VLOOKUP(AD26,VM_Performance_Stats!A:G,7,FALSE),0)</f>
        <v>0</v>
      </c>
      <c r="AH26" s="8" t="str">
        <f>IFERROR(VLOOKUP(AD26,VM_Performance_Stats!A:I,8,FALSE),"")</f>
        <v/>
      </c>
      <c r="AI26" s="8">
        <f t="shared" si="10"/>
        <v>1</v>
      </c>
      <c r="AJ26" s="8">
        <f t="shared" si="11"/>
        <v>0</v>
      </c>
      <c r="AK26" s="8">
        <f>IFERROR(IF(VLOOKUP(AD26,VM_Performance_Stats!A:I,8,FALSE)&gt;AB26,1,0),0)</f>
        <v>0</v>
      </c>
      <c r="AL26" t="str">
        <f>IFERROR(VLOOKUP(AD26,'Web-SKUS'!A:G,7,FALSE),"")</f>
        <v/>
      </c>
      <c r="AM26" s="116" t="str">
        <f t="shared" si="1"/>
        <v/>
      </c>
      <c r="AN26" t="str">
        <f>IFERROR(IF(C26=1,VLOOKUP(K26,'Web-SKUS'!A:G,7,FALSE),VLOOKUP(K26,'Web-SKUS'!A:G,6,FALSE)),"")</f>
        <v>£147.9886/month</v>
      </c>
      <c r="AO26" s="116">
        <f t="shared" si="2"/>
        <v>147.98859999999999</v>
      </c>
      <c r="AP26" s="116">
        <f t="shared" si="12"/>
        <v>147.98859999999999</v>
      </c>
      <c r="AQ26" s="115">
        <f t="shared" si="13"/>
        <v>0</v>
      </c>
      <c r="AR26" s="115">
        <f t="shared" si="14"/>
        <v>0</v>
      </c>
      <c r="AS26" s="115" t="e">
        <f>VLOOKUP(B26,'Willie List'!B:M,12,FALSE)</f>
        <v>#N/A</v>
      </c>
      <c r="AT26" s="115" t="str">
        <f t="shared" si="15"/>
        <v>Standard_DS3_v2</v>
      </c>
      <c r="AU26" s="115" t="str">
        <f t="shared" si="16"/>
        <v>DS3 v2</v>
      </c>
      <c r="AV26">
        <f t="shared" si="17"/>
        <v>0</v>
      </c>
      <c r="AW26" s="8">
        <f t="shared" si="18"/>
        <v>0</v>
      </c>
    </row>
    <row r="27" spans="2:49">
      <c r="B27" t="s">
        <v>213</v>
      </c>
      <c r="C27" s="8">
        <f>IFERROR(IF(VLOOKUP(B27,'Willie List'!B:B,1,FALSE) &lt;&gt; "",1,0),0)</f>
        <v>0</v>
      </c>
      <c r="D27" s="8"/>
      <c r="E27" t="s">
        <v>95</v>
      </c>
      <c r="F27" t="s">
        <v>159</v>
      </c>
      <c r="G27" t="s">
        <v>152</v>
      </c>
      <c r="H27" t="s">
        <v>153</v>
      </c>
      <c r="I27" t="s">
        <v>154</v>
      </c>
      <c r="J27" t="s">
        <v>155</v>
      </c>
      <c r="K27" s="8" t="str">
        <f t="shared" si="3"/>
        <v>DS3 v2</v>
      </c>
      <c r="L27" s="8">
        <f>VLOOKUP(K27,'Web-SKUS'!A:E,2,FALSE)</f>
        <v>4</v>
      </c>
      <c r="M27" s="8" t="str">
        <f>VLOOKUP(K27,'Web-SKUS'!A:E,4,FALSE)</f>
        <v>14</v>
      </c>
      <c r="N27" t="s">
        <v>214</v>
      </c>
      <c r="O27">
        <v>9</v>
      </c>
      <c r="P27" t="s">
        <v>157</v>
      </c>
      <c r="Q27" t="str">
        <f>IFERROR(VLOOKUP(B27,PercentCPU!B:F,4,FALSE),"")</f>
        <v/>
      </c>
      <c r="R27" t="str">
        <f>IFERROR(VLOOKUP(B27,MemoryAvailable!B:F,3,FALSE),"")</f>
        <v/>
      </c>
      <c r="S27" s="2" t="str">
        <f t="shared" si="4"/>
        <v/>
      </c>
      <c r="T27" t="str">
        <f t="shared" si="5"/>
        <v/>
      </c>
      <c r="U27" s="8">
        <f t="shared" si="6"/>
        <v>0</v>
      </c>
      <c r="V27" s="8" t="str">
        <f t="shared" si="7"/>
        <v/>
      </c>
      <c r="W27" s="8" t="str">
        <f>IFERROR(VLOOKUP(B27,Write_Bytes_ps!B:F,4,FALSE)/1024/1024,"")</f>
        <v/>
      </c>
      <c r="X27" s="8" t="str">
        <f>IFERROR(VLOOKUP(B27,Read_Bytes_ps!B:F,4,FALSE)/1024/1024,"")</f>
        <v/>
      </c>
      <c r="Y27" s="8" t="str">
        <f>IFERROR(VLOOKUP(B27,Writes_ps!B:F,5,FALSE),"")</f>
        <v/>
      </c>
      <c r="Z27" s="8" t="str">
        <f>IFERROR(VLOOKUP(B27,Reads_ps!B:F,5,FALSE),"")</f>
        <v/>
      </c>
      <c r="AA27" s="8">
        <f t="shared" si="8"/>
        <v>0</v>
      </c>
      <c r="AB27" s="122">
        <f t="shared" si="19"/>
        <v>0</v>
      </c>
      <c r="AC27" s="122" t="str">
        <f t="shared" si="9"/>
        <v>DS3 v2</v>
      </c>
      <c r="AE27" s="8" t="str">
        <f>IFERROR(VLOOKUP(AD27,'Web-SKUS'!A:E,2,FALSE),"")</f>
        <v/>
      </c>
      <c r="AF27" s="8">
        <f>_xlfn.NUMBERVALUE(IFERROR(VLOOKUP(AD27,'Web-SKUS'!A:E,4,FALSE),""))</f>
        <v>0</v>
      </c>
      <c r="AG27" s="8">
        <f>IFERROR(VLOOKUP(AD27,VM_Performance_Stats!A:G,7,FALSE),0)</f>
        <v>0</v>
      </c>
      <c r="AH27" s="8" t="str">
        <f>IFERROR(VLOOKUP(AD27,VM_Performance_Stats!A:I,8,FALSE),"")</f>
        <v/>
      </c>
      <c r="AI27" s="8">
        <f t="shared" si="10"/>
        <v>1</v>
      </c>
      <c r="AJ27" s="8">
        <f t="shared" si="11"/>
        <v>0</v>
      </c>
      <c r="AK27" s="8">
        <f>IFERROR(IF(VLOOKUP(AD27,VM_Performance_Stats!A:I,8,FALSE)&gt;AB27,1,0),0)</f>
        <v>0</v>
      </c>
      <c r="AL27" t="str">
        <f>IFERROR(VLOOKUP(AD27,'Web-SKUS'!A:G,7,FALSE),"")</f>
        <v/>
      </c>
      <c r="AM27" s="116" t="str">
        <f t="shared" si="1"/>
        <v/>
      </c>
      <c r="AN27" t="str">
        <f>IFERROR(IF(C27=1,VLOOKUP(K27,'Web-SKUS'!A:G,7,FALSE),VLOOKUP(K27,'Web-SKUS'!A:G,6,FALSE)),"")</f>
        <v>£147.9886/month</v>
      </c>
      <c r="AO27" s="116">
        <f t="shared" si="2"/>
        <v>147.98859999999999</v>
      </c>
      <c r="AP27" s="116">
        <f t="shared" si="12"/>
        <v>147.98859999999999</v>
      </c>
      <c r="AQ27" s="115">
        <f t="shared" si="13"/>
        <v>0</v>
      </c>
      <c r="AR27" s="115">
        <f t="shared" si="14"/>
        <v>0</v>
      </c>
      <c r="AS27" s="115" t="e">
        <f>VLOOKUP(B27,'Willie List'!B:M,12,FALSE)</f>
        <v>#N/A</v>
      </c>
      <c r="AT27" s="115" t="str">
        <f t="shared" si="15"/>
        <v>Standard_DS3_v2</v>
      </c>
      <c r="AU27" s="115" t="str">
        <f t="shared" si="16"/>
        <v>DS3 v2</v>
      </c>
      <c r="AV27">
        <f t="shared" si="17"/>
        <v>0</v>
      </c>
      <c r="AW27" s="8">
        <f t="shared" si="18"/>
        <v>0</v>
      </c>
    </row>
    <row r="28" spans="2:49">
      <c r="B28" t="s">
        <v>215</v>
      </c>
      <c r="C28" s="8">
        <f>IFERROR(IF(VLOOKUP(B28,'Willie List'!B:B,1,FALSE) &lt;&gt; "",1,0),0)</f>
        <v>0</v>
      </c>
      <c r="D28" s="8"/>
      <c r="E28" t="s">
        <v>95</v>
      </c>
      <c r="F28" t="s">
        <v>151</v>
      </c>
      <c r="G28" t="s">
        <v>152</v>
      </c>
      <c r="H28" t="s">
        <v>153</v>
      </c>
      <c r="I28" t="s">
        <v>154</v>
      </c>
      <c r="J28" t="s">
        <v>155</v>
      </c>
      <c r="K28" s="8" t="str">
        <f t="shared" si="3"/>
        <v>DS3 v2</v>
      </c>
      <c r="L28" s="8">
        <f>VLOOKUP(K28,'Web-SKUS'!A:E,2,FALSE)</f>
        <v>4</v>
      </c>
      <c r="M28" s="8" t="str">
        <f>VLOOKUP(K28,'Web-SKUS'!A:E,4,FALSE)</f>
        <v>14</v>
      </c>
      <c r="N28" t="s">
        <v>216</v>
      </c>
      <c r="O28">
        <v>4</v>
      </c>
      <c r="P28" t="s">
        <v>157</v>
      </c>
      <c r="Q28" t="str">
        <f>IFERROR(VLOOKUP(B28,PercentCPU!B:F,4,FALSE),"")</f>
        <v/>
      </c>
      <c r="R28" t="str">
        <f>IFERROR(VLOOKUP(B28,MemoryAvailable!B:F,3,FALSE),"")</f>
        <v/>
      </c>
      <c r="S28" s="2" t="str">
        <f t="shared" si="4"/>
        <v/>
      </c>
      <c r="T28" t="str">
        <f t="shared" si="5"/>
        <v/>
      </c>
      <c r="U28" s="8">
        <f t="shared" si="6"/>
        <v>0</v>
      </c>
      <c r="V28" s="8" t="str">
        <f t="shared" si="7"/>
        <v/>
      </c>
      <c r="W28" s="8" t="str">
        <f>IFERROR(VLOOKUP(B28,Write_Bytes_ps!B:F,4,FALSE)/1024/1024,"")</f>
        <v/>
      </c>
      <c r="X28" s="8" t="str">
        <f>IFERROR(VLOOKUP(B28,Read_Bytes_ps!B:F,4,FALSE)/1024/1024,"")</f>
        <v/>
      </c>
      <c r="Y28" s="8" t="str">
        <f>IFERROR(VLOOKUP(B28,Writes_ps!B:F,5,FALSE),"")</f>
        <v/>
      </c>
      <c r="Z28" s="8" t="str">
        <f>IFERROR(VLOOKUP(B28,Reads_ps!B:F,5,FALSE),"")</f>
        <v/>
      </c>
      <c r="AA28" s="8">
        <f t="shared" si="8"/>
        <v>0</v>
      </c>
      <c r="AB28" s="122">
        <f t="shared" si="19"/>
        <v>0</v>
      </c>
      <c r="AC28" s="122" t="str">
        <f t="shared" si="9"/>
        <v>DS3 v2</v>
      </c>
      <c r="AE28" s="8" t="str">
        <f>IFERROR(VLOOKUP(AD28,'Web-SKUS'!A:E,2,FALSE),"")</f>
        <v/>
      </c>
      <c r="AF28" s="8">
        <f>_xlfn.NUMBERVALUE(IFERROR(VLOOKUP(AD28,'Web-SKUS'!A:E,4,FALSE),""))</f>
        <v>0</v>
      </c>
      <c r="AG28" s="8">
        <f>IFERROR(VLOOKUP(AD28,VM_Performance_Stats!A:G,7,FALSE),0)</f>
        <v>0</v>
      </c>
      <c r="AH28" s="8" t="str">
        <f>IFERROR(VLOOKUP(AD28,VM_Performance_Stats!A:I,8,FALSE),"")</f>
        <v/>
      </c>
      <c r="AI28" s="8">
        <f t="shared" si="10"/>
        <v>1</v>
      </c>
      <c r="AJ28" s="8">
        <f t="shared" si="11"/>
        <v>0</v>
      </c>
      <c r="AK28" s="8">
        <f>IFERROR(IF(VLOOKUP(AD28,VM_Performance_Stats!A:I,8,FALSE)&gt;AB28,1,0),0)</f>
        <v>0</v>
      </c>
      <c r="AL28" t="str">
        <f>IFERROR(VLOOKUP(AD28,'Web-SKUS'!A:G,7,FALSE),"")</f>
        <v/>
      </c>
      <c r="AM28" s="116" t="str">
        <f t="shared" si="1"/>
        <v/>
      </c>
      <c r="AN28" t="str">
        <f>IFERROR(IF(C28=1,VLOOKUP(K28,'Web-SKUS'!A:G,7,FALSE),VLOOKUP(K28,'Web-SKUS'!A:G,6,FALSE)),"")</f>
        <v>£147.9886/month</v>
      </c>
      <c r="AO28" s="116">
        <f t="shared" si="2"/>
        <v>147.98859999999999</v>
      </c>
      <c r="AP28" s="116">
        <f t="shared" si="12"/>
        <v>147.98859999999999</v>
      </c>
      <c r="AQ28" s="115">
        <f t="shared" si="13"/>
        <v>0</v>
      </c>
      <c r="AR28" s="115">
        <f t="shared" si="14"/>
        <v>0</v>
      </c>
      <c r="AS28" s="115" t="e">
        <f>VLOOKUP(B28,'Willie List'!B:M,12,FALSE)</f>
        <v>#N/A</v>
      </c>
      <c r="AT28" s="115" t="str">
        <f t="shared" si="15"/>
        <v>Standard_DS3_v2</v>
      </c>
      <c r="AU28" s="115" t="str">
        <f t="shared" si="16"/>
        <v>DS3 v2</v>
      </c>
      <c r="AV28">
        <f t="shared" si="17"/>
        <v>0</v>
      </c>
      <c r="AW28" s="8">
        <f t="shared" si="18"/>
        <v>0</v>
      </c>
    </row>
    <row r="29" spans="2:49">
      <c r="B29" t="s">
        <v>217</v>
      </c>
      <c r="C29" s="8">
        <f>IFERROR(IF(VLOOKUP(B29,'Willie List'!B:B,1,FALSE) &lt;&gt; "",1,0),0)</f>
        <v>0</v>
      </c>
      <c r="D29" s="8"/>
      <c r="E29" t="s">
        <v>95</v>
      </c>
      <c r="F29" t="s">
        <v>159</v>
      </c>
      <c r="G29" t="s">
        <v>152</v>
      </c>
      <c r="H29" t="s">
        <v>153</v>
      </c>
      <c r="I29" t="s">
        <v>154</v>
      </c>
      <c r="J29" t="s">
        <v>155</v>
      </c>
      <c r="K29" s="8" t="str">
        <f t="shared" si="3"/>
        <v>DS3 v2</v>
      </c>
      <c r="L29" s="8">
        <f>VLOOKUP(K29,'Web-SKUS'!A:E,2,FALSE)</f>
        <v>4</v>
      </c>
      <c r="M29" s="8" t="str">
        <f>VLOOKUP(K29,'Web-SKUS'!A:E,4,FALSE)</f>
        <v>14</v>
      </c>
      <c r="N29" t="s">
        <v>218</v>
      </c>
      <c r="O29">
        <v>4</v>
      </c>
      <c r="P29" t="s">
        <v>157</v>
      </c>
      <c r="Q29" t="str">
        <f>IFERROR(VLOOKUP(B29,PercentCPU!B:F,4,FALSE),"")</f>
        <v/>
      </c>
      <c r="R29" t="str">
        <f>IFERROR(VLOOKUP(B29,MemoryAvailable!B:F,3,FALSE),"")</f>
        <v/>
      </c>
      <c r="S29" s="2" t="str">
        <f t="shared" si="4"/>
        <v/>
      </c>
      <c r="T29" t="str">
        <f t="shared" si="5"/>
        <v/>
      </c>
      <c r="U29" s="8">
        <f t="shared" si="6"/>
        <v>0</v>
      </c>
      <c r="V29" s="8" t="str">
        <f t="shared" si="7"/>
        <v/>
      </c>
      <c r="W29" s="8" t="str">
        <f>IFERROR(VLOOKUP(B29,Write_Bytes_ps!B:F,4,FALSE)/1024/1024,"")</f>
        <v/>
      </c>
      <c r="X29" s="8" t="str">
        <f>IFERROR(VLOOKUP(B29,Read_Bytes_ps!B:F,4,FALSE)/1024/1024,"")</f>
        <v/>
      </c>
      <c r="Y29" s="8" t="str">
        <f>IFERROR(VLOOKUP(B29,Writes_ps!B:F,5,FALSE),"")</f>
        <v/>
      </c>
      <c r="Z29" s="8" t="str">
        <f>IFERROR(VLOOKUP(B29,Reads_ps!B:F,5,FALSE),"")</f>
        <v/>
      </c>
      <c r="AA29" s="8">
        <f t="shared" si="8"/>
        <v>0</v>
      </c>
      <c r="AB29" s="122">
        <f t="shared" si="19"/>
        <v>0</v>
      </c>
      <c r="AC29" s="122" t="str">
        <f t="shared" si="9"/>
        <v>DS3 v2</v>
      </c>
      <c r="AE29" s="8" t="str">
        <f>IFERROR(VLOOKUP(AD29,'Web-SKUS'!A:E,2,FALSE),"")</f>
        <v/>
      </c>
      <c r="AF29" s="8">
        <f>_xlfn.NUMBERVALUE(IFERROR(VLOOKUP(AD29,'Web-SKUS'!A:E,4,FALSE),""))</f>
        <v>0</v>
      </c>
      <c r="AG29" s="8">
        <f>IFERROR(VLOOKUP(AD29,VM_Performance_Stats!A:G,7,FALSE),0)</f>
        <v>0</v>
      </c>
      <c r="AH29" s="8" t="str">
        <f>IFERROR(VLOOKUP(AD29,VM_Performance_Stats!A:I,8,FALSE),"")</f>
        <v/>
      </c>
      <c r="AI29" s="8">
        <f t="shared" si="10"/>
        <v>1</v>
      </c>
      <c r="AJ29" s="8">
        <f t="shared" si="11"/>
        <v>0</v>
      </c>
      <c r="AK29" s="8">
        <f>IFERROR(IF(VLOOKUP(AD29,VM_Performance_Stats!A:I,8,FALSE)&gt;AB29,1,0),0)</f>
        <v>0</v>
      </c>
      <c r="AL29" t="str">
        <f>IFERROR(VLOOKUP(AD29,'Web-SKUS'!A:G,7,FALSE),"")</f>
        <v/>
      </c>
      <c r="AM29" s="116" t="str">
        <f t="shared" si="1"/>
        <v/>
      </c>
      <c r="AN29" t="str">
        <f>IFERROR(IF(C29=1,VLOOKUP(K29,'Web-SKUS'!A:G,7,FALSE),VLOOKUP(K29,'Web-SKUS'!A:G,6,FALSE)),"")</f>
        <v>£147.9886/month</v>
      </c>
      <c r="AO29" s="116">
        <f t="shared" si="2"/>
        <v>147.98859999999999</v>
      </c>
      <c r="AP29" s="116">
        <f t="shared" si="12"/>
        <v>147.98859999999999</v>
      </c>
      <c r="AQ29" s="115">
        <f t="shared" si="13"/>
        <v>0</v>
      </c>
      <c r="AR29" s="115">
        <f t="shared" si="14"/>
        <v>0</v>
      </c>
      <c r="AS29" s="115" t="e">
        <f>VLOOKUP(B29,'Willie List'!B:M,12,FALSE)</f>
        <v>#N/A</v>
      </c>
      <c r="AT29" s="115" t="str">
        <f t="shared" si="15"/>
        <v>Standard_DS3_v2</v>
      </c>
      <c r="AU29" s="115" t="str">
        <f t="shared" si="16"/>
        <v>DS3 v2</v>
      </c>
      <c r="AV29">
        <f t="shared" si="17"/>
        <v>0</v>
      </c>
      <c r="AW29" s="8">
        <f t="shared" si="18"/>
        <v>0</v>
      </c>
    </row>
    <row r="30" spans="2:49">
      <c r="B30" t="s">
        <v>219</v>
      </c>
      <c r="C30" s="8">
        <f>IFERROR(IF(VLOOKUP(B30,'Willie List'!B:B,1,FALSE) &lt;&gt; "",1,0),0)</f>
        <v>0</v>
      </c>
      <c r="D30" s="8"/>
      <c r="E30" t="s">
        <v>99</v>
      </c>
      <c r="F30" t="s">
        <v>162</v>
      </c>
      <c r="G30" t="s">
        <v>152</v>
      </c>
      <c r="H30" t="s">
        <v>153</v>
      </c>
      <c r="I30" t="s">
        <v>154</v>
      </c>
      <c r="J30" t="s">
        <v>155</v>
      </c>
      <c r="K30" s="8" t="str">
        <f t="shared" si="3"/>
        <v>DS3 v2</v>
      </c>
      <c r="L30" s="8">
        <f>VLOOKUP(K30,'Web-SKUS'!A:E,2,FALSE)</f>
        <v>4</v>
      </c>
      <c r="M30" s="8" t="str">
        <f>VLOOKUP(K30,'Web-SKUS'!A:E,4,FALSE)</f>
        <v>14</v>
      </c>
      <c r="N30" t="s">
        <v>220</v>
      </c>
      <c r="O30">
        <v>4</v>
      </c>
      <c r="P30" t="s">
        <v>157</v>
      </c>
      <c r="Q30" t="str">
        <f>IFERROR(VLOOKUP(B30,PercentCPU!B:F,4,FALSE),"")</f>
        <v/>
      </c>
      <c r="R30" t="str">
        <f>IFERROR(VLOOKUP(B30,MemoryAvailable!B:F,3,FALSE),"")</f>
        <v/>
      </c>
      <c r="S30" s="2" t="str">
        <f t="shared" si="4"/>
        <v/>
      </c>
      <c r="T30" t="str">
        <f t="shared" si="5"/>
        <v/>
      </c>
      <c r="U30" s="8">
        <f t="shared" si="6"/>
        <v>0</v>
      </c>
      <c r="V30" s="8" t="str">
        <f t="shared" si="7"/>
        <v/>
      </c>
      <c r="W30" s="8" t="str">
        <f>IFERROR(VLOOKUP(B30,Write_Bytes_ps!B:F,4,FALSE)/1024/1024,"")</f>
        <v/>
      </c>
      <c r="X30" s="8" t="str">
        <f>IFERROR(VLOOKUP(B30,Read_Bytes_ps!B:F,4,FALSE)/1024/1024,"")</f>
        <v/>
      </c>
      <c r="Y30" s="8" t="str">
        <f>IFERROR(VLOOKUP(B30,Writes_ps!B:F,5,FALSE),"")</f>
        <v/>
      </c>
      <c r="Z30" s="8" t="str">
        <f>IFERROR(VLOOKUP(B30,Reads_ps!B:F,5,FALSE),"")</f>
        <v/>
      </c>
      <c r="AA30" s="8">
        <f t="shared" si="8"/>
        <v>0</v>
      </c>
      <c r="AB30" s="122">
        <f t="shared" si="19"/>
        <v>0</v>
      </c>
      <c r="AC30" s="122" t="str">
        <f t="shared" si="9"/>
        <v>DS3 v2</v>
      </c>
      <c r="AE30" s="8" t="str">
        <f>IFERROR(VLOOKUP(AD30,'Web-SKUS'!A:E,2,FALSE),"")</f>
        <v/>
      </c>
      <c r="AF30" s="8">
        <f>_xlfn.NUMBERVALUE(IFERROR(VLOOKUP(AD30,'Web-SKUS'!A:E,4,FALSE),""))</f>
        <v>0</v>
      </c>
      <c r="AG30" s="8">
        <f>IFERROR(VLOOKUP(AD30,VM_Performance_Stats!A:G,7,FALSE),0)</f>
        <v>0</v>
      </c>
      <c r="AH30" s="8" t="str">
        <f>IFERROR(VLOOKUP(AD30,VM_Performance_Stats!A:I,8,FALSE),"")</f>
        <v/>
      </c>
      <c r="AI30" s="8">
        <f t="shared" si="10"/>
        <v>1</v>
      </c>
      <c r="AJ30" s="8">
        <f t="shared" si="11"/>
        <v>0</v>
      </c>
      <c r="AK30" s="8">
        <f>IFERROR(IF(VLOOKUP(AD30,VM_Performance_Stats!A:I,8,FALSE)&gt;AB30,1,0),0)</f>
        <v>0</v>
      </c>
      <c r="AL30" t="str">
        <f>IFERROR(VLOOKUP(AD30,'Web-SKUS'!A:G,7,FALSE),"")</f>
        <v/>
      </c>
      <c r="AM30" s="116" t="str">
        <f t="shared" si="1"/>
        <v/>
      </c>
      <c r="AN30" t="str">
        <f>IFERROR(IF(C30=1,VLOOKUP(K30,'Web-SKUS'!A:G,7,FALSE),VLOOKUP(K30,'Web-SKUS'!A:G,6,FALSE)),"")</f>
        <v>£147.9886/month</v>
      </c>
      <c r="AO30" s="116">
        <f t="shared" si="2"/>
        <v>147.98859999999999</v>
      </c>
      <c r="AP30" s="116">
        <f t="shared" si="12"/>
        <v>147.98859999999999</v>
      </c>
      <c r="AQ30" s="115">
        <f t="shared" si="13"/>
        <v>0</v>
      </c>
      <c r="AR30" s="115">
        <f t="shared" si="14"/>
        <v>0</v>
      </c>
      <c r="AS30" s="115" t="e">
        <f>VLOOKUP(B30,'Willie List'!B:M,12,FALSE)</f>
        <v>#N/A</v>
      </c>
      <c r="AT30" s="115" t="str">
        <f t="shared" si="15"/>
        <v>Standard_DS3_v2</v>
      </c>
      <c r="AU30" s="115" t="str">
        <f t="shared" si="16"/>
        <v>DS3 v2</v>
      </c>
      <c r="AV30">
        <f t="shared" si="17"/>
        <v>0</v>
      </c>
      <c r="AW30" s="8">
        <f t="shared" si="18"/>
        <v>0</v>
      </c>
    </row>
    <row r="31" spans="2:49">
      <c r="B31" t="s">
        <v>221</v>
      </c>
      <c r="C31" s="8">
        <f>IFERROR(IF(VLOOKUP(B31,'Willie List'!B:B,1,FALSE) &lt;&gt; "",1,0),0)</f>
        <v>0</v>
      </c>
      <c r="D31" s="8"/>
      <c r="E31" t="s">
        <v>99</v>
      </c>
      <c r="F31" t="s">
        <v>162</v>
      </c>
      <c r="G31" t="s">
        <v>152</v>
      </c>
      <c r="H31" t="s">
        <v>153</v>
      </c>
      <c r="I31" t="s">
        <v>154</v>
      </c>
      <c r="J31" t="s">
        <v>155</v>
      </c>
      <c r="K31" s="8" t="str">
        <f t="shared" si="3"/>
        <v>DS3 v2</v>
      </c>
      <c r="L31" s="8">
        <f>VLOOKUP(K31,'Web-SKUS'!A:E,2,FALSE)</f>
        <v>4</v>
      </c>
      <c r="M31" s="8" t="str">
        <f>VLOOKUP(K31,'Web-SKUS'!A:E,4,FALSE)</f>
        <v>14</v>
      </c>
      <c r="N31" t="s">
        <v>222</v>
      </c>
      <c r="O31">
        <v>4</v>
      </c>
      <c r="P31" t="s">
        <v>157</v>
      </c>
      <c r="Q31" t="str">
        <f>IFERROR(VLOOKUP(B31,PercentCPU!B:F,4,FALSE),"")</f>
        <v/>
      </c>
      <c r="R31" t="str">
        <f>IFERROR(VLOOKUP(B31,MemoryAvailable!B:F,3,FALSE),"")</f>
        <v/>
      </c>
      <c r="S31" s="2" t="str">
        <f t="shared" si="4"/>
        <v/>
      </c>
      <c r="T31" t="str">
        <f t="shared" si="5"/>
        <v/>
      </c>
      <c r="U31" s="8">
        <f t="shared" si="6"/>
        <v>0</v>
      </c>
      <c r="V31" s="8" t="str">
        <f t="shared" si="7"/>
        <v/>
      </c>
      <c r="W31" s="8" t="str">
        <f>IFERROR(VLOOKUP(B31,Write_Bytes_ps!B:F,4,FALSE)/1024/1024,"")</f>
        <v/>
      </c>
      <c r="X31" s="8" t="str">
        <f>IFERROR(VLOOKUP(B31,Read_Bytes_ps!B:F,4,FALSE)/1024/1024,"")</f>
        <v/>
      </c>
      <c r="Y31" s="8" t="str">
        <f>IFERROR(VLOOKUP(B31,Writes_ps!B:F,5,FALSE),"")</f>
        <v/>
      </c>
      <c r="Z31" s="8" t="str">
        <f>IFERROR(VLOOKUP(B31,Reads_ps!B:F,5,FALSE),"")</f>
        <v/>
      </c>
      <c r="AA31" s="8">
        <f t="shared" si="8"/>
        <v>0</v>
      </c>
      <c r="AB31" s="122">
        <f t="shared" si="19"/>
        <v>0</v>
      </c>
      <c r="AC31" s="122" t="str">
        <f t="shared" si="9"/>
        <v>DS3 v2</v>
      </c>
      <c r="AE31" s="8" t="str">
        <f>IFERROR(VLOOKUP(AD31,'Web-SKUS'!A:E,2,FALSE),"")</f>
        <v/>
      </c>
      <c r="AF31" s="8">
        <f>_xlfn.NUMBERVALUE(IFERROR(VLOOKUP(AD31,'Web-SKUS'!A:E,4,FALSE),""))</f>
        <v>0</v>
      </c>
      <c r="AG31" s="8">
        <f>IFERROR(VLOOKUP(AD31,VM_Performance_Stats!A:G,7,FALSE),0)</f>
        <v>0</v>
      </c>
      <c r="AH31" s="8" t="str">
        <f>IFERROR(VLOOKUP(AD31,VM_Performance_Stats!A:I,8,FALSE),"")</f>
        <v/>
      </c>
      <c r="AI31" s="8">
        <f t="shared" si="10"/>
        <v>1</v>
      </c>
      <c r="AJ31" s="8">
        <f t="shared" si="11"/>
        <v>0</v>
      </c>
      <c r="AK31" s="8">
        <f>IFERROR(IF(VLOOKUP(AD31,VM_Performance_Stats!A:I,8,FALSE)&gt;AB31,1,0),0)</f>
        <v>0</v>
      </c>
      <c r="AL31" t="str">
        <f>IFERROR(VLOOKUP(AD31,'Web-SKUS'!A:G,7,FALSE),"")</f>
        <v/>
      </c>
      <c r="AM31" s="116" t="str">
        <f t="shared" si="1"/>
        <v/>
      </c>
      <c r="AN31" t="str">
        <f>IFERROR(IF(C31=1,VLOOKUP(K31,'Web-SKUS'!A:G,7,FALSE),VLOOKUP(K31,'Web-SKUS'!A:G,6,FALSE)),"")</f>
        <v>£147.9886/month</v>
      </c>
      <c r="AO31" s="116">
        <f t="shared" si="2"/>
        <v>147.98859999999999</v>
      </c>
      <c r="AP31" s="116">
        <f t="shared" si="12"/>
        <v>147.98859999999999</v>
      </c>
      <c r="AQ31" s="115">
        <f t="shared" si="13"/>
        <v>0</v>
      </c>
      <c r="AR31" s="115">
        <f t="shared" si="14"/>
        <v>0</v>
      </c>
      <c r="AS31" s="115" t="e">
        <f>VLOOKUP(B31,'Willie List'!B:M,12,FALSE)</f>
        <v>#N/A</v>
      </c>
      <c r="AT31" s="115" t="str">
        <f t="shared" si="15"/>
        <v>Standard_DS3_v2</v>
      </c>
      <c r="AU31" s="115" t="str">
        <f t="shared" si="16"/>
        <v>DS3 v2</v>
      </c>
      <c r="AV31">
        <f t="shared" si="17"/>
        <v>0</v>
      </c>
      <c r="AW31" s="8">
        <f t="shared" si="18"/>
        <v>0</v>
      </c>
    </row>
    <row r="32" spans="2:49">
      <c r="B32" t="s">
        <v>223</v>
      </c>
      <c r="C32" s="8">
        <f>IFERROR(IF(VLOOKUP(B32,'Willie List'!B:B,1,FALSE) &lt;&gt; "",1,0),0)</f>
        <v>0</v>
      </c>
      <c r="D32" s="8"/>
      <c r="E32" t="s">
        <v>99</v>
      </c>
      <c r="F32" t="s">
        <v>162</v>
      </c>
      <c r="G32" t="s">
        <v>152</v>
      </c>
      <c r="H32" t="s">
        <v>153</v>
      </c>
      <c r="I32" t="s">
        <v>154</v>
      </c>
      <c r="J32" t="s">
        <v>155</v>
      </c>
      <c r="K32" s="8" t="str">
        <f t="shared" si="3"/>
        <v>DS3 v2</v>
      </c>
      <c r="L32" s="8">
        <f>VLOOKUP(K32,'Web-SKUS'!A:E,2,FALSE)</f>
        <v>4</v>
      </c>
      <c r="M32" s="8" t="str">
        <f>VLOOKUP(K32,'Web-SKUS'!A:E,4,FALSE)</f>
        <v>14</v>
      </c>
      <c r="N32" t="s">
        <v>224</v>
      </c>
      <c r="O32">
        <v>4</v>
      </c>
      <c r="P32" t="s">
        <v>157</v>
      </c>
      <c r="Q32" t="str">
        <f>IFERROR(VLOOKUP(B32,PercentCPU!B:F,4,FALSE),"")</f>
        <v/>
      </c>
      <c r="R32" t="str">
        <f>IFERROR(VLOOKUP(B32,MemoryAvailable!B:F,3,FALSE),"")</f>
        <v/>
      </c>
      <c r="S32" s="2" t="str">
        <f t="shared" si="4"/>
        <v/>
      </c>
      <c r="T32" t="str">
        <f t="shared" si="5"/>
        <v/>
      </c>
      <c r="U32" s="8">
        <f t="shared" si="6"/>
        <v>0</v>
      </c>
      <c r="V32" s="8" t="str">
        <f t="shared" si="7"/>
        <v/>
      </c>
      <c r="W32" s="8" t="str">
        <f>IFERROR(VLOOKUP(B32,Write_Bytes_ps!B:F,4,FALSE)/1024/1024,"")</f>
        <v/>
      </c>
      <c r="X32" s="8" t="str">
        <f>IFERROR(VLOOKUP(B32,Read_Bytes_ps!B:F,4,FALSE)/1024/1024,"")</f>
        <v/>
      </c>
      <c r="Y32" s="8" t="str">
        <f>IFERROR(VLOOKUP(B32,Writes_ps!B:F,5,FALSE),"")</f>
        <v/>
      </c>
      <c r="Z32" s="8" t="str">
        <f>IFERROR(VLOOKUP(B32,Reads_ps!B:F,5,FALSE),"")</f>
        <v/>
      </c>
      <c r="AA32" s="8">
        <f t="shared" si="8"/>
        <v>0</v>
      </c>
      <c r="AB32" s="122">
        <f t="shared" si="19"/>
        <v>0</v>
      </c>
      <c r="AC32" s="122" t="str">
        <f t="shared" si="9"/>
        <v>DS3 v2</v>
      </c>
      <c r="AE32" s="8" t="str">
        <f>IFERROR(VLOOKUP(AD32,'Web-SKUS'!A:E,2,FALSE),"")</f>
        <v/>
      </c>
      <c r="AF32" s="8">
        <f>_xlfn.NUMBERVALUE(IFERROR(VLOOKUP(AD32,'Web-SKUS'!A:E,4,FALSE),""))</f>
        <v>0</v>
      </c>
      <c r="AG32" s="8">
        <f>IFERROR(VLOOKUP(AD32,VM_Performance_Stats!A:G,7,FALSE),0)</f>
        <v>0</v>
      </c>
      <c r="AH32" s="8" t="str">
        <f>IFERROR(VLOOKUP(AD32,VM_Performance_Stats!A:I,8,FALSE),"")</f>
        <v/>
      </c>
      <c r="AI32" s="8">
        <f t="shared" si="10"/>
        <v>1</v>
      </c>
      <c r="AJ32" s="8">
        <f t="shared" si="11"/>
        <v>0</v>
      </c>
      <c r="AK32" s="8">
        <f>IFERROR(IF(VLOOKUP(AD32,VM_Performance_Stats!A:I,8,FALSE)&gt;AB32,1,0),0)</f>
        <v>0</v>
      </c>
      <c r="AL32" t="str">
        <f>IFERROR(VLOOKUP(AD32,'Web-SKUS'!A:G,7,FALSE),"")</f>
        <v/>
      </c>
      <c r="AM32" s="116" t="str">
        <f t="shared" si="1"/>
        <v/>
      </c>
      <c r="AN32" t="str">
        <f>IFERROR(IF(C32=1,VLOOKUP(K32,'Web-SKUS'!A:G,7,FALSE),VLOOKUP(K32,'Web-SKUS'!A:G,6,FALSE)),"")</f>
        <v>£147.9886/month</v>
      </c>
      <c r="AO32" s="116">
        <f t="shared" si="2"/>
        <v>147.98859999999999</v>
      </c>
      <c r="AP32" s="116">
        <f t="shared" si="12"/>
        <v>147.98859999999999</v>
      </c>
      <c r="AQ32" s="115">
        <f t="shared" si="13"/>
        <v>0</v>
      </c>
      <c r="AR32" s="115">
        <f t="shared" si="14"/>
        <v>0</v>
      </c>
      <c r="AS32" s="115" t="e">
        <f>VLOOKUP(B32,'Willie List'!B:M,12,FALSE)</f>
        <v>#N/A</v>
      </c>
      <c r="AT32" s="115" t="str">
        <f t="shared" si="15"/>
        <v>Standard_DS3_v2</v>
      </c>
      <c r="AU32" s="115" t="str">
        <f t="shared" si="16"/>
        <v>DS3 v2</v>
      </c>
      <c r="AV32">
        <f t="shared" si="17"/>
        <v>0</v>
      </c>
      <c r="AW32" s="8">
        <f t="shared" si="18"/>
        <v>0</v>
      </c>
    </row>
    <row r="33" spans="2:49">
      <c r="B33" s="1" t="s">
        <v>225</v>
      </c>
      <c r="C33" s="8">
        <f>IFERROR(IF(VLOOKUP(B33,'Willie List'!B:B,1,FALSE) &lt;&gt; "",1,0),0)</f>
        <v>0</v>
      </c>
      <c r="D33" s="8"/>
      <c r="E33" t="s">
        <v>95</v>
      </c>
      <c r="F33" t="s">
        <v>151</v>
      </c>
      <c r="G33" t="s">
        <v>152</v>
      </c>
      <c r="H33" t="s">
        <v>153</v>
      </c>
      <c r="I33" t="s">
        <v>154</v>
      </c>
      <c r="J33" t="s">
        <v>155</v>
      </c>
      <c r="K33" s="8" t="str">
        <f t="shared" si="3"/>
        <v>DS3 v2</v>
      </c>
      <c r="L33" s="8">
        <f>VLOOKUP(K33,'Web-SKUS'!A:E,2,FALSE)</f>
        <v>4</v>
      </c>
      <c r="M33" s="8" t="str">
        <f>VLOOKUP(K33,'Web-SKUS'!A:E,4,FALSE)</f>
        <v>14</v>
      </c>
      <c r="N33" t="s">
        <v>226</v>
      </c>
      <c r="O33">
        <v>3</v>
      </c>
      <c r="P33" t="s">
        <v>157</v>
      </c>
      <c r="Q33" t="str">
        <f>IFERROR(VLOOKUP(B33,PercentCPU!B:F,4,FALSE),"")</f>
        <v/>
      </c>
      <c r="R33" t="str">
        <f>IFERROR(VLOOKUP(B33,MemoryAvailable!B:F,3,FALSE),"")</f>
        <v/>
      </c>
      <c r="S33" s="2" t="str">
        <f t="shared" si="4"/>
        <v/>
      </c>
      <c r="T33" t="str">
        <f t="shared" si="5"/>
        <v/>
      </c>
      <c r="U33" s="8">
        <f t="shared" si="6"/>
        <v>0</v>
      </c>
      <c r="V33" s="8" t="str">
        <f t="shared" si="7"/>
        <v/>
      </c>
      <c r="W33" s="8" t="str">
        <f>IFERROR(VLOOKUP(B33,Write_Bytes_ps!B:F,4,FALSE)/1024/1024,"")</f>
        <v/>
      </c>
      <c r="X33" s="8" t="str">
        <f>IFERROR(VLOOKUP(B33,Read_Bytes_ps!B:F,4,FALSE)/1024/1024,"")</f>
        <v/>
      </c>
      <c r="Y33" s="8" t="str">
        <f>IFERROR(VLOOKUP(B33,Writes_ps!B:F,5,FALSE),"")</f>
        <v/>
      </c>
      <c r="Z33" s="8" t="str">
        <f>IFERROR(VLOOKUP(B33,Reads_ps!B:F,5,FALSE),"")</f>
        <v/>
      </c>
      <c r="AA33" s="8">
        <f t="shared" si="8"/>
        <v>0</v>
      </c>
      <c r="AB33" s="122">
        <f t="shared" si="19"/>
        <v>0</v>
      </c>
      <c r="AC33" s="122" t="str">
        <f t="shared" si="9"/>
        <v>DS3 v2</v>
      </c>
      <c r="AE33" s="8" t="str">
        <f>IFERROR(VLOOKUP(AD33,'Web-SKUS'!A:E,2,FALSE),"")</f>
        <v/>
      </c>
      <c r="AF33" s="8">
        <f>_xlfn.NUMBERVALUE(IFERROR(VLOOKUP(AD33,'Web-SKUS'!A:E,4,FALSE),""))</f>
        <v>0</v>
      </c>
      <c r="AG33" s="8">
        <f>IFERROR(VLOOKUP(AD33,VM_Performance_Stats!A:G,7,FALSE),0)</f>
        <v>0</v>
      </c>
      <c r="AH33" s="8" t="str">
        <f>IFERROR(VLOOKUP(AD33,VM_Performance_Stats!A:I,8,FALSE),"")</f>
        <v/>
      </c>
      <c r="AI33" s="8">
        <f t="shared" si="10"/>
        <v>1</v>
      </c>
      <c r="AJ33" s="8">
        <f t="shared" si="11"/>
        <v>0</v>
      </c>
      <c r="AK33" s="8">
        <f>IFERROR(IF(VLOOKUP(AD33,VM_Performance_Stats!A:I,8,FALSE)&gt;AB33,1,0),0)</f>
        <v>0</v>
      </c>
      <c r="AL33" t="str">
        <f>IFERROR(VLOOKUP(AD33,'Web-SKUS'!A:G,7,FALSE),"")</f>
        <v/>
      </c>
      <c r="AM33" s="116" t="str">
        <f t="shared" si="1"/>
        <v/>
      </c>
      <c r="AN33" t="str">
        <f>IFERROR(IF(C33=1,VLOOKUP(K33,'Web-SKUS'!A:G,7,FALSE),VLOOKUP(K33,'Web-SKUS'!A:G,6,FALSE)),"")</f>
        <v>£147.9886/month</v>
      </c>
      <c r="AO33" s="116">
        <f t="shared" si="2"/>
        <v>147.98859999999999</v>
      </c>
      <c r="AP33" s="116">
        <f t="shared" si="12"/>
        <v>147.98859999999999</v>
      </c>
      <c r="AQ33" s="115">
        <f t="shared" si="13"/>
        <v>0</v>
      </c>
      <c r="AR33" s="115">
        <f t="shared" si="14"/>
        <v>0</v>
      </c>
      <c r="AS33" s="115" t="e">
        <f>VLOOKUP(B33,'Willie List'!B:M,12,FALSE)</f>
        <v>#N/A</v>
      </c>
      <c r="AT33" s="115" t="str">
        <f t="shared" si="15"/>
        <v>Standard_DS3_v2</v>
      </c>
      <c r="AU33" s="115" t="str">
        <f t="shared" si="16"/>
        <v>DS3 v2</v>
      </c>
      <c r="AV33">
        <f t="shared" si="17"/>
        <v>0</v>
      </c>
      <c r="AW33" s="8">
        <f t="shared" si="18"/>
        <v>0</v>
      </c>
    </row>
    <row r="34" spans="2:49">
      <c r="B34" t="s">
        <v>227</v>
      </c>
      <c r="C34" s="8">
        <f>IFERROR(IF(VLOOKUP(B34,'Willie List'!B:B,1,FALSE) &lt;&gt; "",1,0),0)</f>
        <v>0</v>
      </c>
      <c r="D34" s="8"/>
      <c r="E34" t="s">
        <v>95</v>
      </c>
      <c r="F34" t="s">
        <v>151</v>
      </c>
      <c r="G34" t="s">
        <v>152</v>
      </c>
      <c r="H34" t="s">
        <v>153</v>
      </c>
      <c r="I34" t="s">
        <v>154</v>
      </c>
      <c r="J34" t="s">
        <v>155</v>
      </c>
      <c r="K34" s="8" t="str">
        <f t="shared" si="3"/>
        <v>DS3 v2</v>
      </c>
      <c r="L34" s="8">
        <f>VLOOKUP(K34,'Web-SKUS'!A:E,2,FALSE)</f>
        <v>4</v>
      </c>
      <c r="M34" s="8" t="str">
        <f>VLOOKUP(K34,'Web-SKUS'!A:E,4,FALSE)</f>
        <v>14</v>
      </c>
      <c r="N34" t="s">
        <v>228</v>
      </c>
      <c r="O34">
        <v>3</v>
      </c>
      <c r="P34" t="s">
        <v>157</v>
      </c>
      <c r="Q34" t="str">
        <f>IFERROR(VLOOKUP(B34,PercentCPU!B:F,4,FALSE),"")</f>
        <v/>
      </c>
      <c r="R34" t="str">
        <f>IFERROR(VLOOKUP(B34,MemoryAvailable!B:F,3,FALSE),"")</f>
        <v/>
      </c>
      <c r="S34" s="2" t="str">
        <f t="shared" si="4"/>
        <v/>
      </c>
      <c r="T34" t="str">
        <f t="shared" si="5"/>
        <v/>
      </c>
      <c r="U34" s="8">
        <f t="shared" si="6"/>
        <v>0</v>
      </c>
      <c r="V34" s="8" t="str">
        <f t="shared" si="7"/>
        <v/>
      </c>
      <c r="W34" s="8" t="str">
        <f>IFERROR(VLOOKUP(B34,Write_Bytes_ps!B:F,4,FALSE)/1024/1024,"")</f>
        <v/>
      </c>
      <c r="X34" s="8" t="str">
        <f>IFERROR(VLOOKUP(B34,Read_Bytes_ps!B:F,4,FALSE)/1024/1024,"")</f>
        <v/>
      </c>
      <c r="Y34" s="8" t="str">
        <f>IFERROR(VLOOKUP(B34,Writes_ps!B:F,5,FALSE),"")</f>
        <v/>
      </c>
      <c r="Z34" s="8" t="str">
        <f>IFERROR(VLOOKUP(B34,Reads_ps!B:F,5,FALSE),"")</f>
        <v/>
      </c>
      <c r="AA34" s="8">
        <f t="shared" si="8"/>
        <v>0</v>
      </c>
      <c r="AB34" s="122">
        <f t="shared" si="19"/>
        <v>0</v>
      </c>
      <c r="AC34" s="122" t="str">
        <f t="shared" si="9"/>
        <v>DS3 v2</v>
      </c>
      <c r="AE34" s="8" t="str">
        <f>IFERROR(VLOOKUP(AD34,'Web-SKUS'!A:E,2,FALSE),"")</f>
        <v/>
      </c>
      <c r="AF34" s="8">
        <f>_xlfn.NUMBERVALUE(IFERROR(VLOOKUP(AD34,'Web-SKUS'!A:E,4,FALSE),""))</f>
        <v>0</v>
      </c>
      <c r="AG34" s="8">
        <f>IFERROR(VLOOKUP(AD34,VM_Performance_Stats!A:G,7,FALSE),0)</f>
        <v>0</v>
      </c>
      <c r="AH34" s="8" t="str">
        <f>IFERROR(VLOOKUP(AD34,VM_Performance_Stats!A:I,8,FALSE),"")</f>
        <v/>
      </c>
      <c r="AI34" s="8">
        <f t="shared" si="10"/>
        <v>1</v>
      </c>
      <c r="AJ34" s="8">
        <f t="shared" si="11"/>
        <v>0</v>
      </c>
      <c r="AK34" s="8">
        <f>IFERROR(IF(VLOOKUP(AD34,VM_Performance_Stats!A:I,8,FALSE)&gt;AB34,1,0),0)</f>
        <v>0</v>
      </c>
      <c r="AL34" t="str">
        <f>IFERROR(VLOOKUP(AD34,'Web-SKUS'!A:G,7,FALSE),"")</f>
        <v/>
      </c>
      <c r="AM34" s="116" t="str">
        <f t="shared" si="1"/>
        <v/>
      </c>
      <c r="AN34" t="str">
        <f>IFERROR(IF(C34=1,VLOOKUP(K34,'Web-SKUS'!A:G,7,FALSE),VLOOKUP(K34,'Web-SKUS'!A:G,6,FALSE)),"")</f>
        <v>£147.9886/month</v>
      </c>
      <c r="AO34" s="116">
        <f t="shared" si="2"/>
        <v>147.98859999999999</v>
      </c>
      <c r="AP34" s="116">
        <f t="shared" si="12"/>
        <v>147.98859999999999</v>
      </c>
      <c r="AQ34" s="115">
        <f t="shared" si="13"/>
        <v>0</v>
      </c>
      <c r="AR34" s="115">
        <f t="shared" si="14"/>
        <v>0</v>
      </c>
      <c r="AS34" s="115" t="e">
        <f>VLOOKUP(B34,'Willie List'!B:M,12,FALSE)</f>
        <v>#N/A</v>
      </c>
      <c r="AT34" s="115" t="str">
        <f t="shared" si="15"/>
        <v>Standard_DS3_v2</v>
      </c>
      <c r="AU34" s="115" t="str">
        <f t="shared" si="16"/>
        <v>DS3 v2</v>
      </c>
      <c r="AV34">
        <f t="shared" si="17"/>
        <v>0</v>
      </c>
      <c r="AW34" s="8">
        <f t="shared" si="18"/>
        <v>0</v>
      </c>
    </row>
    <row r="35" spans="2:49">
      <c r="B35" t="s">
        <v>229</v>
      </c>
      <c r="C35" s="8">
        <f>IFERROR(IF(VLOOKUP(B35,'Willie List'!B:B,1,FALSE) &lt;&gt; "",1,0),0)</f>
        <v>0</v>
      </c>
      <c r="D35" s="8"/>
      <c r="E35" t="s">
        <v>99</v>
      </c>
      <c r="F35" t="s">
        <v>162</v>
      </c>
      <c r="G35" t="s">
        <v>152</v>
      </c>
      <c r="H35" t="s">
        <v>153</v>
      </c>
      <c r="I35" t="s">
        <v>154</v>
      </c>
      <c r="J35" t="s">
        <v>155</v>
      </c>
      <c r="K35" s="8" t="str">
        <f t="shared" si="3"/>
        <v>DS3 v2</v>
      </c>
      <c r="L35" s="8">
        <f>VLOOKUP(K35,'Web-SKUS'!A:E,2,FALSE)</f>
        <v>4</v>
      </c>
      <c r="M35" s="8" t="str">
        <f>VLOOKUP(K35,'Web-SKUS'!A:E,4,FALSE)</f>
        <v>14</v>
      </c>
      <c r="N35" t="s">
        <v>230</v>
      </c>
      <c r="O35">
        <v>4</v>
      </c>
      <c r="P35" t="s">
        <v>157</v>
      </c>
      <c r="Q35" t="str">
        <f>IFERROR(VLOOKUP(B35,PercentCPU!B:F,4,FALSE),"")</f>
        <v/>
      </c>
      <c r="R35" t="str">
        <f>IFERROR(VLOOKUP(B35,MemoryAvailable!B:F,3,FALSE),"")</f>
        <v/>
      </c>
      <c r="S35" s="2" t="str">
        <f t="shared" si="4"/>
        <v/>
      </c>
      <c r="T35" t="str">
        <f t="shared" si="5"/>
        <v/>
      </c>
      <c r="U35" s="8">
        <f t="shared" si="6"/>
        <v>0</v>
      </c>
      <c r="V35" s="8" t="str">
        <f t="shared" si="7"/>
        <v/>
      </c>
      <c r="W35" s="8" t="str">
        <f>IFERROR(VLOOKUP(B35,Write_Bytes_ps!B:F,4,FALSE)/1024/1024,"")</f>
        <v/>
      </c>
      <c r="X35" s="8" t="str">
        <f>IFERROR(VLOOKUP(B35,Read_Bytes_ps!B:F,4,FALSE)/1024/1024,"")</f>
        <v/>
      </c>
      <c r="Y35" s="8" t="str">
        <f>IFERROR(VLOOKUP(B35,Writes_ps!B:F,5,FALSE),"")</f>
        <v/>
      </c>
      <c r="Z35" s="8" t="str">
        <f>IFERROR(VLOOKUP(B35,Reads_ps!B:F,5,FALSE),"")</f>
        <v/>
      </c>
      <c r="AA35" s="8">
        <f t="shared" si="8"/>
        <v>0</v>
      </c>
      <c r="AB35" s="122">
        <f t="shared" si="19"/>
        <v>0</v>
      </c>
      <c r="AC35" s="122" t="str">
        <f t="shared" si="9"/>
        <v>DS3 v2</v>
      </c>
      <c r="AE35" s="8" t="str">
        <f>IFERROR(VLOOKUP(AD35,'Web-SKUS'!A:E,2,FALSE),"")</f>
        <v/>
      </c>
      <c r="AF35" s="8">
        <f>_xlfn.NUMBERVALUE(IFERROR(VLOOKUP(AD35,'Web-SKUS'!A:E,4,FALSE),""))</f>
        <v>0</v>
      </c>
      <c r="AG35" s="8">
        <f>IFERROR(VLOOKUP(AD35,VM_Performance_Stats!A:G,7,FALSE),0)</f>
        <v>0</v>
      </c>
      <c r="AH35" s="8" t="str">
        <f>IFERROR(VLOOKUP(AD35,VM_Performance_Stats!A:I,8,FALSE),"")</f>
        <v/>
      </c>
      <c r="AI35" s="8">
        <f t="shared" si="10"/>
        <v>1</v>
      </c>
      <c r="AJ35" s="8">
        <f t="shared" si="11"/>
        <v>0</v>
      </c>
      <c r="AK35" s="8">
        <f>IFERROR(IF(VLOOKUP(AD35,VM_Performance_Stats!A:I,8,FALSE)&gt;AB35,1,0),0)</f>
        <v>0</v>
      </c>
      <c r="AL35" t="str">
        <f>IFERROR(VLOOKUP(AD35,'Web-SKUS'!A:G,7,FALSE),"")</f>
        <v/>
      </c>
      <c r="AM35" s="116" t="str">
        <f t="shared" si="1"/>
        <v/>
      </c>
      <c r="AN35" t="str">
        <f>IFERROR(IF(C35=1,VLOOKUP(K35,'Web-SKUS'!A:G,7,FALSE),VLOOKUP(K35,'Web-SKUS'!A:G,6,FALSE)),"")</f>
        <v>£147.9886/month</v>
      </c>
      <c r="AO35" s="116">
        <f t="shared" si="2"/>
        <v>147.98859999999999</v>
      </c>
      <c r="AP35" s="116">
        <f t="shared" si="12"/>
        <v>147.98859999999999</v>
      </c>
      <c r="AQ35" s="115">
        <f t="shared" si="13"/>
        <v>0</v>
      </c>
      <c r="AR35" s="115">
        <f t="shared" si="14"/>
        <v>0</v>
      </c>
      <c r="AS35" s="115" t="e">
        <f>VLOOKUP(B35,'Willie List'!B:M,12,FALSE)</f>
        <v>#N/A</v>
      </c>
      <c r="AT35" s="115" t="str">
        <f t="shared" si="15"/>
        <v>Standard_DS3_v2</v>
      </c>
      <c r="AU35" s="115" t="str">
        <f t="shared" si="16"/>
        <v>DS3 v2</v>
      </c>
      <c r="AV35">
        <f t="shared" si="17"/>
        <v>0</v>
      </c>
      <c r="AW35" s="8">
        <f t="shared" si="18"/>
        <v>0</v>
      </c>
    </row>
    <row r="36" spans="2:49">
      <c r="B36" t="s">
        <v>231</v>
      </c>
      <c r="C36" s="8">
        <f>IFERROR(IF(VLOOKUP(B36,'Willie List'!B:B,1,FALSE) &lt;&gt; "",1,0),0)</f>
        <v>0</v>
      </c>
      <c r="D36" s="8"/>
      <c r="E36" t="s">
        <v>95</v>
      </c>
      <c r="F36" t="s">
        <v>151</v>
      </c>
      <c r="G36" t="s">
        <v>152</v>
      </c>
      <c r="H36" t="s">
        <v>153</v>
      </c>
      <c r="I36" t="s">
        <v>154</v>
      </c>
      <c r="J36" t="s">
        <v>155</v>
      </c>
      <c r="K36" s="8" t="str">
        <f t="shared" si="3"/>
        <v>DS3 v2</v>
      </c>
      <c r="L36" s="8">
        <f>VLOOKUP(K36,'Web-SKUS'!A:E,2,FALSE)</f>
        <v>4</v>
      </c>
      <c r="M36" s="8" t="str">
        <f>VLOOKUP(K36,'Web-SKUS'!A:E,4,FALSE)</f>
        <v>14</v>
      </c>
      <c r="N36" t="s">
        <v>232</v>
      </c>
      <c r="O36">
        <v>3</v>
      </c>
      <c r="P36" t="s">
        <v>157</v>
      </c>
      <c r="Q36" t="str">
        <f>IFERROR(VLOOKUP(B36,PercentCPU!B:F,4,FALSE),"")</f>
        <v/>
      </c>
      <c r="R36" t="str">
        <f>IFERROR(VLOOKUP(B36,MemoryAvailable!B:F,3,FALSE),"")</f>
        <v/>
      </c>
      <c r="S36" s="2" t="str">
        <f t="shared" si="4"/>
        <v/>
      </c>
      <c r="T36" t="str">
        <f t="shared" si="5"/>
        <v/>
      </c>
      <c r="U36" s="8">
        <f t="shared" si="6"/>
        <v>0</v>
      </c>
      <c r="V36" s="8" t="str">
        <f t="shared" si="7"/>
        <v/>
      </c>
      <c r="W36" s="8" t="str">
        <f>IFERROR(VLOOKUP(B36,Write_Bytes_ps!B:F,4,FALSE)/1024/1024,"")</f>
        <v/>
      </c>
      <c r="X36" s="8" t="str">
        <f>IFERROR(VLOOKUP(B36,Read_Bytes_ps!B:F,4,FALSE)/1024/1024,"")</f>
        <v/>
      </c>
      <c r="Y36" s="8" t="str">
        <f>IFERROR(VLOOKUP(B36,Writes_ps!B:F,5,FALSE),"")</f>
        <v/>
      </c>
      <c r="Z36" s="8" t="str">
        <f>IFERROR(VLOOKUP(B36,Reads_ps!B:F,5,FALSE),"")</f>
        <v/>
      </c>
      <c r="AA36" s="8">
        <f t="shared" si="8"/>
        <v>0</v>
      </c>
      <c r="AB36" s="122">
        <f t="shared" si="19"/>
        <v>0</v>
      </c>
      <c r="AC36" s="122" t="str">
        <f t="shared" si="9"/>
        <v>DS3 v2</v>
      </c>
      <c r="AE36" s="8" t="str">
        <f>IFERROR(VLOOKUP(AD36,'Web-SKUS'!A:E,2,FALSE),"")</f>
        <v/>
      </c>
      <c r="AF36" s="8">
        <f>_xlfn.NUMBERVALUE(IFERROR(VLOOKUP(AD36,'Web-SKUS'!A:E,4,FALSE),""))</f>
        <v>0</v>
      </c>
      <c r="AG36" s="8">
        <f>IFERROR(VLOOKUP(AD36,VM_Performance_Stats!A:G,7,FALSE),0)</f>
        <v>0</v>
      </c>
      <c r="AH36" s="8" t="str">
        <f>IFERROR(VLOOKUP(AD36,VM_Performance_Stats!A:I,8,FALSE),"")</f>
        <v/>
      </c>
      <c r="AI36" s="8">
        <f t="shared" si="10"/>
        <v>1</v>
      </c>
      <c r="AJ36" s="8">
        <f t="shared" si="11"/>
        <v>0</v>
      </c>
      <c r="AK36" s="8">
        <f>IFERROR(IF(VLOOKUP(AD36,VM_Performance_Stats!A:I,8,FALSE)&gt;AB36,1,0),0)</f>
        <v>0</v>
      </c>
      <c r="AL36" t="str">
        <f>IFERROR(VLOOKUP(AD36,'Web-SKUS'!A:G,7,FALSE),"")</f>
        <v/>
      </c>
      <c r="AM36" s="116" t="str">
        <f t="shared" si="1"/>
        <v/>
      </c>
      <c r="AN36" t="str">
        <f>IFERROR(IF(C36=1,VLOOKUP(K36,'Web-SKUS'!A:G,7,FALSE),VLOOKUP(K36,'Web-SKUS'!A:G,6,FALSE)),"")</f>
        <v>£147.9886/month</v>
      </c>
      <c r="AO36" s="116">
        <f t="shared" si="2"/>
        <v>147.98859999999999</v>
      </c>
      <c r="AP36" s="116">
        <f t="shared" si="12"/>
        <v>147.98859999999999</v>
      </c>
      <c r="AQ36" s="115">
        <f t="shared" si="13"/>
        <v>0</v>
      </c>
      <c r="AR36" s="115">
        <f t="shared" si="14"/>
        <v>0</v>
      </c>
      <c r="AS36" s="115" t="e">
        <f>VLOOKUP(B36,'Willie List'!B:M,12,FALSE)</f>
        <v>#N/A</v>
      </c>
      <c r="AT36" s="115" t="str">
        <f t="shared" si="15"/>
        <v>Standard_DS3_v2</v>
      </c>
      <c r="AU36" s="115" t="str">
        <f t="shared" si="16"/>
        <v>DS3 v2</v>
      </c>
      <c r="AV36">
        <f t="shared" si="17"/>
        <v>0</v>
      </c>
      <c r="AW36" s="8">
        <f t="shared" si="18"/>
        <v>0</v>
      </c>
    </row>
    <row r="37" spans="2:49">
      <c r="B37" t="s">
        <v>233</v>
      </c>
      <c r="C37" s="8">
        <f>IFERROR(IF(VLOOKUP(B37,'Willie List'!B:B,1,FALSE) &lt;&gt; "",1,0),0)</f>
        <v>0</v>
      </c>
      <c r="D37" s="8"/>
      <c r="E37" t="s">
        <v>95</v>
      </c>
      <c r="F37" t="s">
        <v>151</v>
      </c>
      <c r="G37" t="s">
        <v>152</v>
      </c>
      <c r="H37" t="s">
        <v>153</v>
      </c>
      <c r="I37" t="s">
        <v>154</v>
      </c>
      <c r="J37" t="s">
        <v>155</v>
      </c>
      <c r="K37" s="8" t="str">
        <f t="shared" si="3"/>
        <v>DS3 v2</v>
      </c>
      <c r="L37" s="8">
        <f>VLOOKUP(K37,'Web-SKUS'!A:E,2,FALSE)</f>
        <v>4</v>
      </c>
      <c r="M37" s="8" t="str">
        <f>VLOOKUP(K37,'Web-SKUS'!A:E,4,FALSE)</f>
        <v>14</v>
      </c>
      <c r="N37" t="s">
        <v>234</v>
      </c>
      <c r="O37">
        <v>3</v>
      </c>
      <c r="P37" t="s">
        <v>157</v>
      </c>
      <c r="Q37" t="str">
        <f>IFERROR(VLOOKUP(B37,PercentCPU!B:F,4,FALSE),"")</f>
        <v/>
      </c>
      <c r="R37" t="str">
        <f>IFERROR(VLOOKUP(B37,MemoryAvailable!B:F,3,FALSE),"")</f>
        <v/>
      </c>
      <c r="S37" s="2" t="str">
        <f t="shared" si="4"/>
        <v/>
      </c>
      <c r="T37" t="str">
        <f t="shared" si="5"/>
        <v/>
      </c>
      <c r="U37" s="8">
        <f t="shared" si="6"/>
        <v>0</v>
      </c>
      <c r="V37" s="8" t="str">
        <f t="shared" si="7"/>
        <v/>
      </c>
      <c r="W37" s="8" t="str">
        <f>IFERROR(VLOOKUP(B37,Write_Bytes_ps!B:F,4,FALSE)/1024/1024,"")</f>
        <v/>
      </c>
      <c r="X37" s="8" t="str">
        <f>IFERROR(VLOOKUP(B37,Read_Bytes_ps!B:F,4,FALSE)/1024/1024,"")</f>
        <v/>
      </c>
      <c r="Y37" s="8" t="str">
        <f>IFERROR(VLOOKUP(B37,Writes_ps!B:F,5,FALSE),"")</f>
        <v/>
      </c>
      <c r="Z37" s="8" t="str">
        <f>IFERROR(VLOOKUP(B37,Reads_ps!B:F,5,FALSE),"")</f>
        <v/>
      </c>
      <c r="AA37" s="8">
        <f t="shared" si="8"/>
        <v>0</v>
      </c>
      <c r="AB37" s="122">
        <f t="shared" si="19"/>
        <v>0</v>
      </c>
      <c r="AC37" s="122" t="str">
        <f t="shared" si="9"/>
        <v>DS3 v2</v>
      </c>
      <c r="AE37" s="8" t="str">
        <f>IFERROR(VLOOKUP(AD37,'Web-SKUS'!A:E,2,FALSE),"")</f>
        <v/>
      </c>
      <c r="AF37" s="8">
        <f>_xlfn.NUMBERVALUE(IFERROR(VLOOKUP(AD37,'Web-SKUS'!A:E,4,FALSE),""))</f>
        <v>0</v>
      </c>
      <c r="AG37" s="8">
        <f>IFERROR(VLOOKUP(AD37,VM_Performance_Stats!A:G,7,FALSE),0)</f>
        <v>0</v>
      </c>
      <c r="AH37" s="8" t="str">
        <f>IFERROR(VLOOKUP(AD37,VM_Performance_Stats!A:I,8,FALSE),"")</f>
        <v/>
      </c>
      <c r="AI37" s="8">
        <f t="shared" si="10"/>
        <v>1</v>
      </c>
      <c r="AJ37" s="8">
        <f t="shared" si="11"/>
        <v>0</v>
      </c>
      <c r="AK37" s="8">
        <f>IFERROR(IF(VLOOKUP(AD37,VM_Performance_Stats!A:I,8,FALSE)&gt;AB37,1,0),0)</f>
        <v>0</v>
      </c>
      <c r="AL37" t="str">
        <f>IFERROR(VLOOKUP(AD37,'Web-SKUS'!A:G,7,FALSE),"")</f>
        <v/>
      </c>
      <c r="AM37" s="116" t="str">
        <f t="shared" si="1"/>
        <v/>
      </c>
      <c r="AN37" t="str">
        <f>IFERROR(IF(C37=1,VLOOKUP(K37,'Web-SKUS'!A:G,7,FALSE),VLOOKUP(K37,'Web-SKUS'!A:G,6,FALSE)),"")</f>
        <v>£147.9886/month</v>
      </c>
      <c r="AO37" s="116">
        <f t="shared" si="2"/>
        <v>147.98859999999999</v>
      </c>
      <c r="AP37" s="116">
        <f t="shared" si="12"/>
        <v>147.98859999999999</v>
      </c>
      <c r="AQ37" s="115">
        <f t="shared" si="13"/>
        <v>0</v>
      </c>
      <c r="AR37" s="115">
        <f t="shared" si="14"/>
        <v>0</v>
      </c>
      <c r="AS37" s="115" t="e">
        <f>VLOOKUP(B37,'Willie List'!B:M,12,FALSE)</f>
        <v>#N/A</v>
      </c>
      <c r="AT37" s="115" t="str">
        <f t="shared" si="15"/>
        <v>Standard_DS3_v2</v>
      </c>
      <c r="AU37" s="115" t="str">
        <f t="shared" si="16"/>
        <v>DS3 v2</v>
      </c>
      <c r="AV37">
        <f t="shared" si="17"/>
        <v>0</v>
      </c>
      <c r="AW37" s="8">
        <f t="shared" si="18"/>
        <v>0</v>
      </c>
    </row>
    <row r="38" spans="2:49">
      <c r="B38" t="s">
        <v>235</v>
      </c>
      <c r="C38" s="8">
        <f>IFERROR(IF(VLOOKUP(B38,'Willie List'!B:B,1,FALSE) &lt;&gt; "",1,0),0)</f>
        <v>0</v>
      </c>
      <c r="D38" s="8"/>
      <c r="E38" t="s">
        <v>95</v>
      </c>
      <c r="F38" t="s">
        <v>151</v>
      </c>
      <c r="G38" t="s">
        <v>152</v>
      </c>
      <c r="H38" t="s">
        <v>153</v>
      </c>
      <c r="I38" t="s">
        <v>154</v>
      </c>
      <c r="J38" t="s">
        <v>155</v>
      </c>
      <c r="K38" s="8" t="str">
        <f t="shared" si="3"/>
        <v>DS3 v2</v>
      </c>
      <c r="L38" s="8">
        <f>VLOOKUP(K38,'Web-SKUS'!A:E,2,FALSE)</f>
        <v>4</v>
      </c>
      <c r="M38" s="8" t="str">
        <f>VLOOKUP(K38,'Web-SKUS'!A:E,4,FALSE)</f>
        <v>14</v>
      </c>
      <c r="N38" t="s">
        <v>236</v>
      </c>
      <c r="O38">
        <v>3</v>
      </c>
      <c r="P38" t="s">
        <v>157</v>
      </c>
      <c r="Q38" t="str">
        <f>IFERROR(VLOOKUP(B38,PercentCPU!B:F,4,FALSE),"")</f>
        <v/>
      </c>
      <c r="R38" t="str">
        <f>IFERROR(VLOOKUP(B38,MemoryAvailable!B:F,3,FALSE),"")</f>
        <v/>
      </c>
      <c r="S38" s="2" t="str">
        <f t="shared" si="4"/>
        <v/>
      </c>
      <c r="T38" t="str">
        <f t="shared" si="5"/>
        <v/>
      </c>
      <c r="U38" s="8">
        <f t="shared" si="6"/>
        <v>0</v>
      </c>
      <c r="V38" s="8" t="str">
        <f t="shared" si="7"/>
        <v/>
      </c>
      <c r="W38" s="8" t="str">
        <f>IFERROR(VLOOKUP(B38,Write_Bytes_ps!B:F,4,FALSE)/1024/1024,"")</f>
        <v/>
      </c>
      <c r="X38" s="8" t="str">
        <f>IFERROR(VLOOKUP(B38,Read_Bytes_ps!B:F,4,FALSE)/1024/1024,"")</f>
        <v/>
      </c>
      <c r="Y38" s="8" t="str">
        <f>IFERROR(VLOOKUP(B38,Writes_ps!B:F,5,FALSE),"")</f>
        <v/>
      </c>
      <c r="Z38" s="8" t="str">
        <f>IFERROR(VLOOKUP(B38,Reads_ps!B:F,5,FALSE),"")</f>
        <v/>
      </c>
      <c r="AA38" s="8">
        <f t="shared" si="8"/>
        <v>0</v>
      </c>
      <c r="AB38" s="122">
        <f t="shared" si="19"/>
        <v>0</v>
      </c>
      <c r="AC38" s="122" t="str">
        <f t="shared" si="9"/>
        <v>DS3 v2</v>
      </c>
      <c r="AE38" s="8" t="str">
        <f>IFERROR(VLOOKUP(AD38,'Web-SKUS'!A:E,2,FALSE),"")</f>
        <v/>
      </c>
      <c r="AF38" s="8">
        <f>_xlfn.NUMBERVALUE(IFERROR(VLOOKUP(AD38,'Web-SKUS'!A:E,4,FALSE),""))</f>
        <v>0</v>
      </c>
      <c r="AG38" s="8">
        <f>IFERROR(VLOOKUP(AD38,VM_Performance_Stats!A:G,7,FALSE),0)</f>
        <v>0</v>
      </c>
      <c r="AH38" s="8" t="str">
        <f>IFERROR(VLOOKUP(AD38,VM_Performance_Stats!A:I,8,FALSE),"")</f>
        <v/>
      </c>
      <c r="AI38" s="8">
        <f t="shared" si="10"/>
        <v>1</v>
      </c>
      <c r="AJ38" s="8">
        <f t="shared" si="11"/>
        <v>0</v>
      </c>
      <c r="AK38" s="8">
        <f>IFERROR(IF(VLOOKUP(AD38,VM_Performance_Stats!A:I,8,FALSE)&gt;AB38,1,0),0)</f>
        <v>0</v>
      </c>
      <c r="AL38" t="str">
        <f>IFERROR(VLOOKUP(AD38,'Web-SKUS'!A:G,7,FALSE),"")</f>
        <v/>
      </c>
      <c r="AM38" s="116" t="str">
        <f t="shared" si="1"/>
        <v/>
      </c>
      <c r="AN38" t="str">
        <f>IFERROR(IF(C38=1,VLOOKUP(K38,'Web-SKUS'!A:G,7,FALSE),VLOOKUP(K38,'Web-SKUS'!A:G,6,FALSE)),"")</f>
        <v>£147.9886/month</v>
      </c>
      <c r="AO38" s="116">
        <f t="shared" si="2"/>
        <v>147.98859999999999</v>
      </c>
      <c r="AP38" s="116">
        <f t="shared" si="12"/>
        <v>147.98859999999999</v>
      </c>
      <c r="AQ38" s="115">
        <f t="shared" si="13"/>
        <v>0</v>
      </c>
      <c r="AR38" s="115">
        <f t="shared" si="14"/>
        <v>0</v>
      </c>
      <c r="AS38" s="115" t="e">
        <f>VLOOKUP(B38,'Willie List'!B:M,12,FALSE)</f>
        <v>#N/A</v>
      </c>
      <c r="AT38" s="115" t="str">
        <f t="shared" si="15"/>
        <v>Standard_DS3_v2</v>
      </c>
      <c r="AU38" s="115" t="str">
        <f t="shared" si="16"/>
        <v>DS3 v2</v>
      </c>
      <c r="AV38">
        <f t="shared" si="17"/>
        <v>0</v>
      </c>
      <c r="AW38" s="8">
        <f t="shared" si="18"/>
        <v>0</v>
      </c>
    </row>
    <row r="39" spans="2:49">
      <c r="B39" t="s">
        <v>237</v>
      </c>
      <c r="C39" s="8">
        <f>IFERROR(IF(VLOOKUP(B39,'Willie List'!B:B,1,FALSE) &lt;&gt; "",1,0),0)</f>
        <v>0</v>
      </c>
      <c r="D39" s="8"/>
      <c r="E39" t="s">
        <v>99</v>
      </c>
      <c r="F39" t="s">
        <v>162</v>
      </c>
      <c r="G39" t="s">
        <v>152</v>
      </c>
      <c r="H39" t="s">
        <v>153</v>
      </c>
      <c r="I39" t="s">
        <v>154</v>
      </c>
      <c r="J39" t="s">
        <v>155</v>
      </c>
      <c r="K39" s="8" t="str">
        <f t="shared" si="3"/>
        <v>DS3 v2</v>
      </c>
      <c r="L39" s="8">
        <f>VLOOKUP(K39,'Web-SKUS'!A:E,2,FALSE)</f>
        <v>4</v>
      </c>
      <c r="M39" s="8" t="str">
        <f>VLOOKUP(K39,'Web-SKUS'!A:E,4,FALSE)</f>
        <v>14</v>
      </c>
      <c r="N39" t="s">
        <v>238</v>
      </c>
      <c r="O39">
        <v>4</v>
      </c>
      <c r="P39" t="s">
        <v>157</v>
      </c>
      <c r="Q39" t="str">
        <f>IFERROR(VLOOKUP(B39,PercentCPU!B:F,4,FALSE),"")</f>
        <v/>
      </c>
      <c r="R39" t="str">
        <f>IFERROR(VLOOKUP(B39,MemoryAvailable!B:F,3,FALSE),"")</f>
        <v/>
      </c>
      <c r="S39" s="2" t="str">
        <f t="shared" si="4"/>
        <v/>
      </c>
      <c r="T39" t="str">
        <f t="shared" si="5"/>
        <v/>
      </c>
      <c r="U39" s="8">
        <f t="shared" si="6"/>
        <v>0</v>
      </c>
      <c r="V39" s="8" t="str">
        <f t="shared" si="7"/>
        <v/>
      </c>
      <c r="W39" s="8" t="str">
        <f>IFERROR(VLOOKUP(B39,Write_Bytes_ps!B:F,4,FALSE)/1024/1024,"")</f>
        <v/>
      </c>
      <c r="X39" s="8" t="str">
        <f>IFERROR(VLOOKUP(B39,Read_Bytes_ps!B:F,4,FALSE)/1024/1024,"")</f>
        <v/>
      </c>
      <c r="Y39" s="8" t="str">
        <f>IFERROR(VLOOKUP(B39,Writes_ps!B:F,5,FALSE),"")</f>
        <v/>
      </c>
      <c r="Z39" s="8" t="str">
        <f>IFERROR(VLOOKUP(B39,Reads_ps!B:F,5,FALSE),"")</f>
        <v/>
      </c>
      <c r="AA39" s="8">
        <f t="shared" si="8"/>
        <v>0</v>
      </c>
      <c r="AB39" s="122">
        <f t="shared" si="19"/>
        <v>0</v>
      </c>
      <c r="AC39" s="122" t="str">
        <f t="shared" si="9"/>
        <v>DS3 v2</v>
      </c>
      <c r="AE39" s="8" t="str">
        <f>IFERROR(VLOOKUP(AD39,'Web-SKUS'!A:E,2,FALSE),"")</f>
        <v/>
      </c>
      <c r="AF39" s="8">
        <f>_xlfn.NUMBERVALUE(IFERROR(VLOOKUP(AD39,'Web-SKUS'!A:E,4,FALSE),""))</f>
        <v>0</v>
      </c>
      <c r="AG39" s="8">
        <f>IFERROR(VLOOKUP(AD39,VM_Performance_Stats!A:G,7,FALSE),0)</f>
        <v>0</v>
      </c>
      <c r="AH39" s="8" t="str">
        <f>IFERROR(VLOOKUP(AD39,VM_Performance_Stats!A:I,8,FALSE),"")</f>
        <v/>
      </c>
      <c r="AI39" s="8">
        <f t="shared" si="10"/>
        <v>1</v>
      </c>
      <c r="AJ39" s="8">
        <f t="shared" si="11"/>
        <v>0</v>
      </c>
      <c r="AK39" s="8">
        <f>IFERROR(IF(VLOOKUP(AD39,VM_Performance_Stats!A:I,8,FALSE)&gt;AB39,1,0),0)</f>
        <v>0</v>
      </c>
      <c r="AL39" t="str">
        <f>IFERROR(VLOOKUP(AD39,'Web-SKUS'!A:G,7,FALSE),"")</f>
        <v/>
      </c>
      <c r="AM39" s="116" t="str">
        <f t="shared" si="1"/>
        <v/>
      </c>
      <c r="AN39" t="str">
        <f>IFERROR(IF(C39=1,VLOOKUP(K39,'Web-SKUS'!A:G,7,FALSE),VLOOKUP(K39,'Web-SKUS'!A:G,6,FALSE)),"")</f>
        <v>£147.9886/month</v>
      </c>
      <c r="AO39" s="116">
        <f t="shared" si="2"/>
        <v>147.98859999999999</v>
      </c>
      <c r="AP39" s="116">
        <f t="shared" si="12"/>
        <v>147.98859999999999</v>
      </c>
      <c r="AQ39" s="115">
        <f t="shared" si="13"/>
        <v>0</v>
      </c>
      <c r="AR39" s="115">
        <f t="shared" si="14"/>
        <v>0</v>
      </c>
      <c r="AS39" s="115" t="e">
        <f>VLOOKUP(B39,'Willie List'!B:M,12,FALSE)</f>
        <v>#N/A</v>
      </c>
      <c r="AT39" s="115" t="str">
        <f t="shared" si="15"/>
        <v>Standard_DS3_v2</v>
      </c>
      <c r="AU39" s="115" t="str">
        <f t="shared" si="16"/>
        <v>DS3 v2</v>
      </c>
      <c r="AV39">
        <f t="shared" si="17"/>
        <v>0</v>
      </c>
      <c r="AW39" s="8">
        <f t="shared" si="18"/>
        <v>0</v>
      </c>
    </row>
    <row r="40" spans="2:49">
      <c r="B40" t="s">
        <v>239</v>
      </c>
      <c r="C40" s="8">
        <f>IFERROR(IF(VLOOKUP(B40,'Willie List'!B:B,1,FALSE) &lt;&gt; "",1,0),0)</f>
        <v>0</v>
      </c>
      <c r="D40" s="8"/>
      <c r="E40" t="s">
        <v>99</v>
      </c>
      <c r="F40" t="s">
        <v>162</v>
      </c>
      <c r="G40" t="s">
        <v>152</v>
      </c>
      <c r="H40" t="s">
        <v>153</v>
      </c>
      <c r="I40" t="s">
        <v>154</v>
      </c>
      <c r="J40" t="s">
        <v>155</v>
      </c>
      <c r="K40" s="8" t="str">
        <f t="shared" si="3"/>
        <v>DS3 v2</v>
      </c>
      <c r="L40" s="8">
        <f>VLOOKUP(K40,'Web-SKUS'!A:E,2,FALSE)</f>
        <v>4</v>
      </c>
      <c r="M40" s="8" t="str">
        <f>VLOOKUP(K40,'Web-SKUS'!A:E,4,FALSE)</f>
        <v>14</v>
      </c>
      <c r="N40" t="s">
        <v>240</v>
      </c>
      <c r="O40">
        <v>4</v>
      </c>
      <c r="P40" t="s">
        <v>157</v>
      </c>
      <c r="Q40" t="str">
        <f>IFERROR(VLOOKUP(B40,PercentCPU!B:F,4,FALSE),"")</f>
        <v/>
      </c>
      <c r="R40" t="str">
        <f>IFERROR(VLOOKUP(B40,MemoryAvailable!B:F,3,FALSE),"")</f>
        <v/>
      </c>
      <c r="S40" s="2" t="str">
        <f t="shared" si="4"/>
        <v/>
      </c>
      <c r="T40" t="str">
        <f t="shared" si="5"/>
        <v/>
      </c>
      <c r="U40" s="8">
        <f t="shared" si="6"/>
        <v>0</v>
      </c>
      <c r="V40" s="8" t="str">
        <f t="shared" si="7"/>
        <v/>
      </c>
      <c r="W40" s="8" t="str">
        <f>IFERROR(VLOOKUP(B40,Write_Bytes_ps!B:F,4,FALSE)/1024/1024,"")</f>
        <v/>
      </c>
      <c r="X40" s="8" t="str">
        <f>IFERROR(VLOOKUP(B40,Read_Bytes_ps!B:F,4,FALSE)/1024/1024,"")</f>
        <v/>
      </c>
      <c r="Y40" s="8" t="str">
        <f>IFERROR(VLOOKUP(B40,Writes_ps!B:F,5,FALSE),"")</f>
        <v/>
      </c>
      <c r="Z40" s="8" t="str">
        <f>IFERROR(VLOOKUP(B40,Reads_ps!B:F,5,FALSE),"")</f>
        <v/>
      </c>
      <c r="AA40" s="8">
        <f t="shared" si="8"/>
        <v>0</v>
      </c>
      <c r="AB40" s="122">
        <f t="shared" si="19"/>
        <v>0</v>
      </c>
      <c r="AC40" s="122" t="str">
        <f t="shared" si="9"/>
        <v>DS3 v2</v>
      </c>
      <c r="AE40" s="8" t="str">
        <f>IFERROR(VLOOKUP(AD40,'Web-SKUS'!A:E,2,FALSE),"")</f>
        <v/>
      </c>
      <c r="AF40" s="8">
        <f>_xlfn.NUMBERVALUE(IFERROR(VLOOKUP(AD40,'Web-SKUS'!A:E,4,FALSE),""))</f>
        <v>0</v>
      </c>
      <c r="AG40" s="8">
        <f>IFERROR(VLOOKUP(AD40,VM_Performance_Stats!A:G,7,FALSE),0)</f>
        <v>0</v>
      </c>
      <c r="AH40" s="8" t="str">
        <f>IFERROR(VLOOKUP(AD40,VM_Performance_Stats!A:I,8,FALSE),"")</f>
        <v/>
      </c>
      <c r="AI40" s="8">
        <f t="shared" si="10"/>
        <v>1</v>
      </c>
      <c r="AJ40" s="8">
        <f t="shared" si="11"/>
        <v>0</v>
      </c>
      <c r="AK40" s="8">
        <f>IFERROR(IF(VLOOKUP(AD40,VM_Performance_Stats!A:I,8,FALSE)&gt;AB40,1,0),0)</f>
        <v>0</v>
      </c>
      <c r="AL40" t="str">
        <f>IFERROR(VLOOKUP(AD40,'Web-SKUS'!A:G,7,FALSE),"")</f>
        <v/>
      </c>
      <c r="AM40" s="116" t="str">
        <f t="shared" si="1"/>
        <v/>
      </c>
      <c r="AN40" t="str">
        <f>IFERROR(IF(C40=1,VLOOKUP(K40,'Web-SKUS'!A:G,7,FALSE),VLOOKUP(K40,'Web-SKUS'!A:G,6,FALSE)),"")</f>
        <v>£147.9886/month</v>
      </c>
      <c r="AO40" s="116">
        <f t="shared" si="2"/>
        <v>147.98859999999999</v>
      </c>
      <c r="AP40" s="116">
        <f t="shared" si="12"/>
        <v>147.98859999999999</v>
      </c>
      <c r="AQ40" s="115">
        <f t="shared" si="13"/>
        <v>0</v>
      </c>
      <c r="AR40" s="115">
        <f t="shared" si="14"/>
        <v>0</v>
      </c>
      <c r="AS40" s="115" t="e">
        <f>VLOOKUP(B40,'Willie List'!B:M,12,FALSE)</f>
        <v>#N/A</v>
      </c>
      <c r="AT40" s="115" t="str">
        <f t="shared" si="15"/>
        <v>Standard_DS3_v2</v>
      </c>
      <c r="AU40" s="115" t="str">
        <f t="shared" si="16"/>
        <v>DS3 v2</v>
      </c>
      <c r="AV40">
        <f t="shared" si="17"/>
        <v>0</v>
      </c>
      <c r="AW40" s="8">
        <f t="shared" si="18"/>
        <v>0</v>
      </c>
    </row>
    <row r="41" spans="2:49">
      <c r="B41" t="s">
        <v>241</v>
      </c>
      <c r="C41" s="8">
        <f>IFERROR(IF(VLOOKUP(B41,'Willie List'!B:B,1,FALSE) &lt;&gt; "",1,0),0)</f>
        <v>0</v>
      </c>
      <c r="D41" s="8"/>
      <c r="E41" t="s">
        <v>95</v>
      </c>
      <c r="F41" t="s">
        <v>151</v>
      </c>
      <c r="G41" t="s">
        <v>152</v>
      </c>
      <c r="H41" t="s">
        <v>153</v>
      </c>
      <c r="I41" t="s">
        <v>154</v>
      </c>
      <c r="J41" t="s">
        <v>155</v>
      </c>
      <c r="K41" s="8" t="str">
        <f t="shared" si="3"/>
        <v>DS3 v2</v>
      </c>
      <c r="L41" s="8">
        <f>VLOOKUP(K41,'Web-SKUS'!A:E,2,FALSE)</f>
        <v>4</v>
      </c>
      <c r="M41" s="8" t="str">
        <f>VLOOKUP(K41,'Web-SKUS'!A:E,4,FALSE)</f>
        <v>14</v>
      </c>
      <c r="N41" t="s">
        <v>242</v>
      </c>
      <c r="O41">
        <v>3</v>
      </c>
      <c r="P41" t="s">
        <v>157</v>
      </c>
      <c r="Q41" t="str">
        <f>IFERROR(VLOOKUP(B41,PercentCPU!B:F,4,FALSE),"")</f>
        <v/>
      </c>
      <c r="R41" t="str">
        <f>IFERROR(VLOOKUP(B41,MemoryAvailable!B:F,3,FALSE),"")</f>
        <v/>
      </c>
      <c r="S41" s="2" t="str">
        <f t="shared" si="4"/>
        <v/>
      </c>
      <c r="T41" t="str">
        <f t="shared" si="5"/>
        <v/>
      </c>
      <c r="U41" s="8">
        <f t="shared" si="6"/>
        <v>0</v>
      </c>
      <c r="V41" s="8" t="str">
        <f t="shared" si="7"/>
        <v/>
      </c>
      <c r="W41" s="8" t="str">
        <f>IFERROR(VLOOKUP(B41,Write_Bytes_ps!B:F,4,FALSE)/1024/1024,"")</f>
        <v/>
      </c>
      <c r="X41" s="8" t="str">
        <f>IFERROR(VLOOKUP(B41,Read_Bytes_ps!B:F,4,FALSE)/1024/1024,"")</f>
        <v/>
      </c>
      <c r="Y41" s="8" t="str">
        <f>IFERROR(VLOOKUP(B41,Writes_ps!B:F,5,FALSE),"")</f>
        <v/>
      </c>
      <c r="Z41" s="8" t="str">
        <f>IFERROR(VLOOKUP(B41,Reads_ps!B:F,5,FALSE),"")</f>
        <v/>
      </c>
      <c r="AA41" s="8">
        <f t="shared" si="8"/>
        <v>0</v>
      </c>
      <c r="AB41" s="122">
        <f t="shared" si="19"/>
        <v>0</v>
      </c>
      <c r="AC41" s="122" t="str">
        <f t="shared" si="9"/>
        <v>DS3 v2</v>
      </c>
      <c r="AE41" s="8" t="str">
        <f>IFERROR(VLOOKUP(AD41,'Web-SKUS'!A:E,2,FALSE),"")</f>
        <v/>
      </c>
      <c r="AF41" s="8">
        <f>_xlfn.NUMBERVALUE(IFERROR(VLOOKUP(AD41,'Web-SKUS'!A:E,4,FALSE),""))</f>
        <v>0</v>
      </c>
      <c r="AG41" s="8">
        <f>IFERROR(VLOOKUP(AD41,VM_Performance_Stats!A:G,7,FALSE),0)</f>
        <v>0</v>
      </c>
      <c r="AH41" s="8" t="str">
        <f>IFERROR(VLOOKUP(AD41,VM_Performance_Stats!A:I,8,FALSE),"")</f>
        <v/>
      </c>
      <c r="AI41" s="8">
        <f t="shared" si="10"/>
        <v>1</v>
      </c>
      <c r="AJ41" s="8">
        <f t="shared" si="11"/>
        <v>0</v>
      </c>
      <c r="AK41" s="8">
        <f>IFERROR(IF(VLOOKUP(AD41,VM_Performance_Stats!A:I,8,FALSE)&gt;AB41,1,0),0)</f>
        <v>0</v>
      </c>
      <c r="AL41" t="str">
        <f>IFERROR(VLOOKUP(AD41,'Web-SKUS'!A:G,7,FALSE),"")</f>
        <v/>
      </c>
      <c r="AM41" s="116" t="str">
        <f t="shared" si="1"/>
        <v/>
      </c>
      <c r="AN41" t="str">
        <f>IFERROR(IF(C41=1,VLOOKUP(K41,'Web-SKUS'!A:G,7,FALSE),VLOOKUP(K41,'Web-SKUS'!A:G,6,FALSE)),"")</f>
        <v>£147.9886/month</v>
      </c>
      <c r="AO41" s="116">
        <f t="shared" si="2"/>
        <v>147.98859999999999</v>
      </c>
      <c r="AP41" s="116">
        <f t="shared" si="12"/>
        <v>147.98859999999999</v>
      </c>
      <c r="AQ41" s="115">
        <f t="shared" si="13"/>
        <v>0</v>
      </c>
      <c r="AR41" s="115">
        <f t="shared" si="14"/>
        <v>0</v>
      </c>
      <c r="AS41" s="115" t="e">
        <f>VLOOKUP(B41,'Willie List'!B:M,12,FALSE)</f>
        <v>#N/A</v>
      </c>
      <c r="AT41" s="115" t="str">
        <f t="shared" si="15"/>
        <v>Standard_DS3_v2</v>
      </c>
      <c r="AU41" s="115" t="str">
        <f t="shared" si="16"/>
        <v>DS3 v2</v>
      </c>
      <c r="AV41">
        <f t="shared" si="17"/>
        <v>0</v>
      </c>
      <c r="AW41" s="8">
        <f t="shared" si="18"/>
        <v>0</v>
      </c>
    </row>
    <row r="42" spans="2:49">
      <c r="B42" t="s">
        <v>243</v>
      </c>
      <c r="C42" s="8">
        <f>IFERROR(IF(VLOOKUP(B42,'Willie List'!B:B,1,FALSE) &lt;&gt; "",1,0),0)</f>
        <v>0</v>
      </c>
      <c r="D42" s="8"/>
      <c r="E42" t="s">
        <v>95</v>
      </c>
      <c r="F42" t="s">
        <v>151</v>
      </c>
      <c r="G42" t="s">
        <v>152</v>
      </c>
      <c r="H42" t="s">
        <v>153</v>
      </c>
      <c r="I42" t="s">
        <v>154</v>
      </c>
      <c r="J42" t="s">
        <v>155</v>
      </c>
      <c r="K42" s="8" t="str">
        <f t="shared" si="3"/>
        <v>DS3 v2</v>
      </c>
      <c r="L42" s="8">
        <f>VLOOKUP(K42,'Web-SKUS'!A:E,2,FALSE)</f>
        <v>4</v>
      </c>
      <c r="M42" s="8" t="str">
        <f>VLOOKUP(K42,'Web-SKUS'!A:E,4,FALSE)</f>
        <v>14</v>
      </c>
      <c r="N42" t="s">
        <v>244</v>
      </c>
      <c r="O42">
        <v>3</v>
      </c>
      <c r="P42" t="s">
        <v>157</v>
      </c>
      <c r="Q42" t="str">
        <f>IFERROR(VLOOKUP(B42,PercentCPU!B:F,4,FALSE),"")</f>
        <v/>
      </c>
      <c r="R42" t="str">
        <f>IFERROR(VLOOKUP(B42,MemoryAvailable!B:F,3,FALSE),"")</f>
        <v/>
      </c>
      <c r="S42" s="2" t="str">
        <f t="shared" si="4"/>
        <v/>
      </c>
      <c r="T42" t="str">
        <f t="shared" si="5"/>
        <v/>
      </c>
      <c r="U42" s="8">
        <f t="shared" si="6"/>
        <v>0</v>
      </c>
      <c r="V42" s="8" t="str">
        <f t="shared" si="7"/>
        <v/>
      </c>
      <c r="W42" s="8" t="str">
        <f>IFERROR(VLOOKUP(B42,Write_Bytes_ps!B:F,4,FALSE)/1024/1024,"")</f>
        <v/>
      </c>
      <c r="X42" s="8" t="str">
        <f>IFERROR(VLOOKUP(B42,Read_Bytes_ps!B:F,4,FALSE)/1024/1024,"")</f>
        <v/>
      </c>
      <c r="Y42" s="8" t="str">
        <f>IFERROR(VLOOKUP(B42,Writes_ps!B:F,5,FALSE),"")</f>
        <v/>
      </c>
      <c r="Z42" s="8" t="str">
        <f>IFERROR(VLOOKUP(B42,Reads_ps!B:F,5,FALSE),"")</f>
        <v/>
      </c>
      <c r="AA42" s="8">
        <f t="shared" si="8"/>
        <v>0</v>
      </c>
      <c r="AB42" s="122">
        <f t="shared" si="19"/>
        <v>0</v>
      </c>
      <c r="AC42" s="122" t="str">
        <f t="shared" si="9"/>
        <v>DS3 v2</v>
      </c>
      <c r="AE42" s="8" t="str">
        <f>IFERROR(VLOOKUP(AD42,'Web-SKUS'!A:E,2,FALSE),"")</f>
        <v/>
      </c>
      <c r="AF42" s="8">
        <f>_xlfn.NUMBERVALUE(IFERROR(VLOOKUP(AD42,'Web-SKUS'!A:E,4,FALSE),""))</f>
        <v>0</v>
      </c>
      <c r="AG42" s="8">
        <f>IFERROR(VLOOKUP(AD42,VM_Performance_Stats!A:G,7,FALSE),0)</f>
        <v>0</v>
      </c>
      <c r="AH42" s="8" t="str">
        <f>IFERROR(VLOOKUP(AD42,VM_Performance_Stats!A:I,8,FALSE),"")</f>
        <v/>
      </c>
      <c r="AI42" s="8">
        <f t="shared" si="10"/>
        <v>1</v>
      </c>
      <c r="AJ42" s="8">
        <f t="shared" si="11"/>
        <v>0</v>
      </c>
      <c r="AK42" s="8">
        <f>IFERROR(IF(VLOOKUP(AD42,VM_Performance_Stats!A:I,8,FALSE)&gt;AB42,1,0),0)</f>
        <v>0</v>
      </c>
      <c r="AL42" t="str">
        <f>IFERROR(VLOOKUP(AD42,'Web-SKUS'!A:G,7,FALSE),"")</f>
        <v/>
      </c>
      <c r="AM42" s="116" t="str">
        <f t="shared" si="1"/>
        <v/>
      </c>
      <c r="AN42" t="str">
        <f>IFERROR(IF(C42=1,VLOOKUP(K42,'Web-SKUS'!A:G,7,FALSE),VLOOKUP(K42,'Web-SKUS'!A:G,6,FALSE)),"")</f>
        <v>£147.9886/month</v>
      </c>
      <c r="AO42" s="116">
        <f t="shared" si="2"/>
        <v>147.98859999999999</v>
      </c>
      <c r="AP42" s="116">
        <f t="shared" si="12"/>
        <v>147.98859999999999</v>
      </c>
      <c r="AQ42" s="115">
        <f t="shared" si="13"/>
        <v>0</v>
      </c>
      <c r="AR42" s="115">
        <f t="shared" si="14"/>
        <v>0</v>
      </c>
      <c r="AS42" s="115" t="e">
        <f>VLOOKUP(B42,'Willie List'!B:M,12,FALSE)</f>
        <v>#N/A</v>
      </c>
      <c r="AT42" s="115" t="str">
        <f t="shared" si="15"/>
        <v>Standard_DS3_v2</v>
      </c>
      <c r="AU42" s="115" t="str">
        <f t="shared" si="16"/>
        <v>DS3 v2</v>
      </c>
      <c r="AV42">
        <f t="shared" si="17"/>
        <v>0</v>
      </c>
      <c r="AW42" s="8">
        <f t="shared" si="18"/>
        <v>0</v>
      </c>
    </row>
    <row r="43" spans="2:49">
      <c r="B43" t="s">
        <v>245</v>
      </c>
      <c r="C43" s="8">
        <f>IFERROR(IF(VLOOKUP(B43,'Willie List'!B:B,1,FALSE) &lt;&gt; "",1,0),0)</f>
        <v>0</v>
      </c>
      <c r="D43" s="8"/>
      <c r="E43" t="s">
        <v>95</v>
      </c>
      <c r="F43" t="s">
        <v>151</v>
      </c>
      <c r="G43" t="s">
        <v>152</v>
      </c>
      <c r="H43" t="s">
        <v>153</v>
      </c>
      <c r="I43" t="s">
        <v>154</v>
      </c>
      <c r="J43" t="s">
        <v>155</v>
      </c>
      <c r="K43" s="8" t="str">
        <f t="shared" si="3"/>
        <v>DS3 v2</v>
      </c>
      <c r="L43" s="8">
        <f>VLOOKUP(K43,'Web-SKUS'!A:E,2,FALSE)</f>
        <v>4</v>
      </c>
      <c r="M43" s="8" t="str">
        <f>VLOOKUP(K43,'Web-SKUS'!A:E,4,FALSE)</f>
        <v>14</v>
      </c>
      <c r="N43" t="s">
        <v>246</v>
      </c>
      <c r="O43">
        <v>3</v>
      </c>
      <c r="P43" t="s">
        <v>157</v>
      </c>
      <c r="Q43" t="str">
        <f>IFERROR(VLOOKUP(B43,PercentCPU!B:F,4,FALSE),"")</f>
        <v/>
      </c>
      <c r="R43" t="str">
        <f>IFERROR(VLOOKUP(B43,MemoryAvailable!B:F,3,FALSE),"")</f>
        <v/>
      </c>
      <c r="S43" s="2" t="str">
        <f t="shared" si="4"/>
        <v/>
      </c>
      <c r="T43" t="str">
        <f t="shared" si="5"/>
        <v/>
      </c>
      <c r="U43" s="8">
        <f t="shared" si="6"/>
        <v>0</v>
      </c>
      <c r="V43" s="8" t="str">
        <f t="shared" si="7"/>
        <v/>
      </c>
      <c r="W43" s="8" t="str">
        <f>IFERROR(VLOOKUP(B43,Write_Bytes_ps!B:F,4,FALSE)/1024/1024,"")</f>
        <v/>
      </c>
      <c r="X43" s="8" t="str">
        <f>IFERROR(VLOOKUP(B43,Read_Bytes_ps!B:F,4,FALSE)/1024/1024,"")</f>
        <v/>
      </c>
      <c r="Y43" s="8" t="str">
        <f>IFERROR(VLOOKUP(B43,Writes_ps!B:F,5,FALSE),"")</f>
        <v/>
      </c>
      <c r="Z43" s="8" t="str">
        <f>IFERROR(VLOOKUP(B43,Reads_ps!B:F,5,FALSE),"")</f>
        <v/>
      </c>
      <c r="AA43" s="8">
        <f t="shared" si="8"/>
        <v>0</v>
      </c>
      <c r="AB43" s="122">
        <f t="shared" si="19"/>
        <v>0</v>
      </c>
      <c r="AC43" s="122" t="str">
        <f t="shared" si="9"/>
        <v>DS3 v2</v>
      </c>
      <c r="AE43" s="8" t="str">
        <f>IFERROR(VLOOKUP(AD43,'Web-SKUS'!A:E,2,FALSE),"")</f>
        <v/>
      </c>
      <c r="AF43" s="8">
        <f>_xlfn.NUMBERVALUE(IFERROR(VLOOKUP(AD43,'Web-SKUS'!A:E,4,FALSE),""))</f>
        <v>0</v>
      </c>
      <c r="AG43" s="8">
        <f>IFERROR(VLOOKUP(AD43,VM_Performance_Stats!A:G,7,FALSE),0)</f>
        <v>0</v>
      </c>
      <c r="AH43" s="8" t="str">
        <f>IFERROR(VLOOKUP(AD43,VM_Performance_Stats!A:I,8,FALSE),"")</f>
        <v/>
      </c>
      <c r="AI43" s="8">
        <f t="shared" si="10"/>
        <v>1</v>
      </c>
      <c r="AJ43" s="8">
        <f t="shared" si="11"/>
        <v>0</v>
      </c>
      <c r="AK43" s="8">
        <f>IFERROR(IF(VLOOKUP(AD43,VM_Performance_Stats!A:I,8,FALSE)&gt;AB43,1,0),0)</f>
        <v>0</v>
      </c>
      <c r="AL43" t="str">
        <f>IFERROR(VLOOKUP(AD43,'Web-SKUS'!A:G,7,FALSE),"")</f>
        <v/>
      </c>
      <c r="AM43" s="116" t="str">
        <f t="shared" si="1"/>
        <v/>
      </c>
      <c r="AN43" t="str">
        <f>IFERROR(IF(C43=1,VLOOKUP(K43,'Web-SKUS'!A:G,7,FALSE),VLOOKUP(K43,'Web-SKUS'!A:G,6,FALSE)),"")</f>
        <v>£147.9886/month</v>
      </c>
      <c r="AO43" s="116">
        <f t="shared" si="2"/>
        <v>147.98859999999999</v>
      </c>
      <c r="AP43" s="116">
        <f t="shared" si="12"/>
        <v>147.98859999999999</v>
      </c>
      <c r="AQ43" s="115">
        <f t="shared" si="13"/>
        <v>0</v>
      </c>
      <c r="AR43" s="115">
        <f t="shared" si="14"/>
        <v>0</v>
      </c>
      <c r="AS43" s="115" t="e">
        <f>VLOOKUP(B43,'Willie List'!B:M,12,FALSE)</f>
        <v>#N/A</v>
      </c>
      <c r="AT43" s="115" t="str">
        <f t="shared" si="15"/>
        <v>Standard_DS3_v2</v>
      </c>
      <c r="AU43" s="115" t="str">
        <f t="shared" si="16"/>
        <v>DS3 v2</v>
      </c>
      <c r="AV43">
        <f t="shared" si="17"/>
        <v>0</v>
      </c>
      <c r="AW43" s="8">
        <f t="shared" si="18"/>
        <v>0</v>
      </c>
    </row>
    <row r="44" spans="2:49">
      <c r="B44" t="s">
        <v>247</v>
      </c>
      <c r="C44" s="8">
        <f>IFERROR(IF(VLOOKUP(B44,'Willie List'!B:B,1,FALSE) &lt;&gt; "",1,0),0)</f>
        <v>0</v>
      </c>
      <c r="D44" s="8"/>
      <c r="E44" t="s">
        <v>95</v>
      </c>
      <c r="F44" t="s">
        <v>159</v>
      </c>
      <c r="G44" t="s">
        <v>152</v>
      </c>
      <c r="H44" t="s">
        <v>153</v>
      </c>
      <c r="I44" t="s">
        <v>154</v>
      </c>
      <c r="J44" t="s">
        <v>155</v>
      </c>
      <c r="K44" s="8" t="str">
        <f t="shared" si="3"/>
        <v>DS3 v2</v>
      </c>
      <c r="L44" s="8">
        <f>VLOOKUP(K44,'Web-SKUS'!A:E,2,FALSE)</f>
        <v>4</v>
      </c>
      <c r="M44" s="8" t="str">
        <f>VLOOKUP(K44,'Web-SKUS'!A:E,4,FALSE)</f>
        <v>14</v>
      </c>
      <c r="N44" t="s">
        <v>248</v>
      </c>
      <c r="O44">
        <v>3</v>
      </c>
      <c r="P44" t="s">
        <v>157</v>
      </c>
      <c r="Q44" t="str">
        <f>IFERROR(VLOOKUP(B44,PercentCPU!B:F,4,FALSE),"")</f>
        <v/>
      </c>
      <c r="R44" t="str">
        <f>IFERROR(VLOOKUP(B44,MemoryAvailable!B:F,3,FALSE),"")</f>
        <v/>
      </c>
      <c r="S44" s="2" t="str">
        <f t="shared" si="4"/>
        <v/>
      </c>
      <c r="T44" t="str">
        <f t="shared" si="5"/>
        <v/>
      </c>
      <c r="U44" s="8">
        <f t="shared" si="6"/>
        <v>0</v>
      </c>
      <c r="V44" s="8" t="str">
        <f t="shared" si="7"/>
        <v/>
      </c>
      <c r="W44" s="8" t="str">
        <f>IFERROR(VLOOKUP(B44,Write_Bytes_ps!B:F,4,FALSE)/1024/1024,"")</f>
        <v/>
      </c>
      <c r="X44" s="8" t="str">
        <f>IFERROR(VLOOKUP(B44,Read_Bytes_ps!B:F,4,FALSE)/1024/1024,"")</f>
        <v/>
      </c>
      <c r="Y44" s="8" t="str">
        <f>IFERROR(VLOOKUP(B44,Writes_ps!B:F,5,FALSE),"")</f>
        <v/>
      </c>
      <c r="Z44" s="8" t="str">
        <f>IFERROR(VLOOKUP(B44,Reads_ps!B:F,5,FALSE),"")</f>
        <v/>
      </c>
      <c r="AA44" s="8">
        <f t="shared" si="8"/>
        <v>0</v>
      </c>
      <c r="AB44" s="122">
        <f t="shared" si="19"/>
        <v>0</v>
      </c>
      <c r="AC44" s="122" t="str">
        <f t="shared" si="9"/>
        <v>DS3 v2</v>
      </c>
      <c r="AE44" s="8" t="str">
        <f>IFERROR(VLOOKUP(AD44,'Web-SKUS'!A:E,2,FALSE),"")</f>
        <v/>
      </c>
      <c r="AF44" s="8">
        <f>_xlfn.NUMBERVALUE(IFERROR(VLOOKUP(AD44,'Web-SKUS'!A:E,4,FALSE),""))</f>
        <v>0</v>
      </c>
      <c r="AG44" s="8">
        <f>IFERROR(VLOOKUP(AD44,VM_Performance_Stats!A:G,7,FALSE),0)</f>
        <v>0</v>
      </c>
      <c r="AH44" s="8" t="str">
        <f>IFERROR(VLOOKUP(AD44,VM_Performance_Stats!A:I,8,FALSE),"")</f>
        <v/>
      </c>
      <c r="AI44" s="8">
        <f t="shared" si="10"/>
        <v>1</v>
      </c>
      <c r="AJ44" s="8">
        <f t="shared" si="11"/>
        <v>0</v>
      </c>
      <c r="AK44" s="8">
        <f>IFERROR(IF(VLOOKUP(AD44,VM_Performance_Stats!A:I,8,FALSE)&gt;AB44,1,0),0)</f>
        <v>0</v>
      </c>
      <c r="AL44" t="str">
        <f>IFERROR(VLOOKUP(AD44,'Web-SKUS'!A:G,7,FALSE),"")</f>
        <v/>
      </c>
      <c r="AM44" s="116" t="str">
        <f t="shared" si="1"/>
        <v/>
      </c>
      <c r="AN44" t="str">
        <f>IFERROR(IF(C44=1,VLOOKUP(K44,'Web-SKUS'!A:G,7,FALSE),VLOOKUP(K44,'Web-SKUS'!A:G,6,FALSE)),"")</f>
        <v>£147.9886/month</v>
      </c>
      <c r="AO44" s="116">
        <f t="shared" si="2"/>
        <v>147.98859999999999</v>
      </c>
      <c r="AP44" s="116">
        <f t="shared" si="12"/>
        <v>147.98859999999999</v>
      </c>
      <c r="AQ44" s="115">
        <f t="shared" si="13"/>
        <v>0</v>
      </c>
      <c r="AR44" s="115">
        <f t="shared" si="14"/>
        <v>0</v>
      </c>
      <c r="AS44" s="115" t="e">
        <f>VLOOKUP(B44,'Willie List'!B:M,12,FALSE)</f>
        <v>#N/A</v>
      </c>
      <c r="AT44" s="115" t="str">
        <f t="shared" si="15"/>
        <v>Standard_DS3_v2</v>
      </c>
      <c r="AU44" s="115" t="str">
        <f t="shared" si="16"/>
        <v>DS3 v2</v>
      </c>
      <c r="AV44">
        <f t="shared" si="17"/>
        <v>0</v>
      </c>
      <c r="AW44" s="8">
        <f t="shared" si="18"/>
        <v>0</v>
      </c>
    </row>
    <row r="45" spans="2:49">
      <c r="B45" t="s">
        <v>249</v>
      </c>
      <c r="C45" s="8">
        <f>IFERROR(IF(VLOOKUP(B45,'Willie List'!B:B,1,FALSE) &lt;&gt; "",1,0),0)</f>
        <v>0</v>
      </c>
      <c r="D45" s="8"/>
      <c r="E45" t="s">
        <v>99</v>
      </c>
      <c r="F45" t="s">
        <v>162</v>
      </c>
      <c r="G45" t="s">
        <v>152</v>
      </c>
      <c r="H45" t="s">
        <v>153</v>
      </c>
      <c r="I45" t="s">
        <v>154</v>
      </c>
      <c r="J45" t="s">
        <v>155</v>
      </c>
      <c r="K45" s="8" t="str">
        <f t="shared" si="3"/>
        <v>DS3 v2</v>
      </c>
      <c r="L45" s="8">
        <f>VLOOKUP(K45,'Web-SKUS'!A:E,2,FALSE)</f>
        <v>4</v>
      </c>
      <c r="M45" s="8" t="str">
        <f>VLOOKUP(K45,'Web-SKUS'!A:E,4,FALSE)</f>
        <v>14</v>
      </c>
      <c r="N45" t="s">
        <v>250</v>
      </c>
      <c r="O45">
        <v>4</v>
      </c>
      <c r="P45" t="s">
        <v>157</v>
      </c>
      <c r="Q45" t="str">
        <f>IFERROR(VLOOKUP(B45,PercentCPU!B:F,4,FALSE),"")</f>
        <v/>
      </c>
      <c r="R45" t="str">
        <f>IFERROR(VLOOKUP(B45,MemoryAvailable!B:F,3,FALSE),"")</f>
        <v/>
      </c>
      <c r="S45" s="2" t="str">
        <f t="shared" si="4"/>
        <v/>
      </c>
      <c r="T45" t="str">
        <f t="shared" si="5"/>
        <v/>
      </c>
      <c r="U45" s="8">
        <f t="shared" si="6"/>
        <v>0</v>
      </c>
      <c r="V45" s="8" t="str">
        <f t="shared" si="7"/>
        <v/>
      </c>
      <c r="W45" s="8" t="str">
        <f>IFERROR(VLOOKUP(B45,Write_Bytes_ps!B:F,4,FALSE)/1024/1024,"")</f>
        <v/>
      </c>
      <c r="X45" s="8" t="str">
        <f>IFERROR(VLOOKUP(B45,Read_Bytes_ps!B:F,4,FALSE)/1024/1024,"")</f>
        <v/>
      </c>
      <c r="Y45" s="8" t="str">
        <f>IFERROR(VLOOKUP(B45,Writes_ps!B:F,5,FALSE),"")</f>
        <v/>
      </c>
      <c r="Z45" s="8" t="str">
        <f>IFERROR(VLOOKUP(B45,Reads_ps!B:F,5,FALSE),"")</f>
        <v/>
      </c>
      <c r="AA45" s="8">
        <f t="shared" si="8"/>
        <v>0</v>
      </c>
      <c r="AB45" s="122">
        <f t="shared" si="19"/>
        <v>0</v>
      </c>
      <c r="AC45" s="122" t="str">
        <f t="shared" si="9"/>
        <v>DS3 v2</v>
      </c>
      <c r="AE45" s="8" t="str">
        <f>IFERROR(VLOOKUP(AD45,'Web-SKUS'!A:E,2,FALSE),"")</f>
        <v/>
      </c>
      <c r="AF45" s="8">
        <f>_xlfn.NUMBERVALUE(IFERROR(VLOOKUP(AD45,'Web-SKUS'!A:E,4,FALSE),""))</f>
        <v>0</v>
      </c>
      <c r="AG45" s="8">
        <f>IFERROR(VLOOKUP(AD45,VM_Performance_Stats!A:G,7,FALSE),0)</f>
        <v>0</v>
      </c>
      <c r="AH45" s="8" t="str">
        <f>IFERROR(VLOOKUP(AD45,VM_Performance_Stats!A:I,8,FALSE),"")</f>
        <v/>
      </c>
      <c r="AI45" s="8">
        <f t="shared" si="10"/>
        <v>1</v>
      </c>
      <c r="AJ45" s="8">
        <f t="shared" si="11"/>
        <v>0</v>
      </c>
      <c r="AK45" s="8">
        <f>IFERROR(IF(VLOOKUP(AD45,VM_Performance_Stats!A:I,8,FALSE)&gt;AB45,1,0),0)</f>
        <v>0</v>
      </c>
      <c r="AL45" t="str">
        <f>IFERROR(VLOOKUP(AD45,'Web-SKUS'!A:G,7,FALSE),"")</f>
        <v/>
      </c>
      <c r="AM45" s="116" t="str">
        <f t="shared" si="1"/>
        <v/>
      </c>
      <c r="AN45" t="str">
        <f>IFERROR(IF(C45=1,VLOOKUP(K45,'Web-SKUS'!A:G,7,FALSE),VLOOKUP(K45,'Web-SKUS'!A:G,6,FALSE)),"")</f>
        <v>£147.9886/month</v>
      </c>
      <c r="AO45" s="116">
        <f t="shared" si="2"/>
        <v>147.98859999999999</v>
      </c>
      <c r="AP45" s="116">
        <f t="shared" si="12"/>
        <v>147.98859999999999</v>
      </c>
      <c r="AQ45" s="115">
        <f t="shared" si="13"/>
        <v>0</v>
      </c>
      <c r="AR45" s="115">
        <f t="shared" si="14"/>
        <v>0</v>
      </c>
      <c r="AS45" s="115" t="e">
        <f>VLOOKUP(B45,'Willie List'!B:M,12,FALSE)</f>
        <v>#N/A</v>
      </c>
      <c r="AT45" s="115" t="str">
        <f t="shared" si="15"/>
        <v>Standard_DS3_v2</v>
      </c>
      <c r="AU45" s="115" t="str">
        <f t="shared" si="16"/>
        <v>DS3 v2</v>
      </c>
      <c r="AV45">
        <f t="shared" si="17"/>
        <v>0</v>
      </c>
      <c r="AW45" s="8">
        <f t="shared" si="18"/>
        <v>0</v>
      </c>
    </row>
    <row r="46" spans="2:49">
      <c r="B46" t="s">
        <v>251</v>
      </c>
      <c r="C46" s="8">
        <f>IFERROR(IF(VLOOKUP(B46,'Willie List'!B:B,1,FALSE) &lt;&gt; "",1,0),0)</f>
        <v>0</v>
      </c>
      <c r="D46" s="8"/>
      <c r="E46" t="s">
        <v>175</v>
      </c>
      <c r="F46" t="s">
        <v>176</v>
      </c>
      <c r="G46" t="s">
        <v>152</v>
      </c>
      <c r="H46" t="s">
        <v>153</v>
      </c>
      <c r="I46" t="s">
        <v>154</v>
      </c>
      <c r="J46" t="s">
        <v>155</v>
      </c>
      <c r="K46" s="8" t="str">
        <f t="shared" si="3"/>
        <v>DS3 v2</v>
      </c>
      <c r="L46" s="8">
        <f>VLOOKUP(K46,'Web-SKUS'!A:E,2,FALSE)</f>
        <v>4</v>
      </c>
      <c r="M46" s="8" t="str">
        <f>VLOOKUP(K46,'Web-SKUS'!A:E,4,FALSE)</f>
        <v>14</v>
      </c>
      <c r="N46" t="s">
        <v>252</v>
      </c>
      <c r="O46">
        <v>4</v>
      </c>
      <c r="P46" t="s">
        <v>157</v>
      </c>
      <c r="Q46" t="str">
        <f>IFERROR(VLOOKUP(B46,PercentCPU!B:F,4,FALSE),"")</f>
        <v/>
      </c>
      <c r="R46" t="str">
        <f>IFERROR(VLOOKUP(B46,MemoryAvailable!B:F,3,FALSE),"")</f>
        <v/>
      </c>
      <c r="S46" s="2" t="str">
        <f t="shared" si="4"/>
        <v/>
      </c>
      <c r="T46" t="str">
        <f t="shared" si="5"/>
        <v/>
      </c>
      <c r="U46" s="8">
        <f t="shared" si="6"/>
        <v>0</v>
      </c>
      <c r="V46" s="8" t="str">
        <f t="shared" si="7"/>
        <v/>
      </c>
      <c r="W46" s="8" t="str">
        <f>IFERROR(VLOOKUP(B46,Write_Bytes_ps!B:F,4,FALSE)/1024/1024,"")</f>
        <v/>
      </c>
      <c r="X46" s="8" t="str">
        <f>IFERROR(VLOOKUP(B46,Read_Bytes_ps!B:F,4,FALSE)/1024/1024,"")</f>
        <v/>
      </c>
      <c r="Y46" s="8" t="str">
        <f>IFERROR(VLOOKUP(B46,Writes_ps!B:F,5,FALSE),"")</f>
        <v/>
      </c>
      <c r="Z46" s="8" t="str">
        <f>IFERROR(VLOOKUP(B46,Reads_ps!B:F,5,FALSE),"")</f>
        <v/>
      </c>
      <c r="AA46" s="8">
        <f t="shared" si="8"/>
        <v>0</v>
      </c>
      <c r="AB46" s="122">
        <f t="shared" si="19"/>
        <v>0</v>
      </c>
      <c r="AC46" s="122" t="str">
        <f t="shared" si="9"/>
        <v>DS3 v2</v>
      </c>
      <c r="AE46" s="8" t="str">
        <f>IFERROR(VLOOKUP(AD46,'Web-SKUS'!A:E,2,FALSE),"")</f>
        <v/>
      </c>
      <c r="AF46" s="8">
        <f>_xlfn.NUMBERVALUE(IFERROR(VLOOKUP(AD46,'Web-SKUS'!A:E,4,FALSE),""))</f>
        <v>0</v>
      </c>
      <c r="AG46" s="8">
        <f>IFERROR(VLOOKUP(AD46,VM_Performance_Stats!A:G,7,FALSE),0)</f>
        <v>0</v>
      </c>
      <c r="AH46" s="8" t="str">
        <f>IFERROR(VLOOKUP(AD46,VM_Performance_Stats!A:I,8,FALSE),"")</f>
        <v/>
      </c>
      <c r="AI46" s="8">
        <f t="shared" si="10"/>
        <v>1</v>
      </c>
      <c r="AJ46" s="8">
        <f t="shared" si="11"/>
        <v>0</v>
      </c>
      <c r="AK46" s="8">
        <f>IFERROR(IF(VLOOKUP(AD46,VM_Performance_Stats!A:I,8,FALSE)&gt;AB46,1,0),0)</f>
        <v>0</v>
      </c>
      <c r="AL46" t="str">
        <f>IFERROR(VLOOKUP(AD46,'Web-SKUS'!A:G,7,FALSE),"")</f>
        <v/>
      </c>
      <c r="AM46" s="116" t="str">
        <f t="shared" si="1"/>
        <v/>
      </c>
      <c r="AN46" t="str">
        <f>IFERROR(IF(C46=1,VLOOKUP(K46,'Web-SKUS'!A:G,7,FALSE),VLOOKUP(K46,'Web-SKUS'!A:G,6,FALSE)),"")</f>
        <v>£147.9886/month</v>
      </c>
      <c r="AO46" s="116">
        <f t="shared" si="2"/>
        <v>147.98859999999999</v>
      </c>
      <c r="AP46" s="116">
        <f t="shared" si="12"/>
        <v>147.98859999999999</v>
      </c>
      <c r="AQ46" s="115">
        <f t="shared" si="13"/>
        <v>0</v>
      </c>
      <c r="AR46" s="115">
        <f t="shared" si="14"/>
        <v>0</v>
      </c>
      <c r="AS46" s="115" t="e">
        <f>VLOOKUP(B46,'Willie List'!B:M,12,FALSE)</f>
        <v>#N/A</v>
      </c>
      <c r="AT46" s="115" t="str">
        <f t="shared" si="15"/>
        <v>Standard_DS3_v2</v>
      </c>
      <c r="AU46" s="115" t="str">
        <f t="shared" si="16"/>
        <v>DS3 v2</v>
      </c>
      <c r="AV46">
        <f t="shared" si="17"/>
        <v>0</v>
      </c>
      <c r="AW46" s="8">
        <f t="shared" si="18"/>
        <v>0</v>
      </c>
    </row>
    <row r="47" spans="2:49">
      <c r="B47" t="s">
        <v>253</v>
      </c>
      <c r="C47" s="8">
        <f>IFERROR(IF(VLOOKUP(B47,'Willie List'!B:B,1,FALSE) &lt;&gt; "",1,0),0)</f>
        <v>0</v>
      </c>
      <c r="D47" s="8"/>
      <c r="E47" t="s">
        <v>95</v>
      </c>
      <c r="F47" t="s">
        <v>159</v>
      </c>
      <c r="G47" t="s">
        <v>152</v>
      </c>
      <c r="H47" t="s">
        <v>153</v>
      </c>
      <c r="I47" t="s">
        <v>154</v>
      </c>
      <c r="J47" t="s">
        <v>155</v>
      </c>
      <c r="K47" s="8" t="str">
        <f t="shared" si="3"/>
        <v>DS3 v2</v>
      </c>
      <c r="L47" s="8">
        <f>VLOOKUP(K47,'Web-SKUS'!A:E,2,FALSE)</f>
        <v>4</v>
      </c>
      <c r="M47" s="8" t="str">
        <f>VLOOKUP(K47,'Web-SKUS'!A:E,4,FALSE)</f>
        <v>14</v>
      </c>
      <c r="N47" t="s">
        <v>254</v>
      </c>
      <c r="O47">
        <v>4</v>
      </c>
      <c r="P47" t="s">
        <v>157</v>
      </c>
      <c r="Q47" t="str">
        <f>IFERROR(VLOOKUP(B47,PercentCPU!B:F,4,FALSE),"")</f>
        <v/>
      </c>
      <c r="R47" t="str">
        <f>IFERROR(VLOOKUP(B47,MemoryAvailable!B:F,3,FALSE),"")</f>
        <v/>
      </c>
      <c r="S47" s="2" t="str">
        <f t="shared" si="4"/>
        <v/>
      </c>
      <c r="T47" t="str">
        <f t="shared" si="5"/>
        <v/>
      </c>
      <c r="U47" s="8">
        <f t="shared" si="6"/>
        <v>0</v>
      </c>
      <c r="V47" s="8" t="str">
        <f t="shared" si="7"/>
        <v/>
      </c>
      <c r="W47" s="8" t="str">
        <f>IFERROR(VLOOKUP(B47,Write_Bytes_ps!B:F,4,FALSE)/1024/1024,"")</f>
        <v/>
      </c>
      <c r="X47" s="8" t="str">
        <f>IFERROR(VLOOKUP(B47,Read_Bytes_ps!B:F,4,FALSE)/1024/1024,"")</f>
        <v/>
      </c>
      <c r="Y47" s="8" t="str">
        <f>IFERROR(VLOOKUP(B47,Writes_ps!B:F,5,FALSE),"")</f>
        <v/>
      </c>
      <c r="Z47" s="8" t="str">
        <f>IFERROR(VLOOKUP(B47,Reads_ps!B:F,5,FALSE),"")</f>
        <v/>
      </c>
      <c r="AA47" s="8">
        <f t="shared" si="8"/>
        <v>0</v>
      </c>
      <c r="AB47" s="122">
        <f t="shared" si="19"/>
        <v>0</v>
      </c>
      <c r="AC47" s="122" t="str">
        <f t="shared" si="9"/>
        <v>DS3 v2</v>
      </c>
      <c r="AE47" s="8" t="str">
        <f>IFERROR(VLOOKUP(AD47,'Web-SKUS'!A:E,2,FALSE),"")</f>
        <v/>
      </c>
      <c r="AF47" s="8">
        <f>_xlfn.NUMBERVALUE(IFERROR(VLOOKUP(AD47,'Web-SKUS'!A:E,4,FALSE),""))</f>
        <v>0</v>
      </c>
      <c r="AG47" s="8">
        <f>IFERROR(VLOOKUP(AD47,VM_Performance_Stats!A:G,7,FALSE),0)</f>
        <v>0</v>
      </c>
      <c r="AH47" s="8" t="str">
        <f>IFERROR(VLOOKUP(AD47,VM_Performance_Stats!A:I,8,FALSE),"")</f>
        <v/>
      </c>
      <c r="AI47" s="8">
        <f t="shared" si="10"/>
        <v>1</v>
      </c>
      <c r="AJ47" s="8">
        <f t="shared" si="11"/>
        <v>0</v>
      </c>
      <c r="AK47" s="8">
        <f>IFERROR(IF(VLOOKUP(AD47,VM_Performance_Stats!A:I,8,FALSE)&gt;AB47,1,0),0)</f>
        <v>0</v>
      </c>
      <c r="AL47" t="str">
        <f>IFERROR(VLOOKUP(AD47,'Web-SKUS'!A:G,7,FALSE),"")</f>
        <v/>
      </c>
      <c r="AM47" s="116" t="str">
        <f t="shared" si="1"/>
        <v/>
      </c>
      <c r="AN47" t="str">
        <f>IFERROR(IF(C47=1,VLOOKUP(K47,'Web-SKUS'!A:G,7,FALSE),VLOOKUP(K47,'Web-SKUS'!A:G,6,FALSE)),"")</f>
        <v>£147.9886/month</v>
      </c>
      <c r="AO47" s="116">
        <f t="shared" si="2"/>
        <v>147.98859999999999</v>
      </c>
      <c r="AP47" s="116">
        <f t="shared" si="12"/>
        <v>147.98859999999999</v>
      </c>
      <c r="AQ47" s="115">
        <f t="shared" si="13"/>
        <v>0</v>
      </c>
      <c r="AR47" s="115">
        <f t="shared" si="14"/>
        <v>0</v>
      </c>
      <c r="AS47" s="115" t="e">
        <f>VLOOKUP(B47,'Willie List'!B:M,12,FALSE)</f>
        <v>#N/A</v>
      </c>
      <c r="AT47" s="115" t="str">
        <f t="shared" si="15"/>
        <v>Standard_DS3_v2</v>
      </c>
      <c r="AU47" s="115" t="str">
        <f t="shared" si="16"/>
        <v>DS3 v2</v>
      </c>
      <c r="AV47">
        <f t="shared" si="17"/>
        <v>0</v>
      </c>
      <c r="AW47" s="8">
        <f t="shared" si="18"/>
        <v>0</v>
      </c>
    </row>
    <row r="48" spans="2:49">
      <c r="B48" t="s">
        <v>255</v>
      </c>
      <c r="C48" s="8">
        <f>IFERROR(IF(VLOOKUP(B48,'Willie List'!B:B,1,FALSE) &lt;&gt; "",1,0),0)</f>
        <v>0</v>
      </c>
      <c r="D48" s="8"/>
      <c r="E48" t="s">
        <v>95</v>
      </c>
      <c r="F48" t="s">
        <v>159</v>
      </c>
      <c r="G48" t="s">
        <v>152</v>
      </c>
      <c r="H48" t="s">
        <v>153</v>
      </c>
      <c r="I48" t="s">
        <v>154</v>
      </c>
      <c r="J48" t="s">
        <v>155</v>
      </c>
      <c r="K48" s="8" t="str">
        <f t="shared" si="3"/>
        <v>DS3 v2</v>
      </c>
      <c r="L48" s="8">
        <f>VLOOKUP(K48,'Web-SKUS'!A:E,2,FALSE)</f>
        <v>4</v>
      </c>
      <c r="M48" s="8" t="str">
        <f>VLOOKUP(K48,'Web-SKUS'!A:E,4,FALSE)</f>
        <v>14</v>
      </c>
      <c r="N48" t="s">
        <v>256</v>
      </c>
      <c r="O48">
        <v>9</v>
      </c>
      <c r="P48" t="s">
        <v>157</v>
      </c>
      <c r="Q48" t="str">
        <f>IFERROR(VLOOKUP(B48,PercentCPU!B:F,4,FALSE),"")</f>
        <v/>
      </c>
      <c r="R48" t="str">
        <f>IFERROR(VLOOKUP(B48,MemoryAvailable!B:F,3,FALSE),"")</f>
        <v/>
      </c>
      <c r="S48" s="2" t="str">
        <f t="shared" si="4"/>
        <v/>
      </c>
      <c r="T48" t="str">
        <f t="shared" si="5"/>
        <v/>
      </c>
      <c r="U48" s="8">
        <f t="shared" si="6"/>
        <v>0</v>
      </c>
      <c r="V48" s="8" t="str">
        <f t="shared" si="7"/>
        <v/>
      </c>
      <c r="W48" s="8" t="str">
        <f>IFERROR(VLOOKUP(B48,Write_Bytes_ps!B:F,4,FALSE)/1024/1024,"")</f>
        <v/>
      </c>
      <c r="X48" s="8" t="str">
        <f>IFERROR(VLOOKUP(B48,Read_Bytes_ps!B:F,4,FALSE)/1024/1024,"")</f>
        <v/>
      </c>
      <c r="Y48" s="8" t="str">
        <f>IFERROR(VLOOKUP(B48,Writes_ps!B:F,5,FALSE),"")</f>
        <v/>
      </c>
      <c r="Z48" s="8" t="str">
        <f>IFERROR(VLOOKUP(B48,Reads_ps!B:F,5,FALSE),"")</f>
        <v/>
      </c>
      <c r="AA48" s="8">
        <f t="shared" si="8"/>
        <v>0</v>
      </c>
      <c r="AB48" s="122">
        <f t="shared" si="19"/>
        <v>0</v>
      </c>
      <c r="AC48" s="122" t="str">
        <f t="shared" si="9"/>
        <v>DS3 v2</v>
      </c>
      <c r="AE48" s="8" t="str">
        <f>IFERROR(VLOOKUP(AD48,'Web-SKUS'!A:E,2,FALSE),"")</f>
        <v/>
      </c>
      <c r="AF48" s="8">
        <f>_xlfn.NUMBERVALUE(IFERROR(VLOOKUP(AD48,'Web-SKUS'!A:E,4,FALSE),""))</f>
        <v>0</v>
      </c>
      <c r="AG48" s="8">
        <f>IFERROR(VLOOKUP(AD48,VM_Performance_Stats!A:G,7,FALSE),0)</f>
        <v>0</v>
      </c>
      <c r="AH48" s="8" t="str">
        <f>IFERROR(VLOOKUP(AD48,VM_Performance_Stats!A:I,8,FALSE),"")</f>
        <v/>
      </c>
      <c r="AI48" s="8">
        <f t="shared" si="10"/>
        <v>1</v>
      </c>
      <c r="AJ48" s="8">
        <f t="shared" si="11"/>
        <v>0</v>
      </c>
      <c r="AK48" s="8">
        <f>IFERROR(IF(VLOOKUP(AD48,VM_Performance_Stats!A:I,8,FALSE)&gt;AB48,1,0),0)</f>
        <v>0</v>
      </c>
      <c r="AL48" t="str">
        <f>IFERROR(VLOOKUP(AD48,'Web-SKUS'!A:G,7,FALSE),"")</f>
        <v/>
      </c>
      <c r="AM48" s="116" t="str">
        <f t="shared" si="1"/>
        <v/>
      </c>
      <c r="AN48" t="str">
        <f>IFERROR(IF(C48=1,VLOOKUP(K48,'Web-SKUS'!A:G,7,FALSE),VLOOKUP(K48,'Web-SKUS'!A:G,6,FALSE)),"")</f>
        <v>£147.9886/month</v>
      </c>
      <c r="AO48" s="116">
        <f t="shared" si="2"/>
        <v>147.98859999999999</v>
      </c>
      <c r="AP48" s="116">
        <f t="shared" si="12"/>
        <v>147.98859999999999</v>
      </c>
      <c r="AQ48" s="115">
        <f t="shared" si="13"/>
        <v>0</v>
      </c>
      <c r="AR48" s="115">
        <f t="shared" si="14"/>
        <v>0</v>
      </c>
      <c r="AS48" s="115" t="e">
        <f>VLOOKUP(B48,'Willie List'!B:M,12,FALSE)</f>
        <v>#N/A</v>
      </c>
      <c r="AT48" s="115" t="str">
        <f t="shared" si="15"/>
        <v>Standard_DS3_v2</v>
      </c>
      <c r="AU48" s="115" t="str">
        <f t="shared" si="16"/>
        <v>DS3 v2</v>
      </c>
      <c r="AV48">
        <f t="shared" si="17"/>
        <v>0</v>
      </c>
      <c r="AW48" s="8">
        <f t="shared" si="18"/>
        <v>0</v>
      </c>
    </row>
    <row r="49" spans="2:49">
      <c r="B49" t="s">
        <v>257</v>
      </c>
      <c r="C49" s="8">
        <f>IFERROR(IF(VLOOKUP(B49,'Willie List'!B:B,1,FALSE) &lt;&gt; "",1,0),0)</f>
        <v>0</v>
      </c>
      <c r="D49" s="8"/>
      <c r="E49" t="s">
        <v>95</v>
      </c>
      <c r="F49" t="s">
        <v>151</v>
      </c>
      <c r="G49" t="s">
        <v>152</v>
      </c>
      <c r="H49" t="s">
        <v>153</v>
      </c>
      <c r="I49" t="s">
        <v>154</v>
      </c>
      <c r="J49" t="s">
        <v>155</v>
      </c>
      <c r="K49" s="8" t="str">
        <f t="shared" si="3"/>
        <v>DS3 v2</v>
      </c>
      <c r="L49" s="8">
        <f>VLOOKUP(K49,'Web-SKUS'!A:E,2,FALSE)</f>
        <v>4</v>
      </c>
      <c r="M49" s="8" t="str">
        <f>VLOOKUP(K49,'Web-SKUS'!A:E,4,FALSE)</f>
        <v>14</v>
      </c>
      <c r="N49" t="s">
        <v>258</v>
      </c>
      <c r="O49">
        <v>3</v>
      </c>
      <c r="P49" t="s">
        <v>157</v>
      </c>
      <c r="Q49" t="str">
        <f>IFERROR(VLOOKUP(B49,PercentCPU!B:F,4,FALSE),"")</f>
        <v/>
      </c>
      <c r="R49" t="str">
        <f>IFERROR(VLOOKUP(B49,MemoryAvailable!B:F,3,FALSE),"")</f>
        <v/>
      </c>
      <c r="S49" s="2" t="str">
        <f t="shared" si="4"/>
        <v/>
      </c>
      <c r="T49" t="str">
        <f t="shared" si="5"/>
        <v/>
      </c>
      <c r="U49" s="8">
        <f t="shared" si="6"/>
        <v>0</v>
      </c>
      <c r="V49" s="8" t="str">
        <f t="shared" si="7"/>
        <v/>
      </c>
      <c r="W49" s="8" t="str">
        <f>IFERROR(VLOOKUP(B49,Write_Bytes_ps!B:F,4,FALSE)/1024/1024,"")</f>
        <v/>
      </c>
      <c r="X49" s="8" t="str">
        <f>IFERROR(VLOOKUP(B49,Read_Bytes_ps!B:F,4,FALSE)/1024/1024,"")</f>
        <v/>
      </c>
      <c r="Y49" s="8" t="str">
        <f>IFERROR(VLOOKUP(B49,Writes_ps!B:F,5,FALSE),"")</f>
        <v/>
      </c>
      <c r="Z49" s="8" t="str">
        <f>IFERROR(VLOOKUP(B49,Reads_ps!B:F,5,FALSE),"")</f>
        <v/>
      </c>
      <c r="AA49" s="8">
        <f t="shared" si="8"/>
        <v>0</v>
      </c>
      <c r="AB49" s="122">
        <f t="shared" si="19"/>
        <v>0</v>
      </c>
      <c r="AC49" s="122" t="str">
        <f t="shared" si="9"/>
        <v>DS3 v2</v>
      </c>
      <c r="AE49" s="8" t="str">
        <f>IFERROR(VLOOKUP(AD49,'Web-SKUS'!A:E,2,FALSE),"")</f>
        <v/>
      </c>
      <c r="AF49" s="8">
        <f>_xlfn.NUMBERVALUE(IFERROR(VLOOKUP(AD49,'Web-SKUS'!A:E,4,FALSE),""))</f>
        <v>0</v>
      </c>
      <c r="AG49" s="8">
        <f>IFERROR(VLOOKUP(AD49,VM_Performance_Stats!A:G,7,FALSE),0)</f>
        <v>0</v>
      </c>
      <c r="AH49" s="8" t="str">
        <f>IFERROR(VLOOKUP(AD49,VM_Performance_Stats!A:I,8,FALSE),"")</f>
        <v/>
      </c>
      <c r="AI49" s="8">
        <f t="shared" si="10"/>
        <v>1</v>
      </c>
      <c r="AJ49" s="8">
        <f t="shared" si="11"/>
        <v>0</v>
      </c>
      <c r="AK49" s="8">
        <f>IFERROR(IF(VLOOKUP(AD49,VM_Performance_Stats!A:I,8,FALSE)&gt;AB49,1,0),0)</f>
        <v>0</v>
      </c>
      <c r="AL49" t="str">
        <f>IFERROR(VLOOKUP(AD49,'Web-SKUS'!A:G,7,FALSE),"")</f>
        <v/>
      </c>
      <c r="AM49" s="116" t="str">
        <f t="shared" si="1"/>
        <v/>
      </c>
      <c r="AN49" t="str">
        <f>IFERROR(IF(C49=1,VLOOKUP(K49,'Web-SKUS'!A:G,7,FALSE),VLOOKUP(K49,'Web-SKUS'!A:G,6,FALSE)),"")</f>
        <v>£147.9886/month</v>
      </c>
      <c r="AO49" s="116">
        <f t="shared" si="2"/>
        <v>147.98859999999999</v>
      </c>
      <c r="AP49" s="116">
        <f t="shared" si="12"/>
        <v>147.98859999999999</v>
      </c>
      <c r="AQ49" s="115">
        <f t="shared" si="13"/>
        <v>0</v>
      </c>
      <c r="AR49" s="115">
        <f t="shared" si="14"/>
        <v>0</v>
      </c>
      <c r="AS49" s="115" t="e">
        <f>VLOOKUP(B49,'Willie List'!B:M,12,FALSE)</f>
        <v>#N/A</v>
      </c>
      <c r="AT49" s="115" t="str">
        <f t="shared" si="15"/>
        <v>Standard_DS3_v2</v>
      </c>
      <c r="AU49" s="115" t="str">
        <f t="shared" si="16"/>
        <v>DS3 v2</v>
      </c>
      <c r="AV49">
        <f t="shared" si="17"/>
        <v>0</v>
      </c>
      <c r="AW49" s="8">
        <f t="shared" si="18"/>
        <v>0</v>
      </c>
    </row>
    <row r="50" spans="2:49">
      <c r="B50" t="s">
        <v>259</v>
      </c>
      <c r="C50" s="8">
        <f>IFERROR(IF(VLOOKUP(B50,'Willie List'!B:B,1,FALSE) &lt;&gt; "",1,0),0)</f>
        <v>0</v>
      </c>
      <c r="D50" s="8"/>
      <c r="E50" t="s">
        <v>99</v>
      </c>
      <c r="F50" t="s">
        <v>162</v>
      </c>
      <c r="G50" t="s">
        <v>152</v>
      </c>
      <c r="H50" t="s">
        <v>153</v>
      </c>
      <c r="I50" t="s">
        <v>154</v>
      </c>
      <c r="J50" t="s">
        <v>155</v>
      </c>
      <c r="K50" s="8" t="str">
        <f t="shared" si="3"/>
        <v>DS3 v2</v>
      </c>
      <c r="L50" s="8">
        <f>VLOOKUP(K50,'Web-SKUS'!A:E,2,FALSE)</f>
        <v>4</v>
      </c>
      <c r="M50" s="8" t="str">
        <f>VLOOKUP(K50,'Web-SKUS'!A:E,4,FALSE)</f>
        <v>14</v>
      </c>
      <c r="N50" t="s">
        <v>260</v>
      </c>
      <c r="O50">
        <v>3</v>
      </c>
      <c r="P50" t="s">
        <v>157</v>
      </c>
      <c r="Q50" t="str">
        <f>IFERROR(VLOOKUP(B50,PercentCPU!B:F,4,FALSE),"")</f>
        <v/>
      </c>
      <c r="R50" t="str">
        <f>IFERROR(VLOOKUP(B50,MemoryAvailable!B:F,3,FALSE),"")</f>
        <v/>
      </c>
      <c r="S50" s="2" t="str">
        <f t="shared" si="4"/>
        <v/>
      </c>
      <c r="T50" t="str">
        <f t="shared" si="5"/>
        <v/>
      </c>
      <c r="U50" s="8">
        <f t="shared" si="6"/>
        <v>0</v>
      </c>
      <c r="V50" s="8" t="str">
        <f t="shared" si="7"/>
        <v/>
      </c>
      <c r="W50" s="8" t="str">
        <f>IFERROR(VLOOKUP(B50,Write_Bytes_ps!B:F,4,FALSE)/1024/1024,"")</f>
        <v/>
      </c>
      <c r="X50" s="8" t="str">
        <f>IFERROR(VLOOKUP(B50,Read_Bytes_ps!B:F,4,FALSE)/1024/1024,"")</f>
        <v/>
      </c>
      <c r="Y50" s="8" t="str">
        <f>IFERROR(VLOOKUP(B50,Writes_ps!B:F,5,FALSE),"")</f>
        <v/>
      </c>
      <c r="Z50" s="8" t="str">
        <f>IFERROR(VLOOKUP(B50,Reads_ps!B:F,5,FALSE),"")</f>
        <v/>
      </c>
      <c r="AA50" s="8">
        <f t="shared" si="8"/>
        <v>0</v>
      </c>
      <c r="AB50" s="122">
        <f t="shared" si="19"/>
        <v>0</v>
      </c>
      <c r="AC50" s="122" t="str">
        <f t="shared" si="9"/>
        <v>DS3 v2</v>
      </c>
      <c r="AE50" s="8" t="str">
        <f>IFERROR(VLOOKUP(AD50,'Web-SKUS'!A:E,2,FALSE),"")</f>
        <v/>
      </c>
      <c r="AF50" s="8">
        <f>_xlfn.NUMBERVALUE(IFERROR(VLOOKUP(AD50,'Web-SKUS'!A:E,4,FALSE),""))</f>
        <v>0</v>
      </c>
      <c r="AG50" s="8">
        <f>IFERROR(VLOOKUP(AD50,VM_Performance_Stats!A:G,7,FALSE),0)</f>
        <v>0</v>
      </c>
      <c r="AH50" s="8" t="str">
        <f>IFERROR(VLOOKUP(AD50,VM_Performance_Stats!A:I,8,FALSE),"")</f>
        <v/>
      </c>
      <c r="AI50" s="8">
        <f t="shared" si="10"/>
        <v>1</v>
      </c>
      <c r="AJ50" s="8">
        <f t="shared" si="11"/>
        <v>0</v>
      </c>
      <c r="AK50" s="8">
        <f>IFERROR(IF(VLOOKUP(AD50,VM_Performance_Stats!A:I,8,FALSE)&gt;AB50,1,0),0)</f>
        <v>0</v>
      </c>
      <c r="AL50" t="str">
        <f>IFERROR(VLOOKUP(AD50,'Web-SKUS'!A:G,7,FALSE),"")</f>
        <v/>
      </c>
      <c r="AM50" s="116" t="str">
        <f t="shared" si="1"/>
        <v/>
      </c>
      <c r="AN50" t="str">
        <f>IFERROR(IF(C50=1,VLOOKUP(K50,'Web-SKUS'!A:G,7,FALSE),VLOOKUP(K50,'Web-SKUS'!A:G,6,FALSE)),"")</f>
        <v>£147.9886/month</v>
      </c>
      <c r="AO50" s="116">
        <f t="shared" si="2"/>
        <v>147.98859999999999</v>
      </c>
      <c r="AP50" s="116">
        <f t="shared" si="12"/>
        <v>147.98859999999999</v>
      </c>
      <c r="AQ50" s="115">
        <f t="shared" si="13"/>
        <v>0</v>
      </c>
      <c r="AR50" s="115">
        <f t="shared" si="14"/>
        <v>0</v>
      </c>
      <c r="AS50" s="115" t="e">
        <f>VLOOKUP(B50,'Willie List'!B:M,12,FALSE)</f>
        <v>#N/A</v>
      </c>
      <c r="AT50" s="115" t="str">
        <f t="shared" si="15"/>
        <v>Standard_DS3_v2</v>
      </c>
      <c r="AU50" s="115" t="str">
        <f t="shared" si="16"/>
        <v>DS3 v2</v>
      </c>
      <c r="AV50">
        <f t="shared" si="17"/>
        <v>0</v>
      </c>
      <c r="AW50" s="8">
        <f t="shared" si="18"/>
        <v>0</v>
      </c>
    </row>
    <row r="51" spans="2:49">
      <c r="B51" t="s">
        <v>261</v>
      </c>
      <c r="C51" s="8">
        <f>IFERROR(IF(VLOOKUP(B51,'Willie List'!B:B,1,FALSE) &lt;&gt; "",1,0),0)</f>
        <v>0</v>
      </c>
      <c r="D51" s="8"/>
      <c r="E51" t="s">
        <v>95</v>
      </c>
      <c r="F51" t="s">
        <v>151</v>
      </c>
      <c r="G51" t="s">
        <v>152</v>
      </c>
      <c r="H51" t="s">
        <v>153</v>
      </c>
      <c r="I51" t="s">
        <v>154</v>
      </c>
      <c r="J51" t="s">
        <v>155</v>
      </c>
      <c r="K51" s="8" t="str">
        <f t="shared" si="3"/>
        <v>DS3 v2</v>
      </c>
      <c r="L51" s="8">
        <f>VLOOKUP(K51,'Web-SKUS'!A:E,2,FALSE)</f>
        <v>4</v>
      </c>
      <c r="M51" s="8" t="str">
        <f>VLOOKUP(K51,'Web-SKUS'!A:E,4,FALSE)</f>
        <v>14</v>
      </c>
      <c r="N51" t="s">
        <v>262</v>
      </c>
      <c r="O51">
        <v>3</v>
      </c>
      <c r="P51" t="s">
        <v>157</v>
      </c>
      <c r="Q51" t="str">
        <f>IFERROR(VLOOKUP(B51,PercentCPU!B:F,4,FALSE),"")</f>
        <v/>
      </c>
      <c r="R51" t="str">
        <f>IFERROR(VLOOKUP(B51,MemoryAvailable!B:F,3,FALSE),"")</f>
        <v/>
      </c>
      <c r="S51" s="2" t="str">
        <f t="shared" si="4"/>
        <v/>
      </c>
      <c r="T51" t="str">
        <f t="shared" si="5"/>
        <v/>
      </c>
      <c r="U51" s="8">
        <f t="shared" si="6"/>
        <v>0</v>
      </c>
      <c r="V51" s="8" t="str">
        <f t="shared" si="7"/>
        <v/>
      </c>
      <c r="W51" s="8" t="str">
        <f>IFERROR(VLOOKUP(B51,Write_Bytes_ps!B:F,4,FALSE)/1024/1024,"")</f>
        <v/>
      </c>
      <c r="X51" s="8" t="str">
        <f>IFERROR(VLOOKUP(B51,Read_Bytes_ps!B:F,4,FALSE)/1024/1024,"")</f>
        <v/>
      </c>
      <c r="Y51" s="8" t="str">
        <f>IFERROR(VLOOKUP(B51,Writes_ps!B:F,5,FALSE),"")</f>
        <v/>
      </c>
      <c r="Z51" s="8" t="str">
        <f>IFERROR(VLOOKUP(B51,Reads_ps!B:F,5,FALSE),"")</f>
        <v/>
      </c>
      <c r="AA51" s="8">
        <f t="shared" si="8"/>
        <v>0</v>
      </c>
      <c r="AB51" s="122">
        <f t="shared" si="19"/>
        <v>0</v>
      </c>
      <c r="AC51" s="122" t="str">
        <f t="shared" si="9"/>
        <v>DS3 v2</v>
      </c>
      <c r="AE51" s="8" t="str">
        <f>IFERROR(VLOOKUP(AD51,'Web-SKUS'!A:E,2,FALSE),"")</f>
        <v/>
      </c>
      <c r="AF51" s="8">
        <f>_xlfn.NUMBERVALUE(IFERROR(VLOOKUP(AD51,'Web-SKUS'!A:E,4,FALSE),""))</f>
        <v>0</v>
      </c>
      <c r="AG51" s="8">
        <f>IFERROR(VLOOKUP(AD51,VM_Performance_Stats!A:G,7,FALSE),0)</f>
        <v>0</v>
      </c>
      <c r="AH51" s="8" t="str">
        <f>IFERROR(VLOOKUP(AD51,VM_Performance_Stats!A:I,8,FALSE),"")</f>
        <v/>
      </c>
      <c r="AI51" s="8">
        <f t="shared" si="10"/>
        <v>1</v>
      </c>
      <c r="AJ51" s="8">
        <f t="shared" si="11"/>
        <v>0</v>
      </c>
      <c r="AK51" s="8">
        <f>IFERROR(IF(VLOOKUP(AD51,VM_Performance_Stats!A:I,8,FALSE)&gt;AB51,1,0),0)</f>
        <v>0</v>
      </c>
      <c r="AL51" t="str">
        <f>IFERROR(VLOOKUP(AD51,'Web-SKUS'!A:G,7,FALSE),"")</f>
        <v/>
      </c>
      <c r="AM51" s="116" t="str">
        <f t="shared" si="1"/>
        <v/>
      </c>
      <c r="AN51" t="str">
        <f>IFERROR(IF(C51=1,VLOOKUP(K51,'Web-SKUS'!A:G,7,FALSE),VLOOKUP(K51,'Web-SKUS'!A:G,6,FALSE)),"")</f>
        <v>£147.9886/month</v>
      </c>
      <c r="AO51" s="116">
        <f t="shared" si="2"/>
        <v>147.98859999999999</v>
      </c>
      <c r="AP51" s="116">
        <f t="shared" si="12"/>
        <v>147.98859999999999</v>
      </c>
      <c r="AQ51" s="115">
        <f t="shared" si="13"/>
        <v>0</v>
      </c>
      <c r="AR51" s="115">
        <f t="shared" si="14"/>
        <v>0</v>
      </c>
      <c r="AS51" s="115" t="e">
        <f>VLOOKUP(B51,'Willie List'!B:M,12,FALSE)</f>
        <v>#N/A</v>
      </c>
      <c r="AT51" s="115" t="str">
        <f t="shared" si="15"/>
        <v>Standard_DS3_v2</v>
      </c>
      <c r="AU51" s="115" t="str">
        <f t="shared" si="16"/>
        <v>DS3 v2</v>
      </c>
      <c r="AV51">
        <f t="shared" si="17"/>
        <v>0</v>
      </c>
      <c r="AW51" s="8">
        <f t="shared" si="18"/>
        <v>0</v>
      </c>
    </row>
    <row r="52" spans="2:49">
      <c r="B52" t="s">
        <v>263</v>
      </c>
      <c r="C52" s="8">
        <f>IFERROR(IF(VLOOKUP(B52,'Willie List'!B:B,1,FALSE) &lt;&gt; "",1,0),0)</f>
        <v>0</v>
      </c>
      <c r="D52" s="8"/>
      <c r="E52" t="s">
        <v>95</v>
      </c>
      <c r="F52" t="s">
        <v>159</v>
      </c>
      <c r="G52" t="s">
        <v>152</v>
      </c>
      <c r="H52" t="s">
        <v>153</v>
      </c>
      <c r="I52" t="s">
        <v>154</v>
      </c>
      <c r="J52" t="s">
        <v>155</v>
      </c>
      <c r="K52" s="8" t="str">
        <f t="shared" si="3"/>
        <v>DS3 v2</v>
      </c>
      <c r="L52" s="8">
        <f>VLOOKUP(K52,'Web-SKUS'!A:E,2,FALSE)</f>
        <v>4</v>
      </c>
      <c r="M52" s="8" t="str">
        <f>VLOOKUP(K52,'Web-SKUS'!A:E,4,FALSE)</f>
        <v>14</v>
      </c>
      <c r="N52" t="s">
        <v>264</v>
      </c>
      <c r="O52">
        <v>4</v>
      </c>
      <c r="P52" t="s">
        <v>157</v>
      </c>
      <c r="Q52" t="str">
        <f>IFERROR(VLOOKUP(B52,PercentCPU!B:F,4,FALSE),"")</f>
        <v/>
      </c>
      <c r="R52" t="str">
        <f>IFERROR(VLOOKUP(B52,MemoryAvailable!B:F,3,FALSE),"")</f>
        <v/>
      </c>
      <c r="S52" s="2" t="str">
        <f t="shared" si="4"/>
        <v/>
      </c>
      <c r="T52" t="str">
        <f t="shared" si="5"/>
        <v/>
      </c>
      <c r="U52" s="8">
        <f t="shared" si="6"/>
        <v>0</v>
      </c>
      <c r="V52" s="8" t="str">
        <f t="shared" si="7"/>
        <v/>
      </c>
      <c r="W52" s="8" t="str">
        <f>IFERROR(VLOOKUP(B52,Write_Bytes_ps!B:F,4,FALSE)/1024/1024,"")</f>
        <v/>
      </c>
      <c r="X52" s="8" t="str">
        <f>IFERROR(VLOOKUP(B52,Read_Bytes_ps!B:F,4,FALSE)/1024/1024,"")</f>
        <v/>
      </c>
      <c r="Y52" s="8" t="str">
        <f>IFERROR(VLOOKUP(B52,Writes_ps!B:F,5,FALSE),"")</f>
        <v/>
      </c>
      <c r="Z52" s="8" t="str">
        <f>IFERROR(VLOOKUP(B52,Reads_ps!B:F,5,FALSE),"")</f>
        <v/>
      </c>
      <c r="AA52" s="8">
        <f t="shared" si="8"/>
        <v>0</v>
      </c>
      <c r="AB52" s="122">
        <f t="shared" si="19"/>
        <v>0</v>
      </c>
      <c r="AC52" s="122" t="str">
        <f t="shared" si="9"/>
        <v>DS3 v2</v>
      </c>
      <c r="AE52" s="8" t="str">
        <f>IFERROR(VLOOKUP(AD52,'Web-SKUS'!A:E,2,FALSE),"")</f>
        <v/>
      </c>
      <c r="AF52" s="8">
        <f>_xlfn.NUMBERVALUE(IFERROR(VLOOKUP(AD52,'Web-SKUS'!A:E,4,FALSE),""))</f>
        <v>0</v>
      </c>
      <c r="AG52" s="8">
        <f>IFERROR(VLOOKUP(AD52,VM_Performance_Stats!A:G,7,FALSE),0)</f>
        <v>0</v>
      </c>
      <c r="AH52" s="8" t="str">
        <f>IFERROR(VLOOKUP(AD52,VM_Performance_Stats!A:I,8,FALSE),"")</f>
        <v/>
      </c>
      <c r="AI52" s="8">
        <f t="shared" si="10"/>
        <v>1</v>
      </c>
      <c r="AJ52" s="8">
        <f t="shared" si="11"/>
        <v>0</v>
      </c>
      <c r="AK52" s="8">
        <f>IFERROR(IF(VLOOKUP(AD52,VM_Performance_Stats!A:I,8,FALSE)&gt;AB52,1,0),0)</f>
        <v>0</v>
      </c>
      <c r="AL52" t="str">
        <f>IFERROR(VLOOKUP(AD52,'Web-SKUS'!A:G,7,FALSE),"")</f>
        <v/>
      </c>
      <c r="AM52" s="116" t="str">
        <f t="shared" si="1"/>
        <v/>
      </c>
      <c r="AN52" t="str">
        <f>IFERROR(IF(C52=1,VLOOKUP(K52,'Web-SKUS'!A:G,7,FALSE),VLOOKUP(K52,'Web-SKUS'!A:G,6,FALSE)),"")</f>
        <v>£147.9886/month</v>
      </c>
      <c r="AO52" s="116">
        <f t="shared" si="2"/>
        <v>147.98859999999999</v>
      </c>
      <c r="AP52" s="116">
        <f t="shared" si="12"/>
        <v>147.98859999999999</v>
      </c>
      <c r="AQ52" s="115">
        <f t="shared" si="13"/>
        <v>0</v>
      </c>
      <c r="AR52" s="115">
        <f t="shared" si="14"/>
        <v>0</v>
      </c>
      <c r="AS52" s="115" t="e">
        <f>VLOOKUP(B52,'Willie List'!B:M,12,FALSE)</f>
        <v>#N/A</v>
      </c>
      <c r="AT52" s="115" t="str">
        <f t="shared" si="15"/>
        <v>Standard_DS3_v2</v>
      </c>
      <c r="AU52" s="115" t="str">
        <f t="shared" si="16"/>
        <v>DS3 v2</v>
      </c>
      <c r="AV52">
        <f t="shared" si="17"/>
        <v>0</v>
      </c>
      <c r="AW52" s="8">
        <f t="shared" si="18"/>
        <v>0</v>
      </c>
    </row>
    <row r="53" spans="2:49">
      <c r="B53" t="s">
        <v>265</v>
      </c>
      <c r="C53" s="8">
        <f>IFERROR(IF(VLOOKUP(B53,'Willie List'!B:B,1,FALSE) &lt;&gt; "",1,0),0)</f>
        <v>0</v>
      </c>
      <c r="D53" s="8"/>
      <c r="E53" t="s">
        <v>95</v>
      </c>
      <c r="F53" t="s">
        <v>159</v>
      </c>
      <c r="G53" t="s">
        <v>152</v>
      </c>
      <c r="H53" t="s">
        <v>153</v>
      </c>
      <c r="I53" t="s">
        <v>154</v>
      </c>
      <c r="J53" t="s">
        <v>155</v>
      </c>
      <c r="K53" s="8" t="str">
        <f t="shared" si="3"/>
        <v>DS3 v2</v>
      </c>
      <c r="L53" s="8">
        <f>VLOOKUP(K53,'Web-SKUS'!A:E,2,FALSE)</f>
        <v>4</v>
      </c>
      <c r="M53" s="8" t="str">
        <f>VLOOKUP(K53,'Web-SKUS'!A:E,4,FALSE)</f>
        <v>14</v>
      </c>
      <c r="N53" t="s">
        <v>266</v>
      </c>
      <c r="O53">
        <v>9</v>
      </c>
      <c r="P53" t="s">
        <v>157</v>
      </c>
      <c r="Q53" t="str">
        <f>IFERROR(VLOOKUP(B53,PercentCPU!B:F,4,FALSE),"")</f>
        <v/>
      </c>
      <c r="R53" t="str">
        <f>IFERROR(VLOOKUP(B53,MemoryAvailable!B:F,3,FALSE),"")</f>
        <v/>
      </c>
      <c r="S53" s="2" t="str">
        <f t="shared" si="4"/>
        <v/>
      </c>
      <c r="T53" t="str">
        <f t="shared" si="5"/>
        <v/>
      </c>
      <c r="U53" s="8">
        <f t="shared" si="6"/>
        <v>0</v>
      </c>
      <c r="V53" s="8" t="str">
        <f t="shared" si="7"/>
        <v/>
      </c>
      <c r="W53" s="8" t="str">
        <f>IFERROR(VLOOKUP(B53,Write_Bytes_ps!B:F,4,FALSE)/1024/1024,"")</f>
        <v/>
      </c>
      <c r="X53" s="8" t="str">
        <f>IFERROR(VLOOKUP(B53,Read_Bytes_ps!B:F,4,FALSE)/1024/1024,"")</f>
        <v/>
      </c>
      <c r="Y53" s="8" t="str">
        <f>IFERROR(VLOOKUP(B53,Writes_ps!B:F,5,FALSE),"")</f>
        <v/>
      </c>
      <c r="Z53" s="8" t="str">
        <f>IFERROR(VLOOKUP(B53,Reads_ps!B:F,5,FALSE),"")</f>
        <v/>
      </c>
      <c r="AA53" s="8">
        <f t="shared" si="8"/>
        <v>0</v>
      </c>
      <c r="AB53" s="122">
        <f t="shared" si="19"/>
        <v>0</v>
      </c>
      <c r="AC53" s="122" t="str">
        <f t="shared" si="9"/>
        <v>DS3 v2</v>
      </c>
      <c r="AE53" s="8" t="str">
        <f>IFERROR(VLOOKUP(AD53,'Web-SKUS'!A:E,2,FALSE),"")</f>
        <v/>
      </c>
      <c r="AF53" s="8">
        <f>_xlfn.NUMBERVALUE(IFERROR(VLOOKUP(AD53,'Web-SKUS'!A:E,4,FALSE),""))</f>
        <v>0</v>
      </c>
      <c r="AG53" s="8">
        <f>IFERROR(VLOOKUP(AD53,VM_Performance_Stats!A:G,7,FALSE),0)</f>
        <v>0</v>
      </c>
      <c r="AH53" s="8" t="str">
        <f>IFERROR(VLOOKUP(AD53,VM_Performance_Stats!A:I,8,FALSE),"")</f>
        <v/>
      </c>
      <c r="AI53" s="8">
        <f t="shared" si="10"/>
        <v>1</v>
      </c>
      <c r="AJ53" s="8">
        <f t="shared" si="11"/>
        <v>0</v>
      </c>
      <c r="AK53" s="8">
        <f>IFERROR(IF(VLOOKUP(AD53,VM_Performance_Stats!A:I,8,FALSE)&gt;AB53,1,0),0)</f>
        <v>0</v>
      </c>
      <c r="AL53" t="str">
        <f>IFERROR(VLOOKUP(AD53,'Web-SKUS'!A:G,7,FALSE),"")</f>
        <v/>
      </c>
      <c r="AM53" s="116" t="str">
        <f t="shared" si="1"/>
        <v/>
      </c>
      <c r="AN53" t="str">
        <f>IFERROR(IF(C53=1,VLOOKUP(K53,'Web-SKUS'!A:G,7,FALSE),VLOOKUP(K53,'Web-SKUS'!A:G,6,FALSE)),"")</f>
        <v>£147.9886/month</v>
      </c>
      <c r="AO53" s="116">
        <f t="shared" si="2"/>
        <v>147.98859999999999</v>
      </c>
      <c r="AP53" s="116">
        <f t="shared" si="12"/>
        <v>147.98859999999999</v>
      </c>
      <c r="AQ53" s="115">
        <f t="shared" si="13"/>
        <v>0</v>
      </c>
      <c r="AR53" s="115">
        <f t="shared" si="14"/>
        <v>0</v>
      </c>
      <c r="AS53" s="115" t="e">
        <f>VLOOKUP(B53,'Willie List'!B:M,12,FALSE)</f>
        <v>#N/A</v>
      </c>
      <c r="AT53" s="115" t="str">
        <f t="shared" si="15"/>
        <v>Standard_DS3_v2</v>
      </c>
      <c r="AU53" s="115" t="str">
        <f t="shared" si="16"/>
        <v>DS3 v2</v>
      </c>
      <c r="AV53">
        <f t="shared" si="17"/>
        <v>0</v>
      </c>
      <c r="AW53" s="8">
        <f t="shared" si="18"/>
        <v>0</v>
      </c>
    </row>
    <row r="54" spans="2:49">
      <c r="B54" t="s">
        <v>267</v>
      </c>
      <c r="C54" s="8">
        <f>IFERROR(IF(VLOOKUP(B54,'Willie List'!B:B,1,FALSE) &lt;&gt; "",1,0),0)</f>
        <v>0</v>
      </c>
      <c r="D54" s="8"/>
      <c r="E54" t="s">
        <v>95</v>
      </c>
      <c r="F54" t="s">
        <v>151</v>
      </c>
      <c r="G54" t="s">
        <v>152</v>
      </c>
      <c r="H54" t="s">
        <v>153</v>
      </c>
      <c r="I54" t="s">
        <v>154</v>
      </c>
      <c r="J54" t="s">
        <v>155</v>
      </c>
      <c r="K54" s="8" t="str">
        <f t="shared" si="3"/>
        <v>DS3 v2</v>
      </c>
      <c r="L54" s="8">
        <f>VLOOKUP(K54,'Web-SKUS'!A:E,2,FALSE)</f>
        <v>4</v>
      </c>
      <c r="M54" s="8" t="str">
        <f>VLOOKUP(K54,'Web-SKUS'!A:E,4,FALSE)</f>
        <v>14</v>
      </c>
      <c r="N54" t="s">
        <v>268</v>
      </c>
      <c r="O54">
        <v>3</v>
      </c>
      <c r="P54" t="s">
        <v>157</v>
      </c>
      <c r="Q54" t="str">
        <f>IFERROR(VLOOKUP(B54,PercentCPU!B:F,4,FALSE),"")</f>
        <v/>
      </c>
      <c r="R54" t="str">
        <f>IFERROR(VLOOKUP(B54,MemoryAvailable!B:F,3,FALSE),"")</f>
        <v/>
      </c>
      <c r="S54" s="2" t="str">
        <f t="shared" si="4"/>
        <v/>
      </c>
      <c r="T54" t="str">
        <f t="shared" si="5"/>
        <v/>
      </c>
      <c r="U54" s="8">
        <f t="shared" si="6"/>
        <v>0</v>
      </c>
      <c r="V54" s="8" t="str">
        <f t="shared" si="7"/>
        <v/>
      </c>
      <c r="W54" s="8" t="str">
        <f>IFERROR(VLOOKUP(B54,Write_Bytes_ps!B:F,4,FALSE)/1024/1024,"")</f>
        <v/>
      </c>
      <c r="X54" s="8" t="str">
        <f>IFERROR(VLOOKUP(B54,Read_Bytes_ps!B:F,4,FALSE)/1024/1024,"")</f>
        <v/>
      </c>
      <c r="Y54" s="8" t="str">
        <f>IFERROR(VLOOKUP(B54,Writes_ps!B:F,5,FALSE),"")</f>
        <v/>
      </c>
      <c r="Z54" s="8" t="str">
        <f>IFERROR(VLOOKUP(B54,Reads_ps!B:F,5,FALSE),"")</f>
        <v/>
      </c>
      <c r="AA54" s="8">
        <f t="shared" si="8"/>
        <v>0</v>
      </c>
      <c r="AB54" s="122">
        <f t="shared" si="19"/>
        <v>0</v>
      </c>
      <c r="AC54" s="122" t="str">
        <f t="shared" si="9"/>
        <v>DS3 v2</v>
      </c>
      <c r="AE54" s="8" t="str">
        <f>IFERROR(VLOOKUP(AD54,'Web-SKUS'!A:E,2,FALSE),"")</f>
        <v/>
      </c>
      <c r="AF54" s="8">
        <f>_xlfn.NUMBERVALUE(IFERROR(VLOOKUP(AD54,'Web-SKUS'!A:E,4,FALSE),""))</f>
        <v>0</v>
      </c>
      <c r="AG54" s="8">
        <f>IFERROR(VLOOKUP(AD54,VM_Performance_Stats!A:G,7,FALSE),0)</f>
        <v>0</v>
      </c>
      <c r="AH54" s="8" t="str">
        <f>IFERROR(VLOOKUP(AD54,VM_Performance_Stats!A:I,8,FALSE),"")</f>
        <v/>
      </c>
      <c r="AI54" s="8">
        <f t="shared" si="10"/>
        <v>1</v>
      </c>
      <c r="AJ54" s="8">
        <f t="shared" si="11"/>
        <v>0</v>
      </c>
      <c r="AK54" s="8">
        <f>IFERROR(IF(VLOOKUP(AD54,VM_Performance_Stats!A:I,8,FALSE)&gt;AB54,1,0),0)</f>
        <v>0</v>
      </c>
      <c r="AL54" t="str">
        <f>IFERROR(VLOOKUP(AD54,'Web-SKUS'!A:G,7,FALSE),"")</f>
        <v/>
      </c>
      <c r="AM54" s="116" t="str">
        <f t="shared" si="1"/>
        <v/>
      </c>
      <c r="AN54" t="str">
        <f>IFERROR(IF(C54=1,VLOOKUP(K54,'Web-SKUS'!A:G,7,FALSE),VLOOKUP(K54,'Web-SKUS'!A:G,6,FALSE)),"")</f>
        <v>£147.9886/month</v>
      </c>
      <c r="AO54" s="116">
        <f t="shared" si="2"/>
        <v>147.98859999999999</v>
      </c>
      <c r="AP54" s="116">
        <f t="shared" si="12"/>
        <v>147.98859999999999</v>
      </c>
      <c r="AQ54" s="115">
        <f t="shared" si="13"/>
        <v>0</v>
      </c>
      <c r="AR54" s="115">
        <f t="shared" si="14"/>
        <v>0</v>
      </c>
      <c r="AS54" s="115" t="e">
        <f>VLOOKUP(B54,'Willie List'!B:M,12,FALSE)</f>
        <v>#N/A</v>
      </c>
      <c r="AT54" s="115" t="str">
        <f t="shared" si="15"/>
        <v>Standard_DS3_v2</v>
      </c>
      <c r="AU54" s="115" t="str">
        <f t="shared" si="16"/>
        <v>DS3 v2</v>
      </c>
      <c r="AV54">
        <f t="shared" si="17"/>
        <v>0</v>
      </c>
      <c r="AW54" s="8">
        <f t="shared" si="18"/>
        <v>0</v>
      </c>
    </row>
    <row r="55" spans="2:49">
      <c r="B55" t="s">
        <v>269</v>
      </c>
      <c r="C55" s="8">
        <f>IFERROR(IF(VLOOKUP(B55,'Willie List'!B:B,1,FALSE) &lt;&gt; "",1,0),0)</f>
        <v>0</v>
      </c>
      <c r="D55" s="8"/>
      <c r="E55" t="s">
        <v>95</v>
      </c>
      <c r="F55" t="s">
        <v>159</v>
      </c>
      <c r="G55" t="s">
        <v>152</v>
      </c>
      <c r="H55" t="s">
        <v>153</v>
      </c>
      <c r="I55" t="s">
        <v>154</v>
      </c>
      <c r="J55" t="s">
        <v>155</v>
      </c>
      <c r="K55" s="8" t="str">
        <f t="shared" si="3"/>
        <v>DS3 v2</v>
      </c>
      <c r="L55" s="8">
        <f>VLOOKUP(K55,'Web-SKUS'!A:E,2,FALSE)</f>
        <v>4</v>
      </c>
      <c r="M55" s="8" t="str">
        <f>VLOOKUP(K55,'Web-SKUS'!A:E,4,FALSE)</f>
        <v>14</v>
      </c>
      <c r="N55" t="s">
        <v>270</v>
      </c>
      <c r="O55">
        <v>4</v>
      </c>
      <c r="P55" t="s">
        <v>157</v>
      </c>
      <c r="Q55" t="str">
        <f>IFERROR(VLOOKUP(B55,PercentCPU!B:F,4,FALSE),"")</f>
        <v/>
      </c>
      <c r="R55" t="str">
        <f>IFERROR(VLOOKUP(B55,MemoryAvailable!B:F,3,FALSE),"")</f>
        <v/>
      </c>
      <c r="S55" s="2" t="str">
        <f t="shared" si="4"/>
        <v/>
      </c>
      <c r="T55" t="str">
        <f t="shared" si="5"/>
        <v/>
      </c>
      <c r="U55" s="8">
        <f t="shared" si="6"/>
        <v>0</v>
      </c>
      <c r="V55" s="8" t="str">
        <f t="shared" si="7"/>
        <v/>
      </c>
      <c r="W55" s="8" t="str">
        <f>IFERROR(VLOOKUP(B55,Write_Bytes_ps!B:F,4,FALSE)/1024/1024,"")</f>
        <v/>
      </c>
      <c r="X55" s="8" t="str">
        <f>IFERROR(VLOOKUP(B55,Read_Bytes_ps!B:F,4,FALSE)/1024/1024,"")</f>
        <v/>
      </c>
      <c r="Y55" s="8" t="str">
        <f>IFERROR(VLOOKUP(B55,Writes_ps!B:F,5,FALSE),"")</f>
        <v/>
      </c>
      <c r="Z55" s="8" t="str">
        <f>IFERROR(VLOOKUP(B55,Reads_ps!B:F,5,FALSE),"")</f>
        <v/>
      </c>
      <c r="AA55" s="8">
        <f t="shared" si="8"/>
        <v>0</v>
      </c>
      <c r="AB55" s="122">
        <f t="shared" si="19"/>
        <v>0</v>
      </c>
      <c r="AC55" s="122" t="str">
        <f t="shared" si="9"/>
        <v>DS3 v2</v>
      </c>
      <c r="AE55" s="8" t="str">
        <f>IFERROR(VLOOKUP(AD55,'Web-SKUS'!A:E,2,FALSE),"")</f>
        <v/>
      </c>
      <c r="AF55" s="8">
        <f>_xlfn.NUMBERVALUE(IFERROR(VLOOKUP(AD55,'Web-SKUS'!A:E,4,FALSE),""))</f>
        <v>0</v>
      </c>
      <c r="AG55" s="8">
        <f>IFERROR(VLOOKUP(AD55,VM_Performance_Stats!A:G,7,FALSE),0)</f>
        <v>0</v>
      </c>
      <c r="AH55" s="8" t="str">
        <f>IFERROR(VLOOKUP(AD55,VM_Performance_Stats!A:I,8,FALSE),"")</f>
        <v/>
      </c>
      <c r="AI55" s="8">
        <f t="shared" si="10"/>
        <v>1</v>
      </c>
      <c r="AJ55" s="8">
        <f t="shared" si="11"/>
        <v>0</v>
      </c>
      <c r="AK55" s="8">
        <f>IFERROR(IF(VLOOKUP(AD55,VM_Performance_Stats!A:I,8,FALSE)&gt;AB55,1,0),0)</f>
        <v>0</v>
      </c>
      <c r="AL55" t="str">
        <f>IFERROR(VLOOKUP(AD55,'Web-SKUS'!A:G,7,FALSE),"")</f>
        <v/>
      </c>
      <c r="AM55" s="116" t="str">
        <f t="shared" si="1"/>
        <v/>
      </c>
      <c r="AN55" t="str">
        <f>IFERROR(IF(C55=1,VLOOKUP(K55,'Web-SKUS'!A:G,7,FALSE),VLOOKUP(K55,'Web-SKUS'!A:G,6,FALSE)),"")</f>
        <v>£147.9886/month</v>
      </c>
      <c r="AO55" s="116">
        <f t="shared" si="2"/>
        <v>147.98859999999999</v>
      </c>
      <c r="AP55" s="116">
        <f t="shared" si="12"/>
        <v>147.98859999999999</v>
      </c>
      <c r="AQ55" s="115">
        <f t="shared" si="13"/>
        <v>0</v>
      </c>
      <c r="AR55" s="115">
        <f t="shared" si="14"/>
        <v>0</v>
      </c>
      <c r="AS55" s="115" t="e">
        <f>VLOOKUP(B55,'Willie List'!B:M,12,FALSE)</f>
        <v>#N/A</v>
      </c>
      <c r="AT55" s="115" t="str">
        <f t="shared" si="15"/>
        <v>Standard_DS3_v2</v>
      </c>
      <c r="AU55" s="115" t="str">
        <f t="shared" si="16"/>
        <v>DS3 v2</v>
      </c>
      <c r="AV55">
        <f t="shared" si="17"/>
        <v>0</v>
      </c>
      <c r="AW55" s="8">
        <f t="shared" si="18"/>
        <v>0</v>
      </c>
    </row>
    <row r="56" spans="2:49">
      <c r="B56" t="s">
        <v>271</v>
      </c>
      <c r="C56" s="8">
        <f>IFERROR(IF(VLOOKUP(B56,'Willie List'!B:B,1,FALSE) &lt;&gt; "",1,0),0)</f>
        <v>0</v>
      </c>
      <c r="D56" s="8"/>
      <c r="E56" t="s">
        <v>99</v>
      </c>
      <c r="F56" t="s">
        <v>162</v>
      </c>
      <c r="G56" t="s">
        <v>152</v>
      </c>
      <c r="H56" t="s">
        <v>153</v>
      </c>
      <c r="I56" t="s">
        <v>154</v>
      </c>
      <c r="J56" t="s">
        <v>155</v>
      </c>
      <c r="K56" s="8" t="str">
        <f t="shared" si="3"/>
        <v>DS3 v2</v>
      </c>
      <c r="L56" s="8">
        <f>VLOOKUP(K56,'Web-SKUS'!A:E,2,FALSE)</f>
        <v>4</v>
      </c>
      <c r="M56" s="8" t="str">
        <f>VLOOKUP(K56,'Web-SKUS'!A:E,4,FALSE)</f>
        <v>14</v>
      </c>
      <c r="N56" t="s">
        <v>272</v>
      </c>
      <c r="O56">
        <v>4</v>
      </c>
      <c r="P56" t="s">
        <v>157</v>
      </c>
      <c r="Q56" t="str">
        <f>IFERROR(VLOOKUP(B56,PercentCPU!B:F,4,FALSE),"")</f>
        <v/>
      </c>
      <c r="R56" t="str">
        <f>IFERROR(VLOOKUP(B56,MemoryAvailable!B:F,3,FALSE),"")</f>
        <v/>
      </c>
      <c r="S56" s="2" t="str">
        <f t="shared" si="4"/>
        <v/>
      </c>
      <c r="T56" t="str">
        <f t="shared" si="5"/>
        <v/>
      </c>
      <c r="U56" s="8">
        <f t="shared" si="6"/>
        <v>0</v>
      </c>
      <c r="V56" s="8" t="str">
        <f t="shared" si="7"/>
        <v/>
      </c>
      <c r="W56" s="8" t="str">
        <f>IFERROR(VLOOKUP(B56,Write_Bytes_ps!B:F,4,FALSE)/1024/1024,"")</f>
        <v/>
      </c>
      <c r="X56" s="8" t="str">
        <f>IFERROR(VLOOKUP(B56,Read_Bytes_ps!B:F,4,FALSE)/1024/1024,"")</f>
        <v/>
      </c>
      <c r="Y56" s="8" t="str">
        <f>IFERROR(VLOOKUP(B56,Writes_ps!B:F,5,FALSE),"")</f>
        <v/>
      </c>
      <c r="Z56" s="8" t="str">
        <f>IFERROR(VLOOKUP(B56,Reads_ps!B:F,5,FALSE),"")</f>
        <v/>
      </c>
      <c r="AA56" s="8">
        <f t="shared" si="8"/>
        <v>0</v>
      </c>
      <c r="AB56" s="122">
        <f t="shared" si="19"/>
        <v>0</v>
      </c>
      <c r="AC56" s="122" t="str">
        <f t="shared" si="9"/>
        <v>DS3 v2</v>
      </c>
      <c r="AE56" s="8" t="str">
        <f>IFERROR(VLOOKUP(AD56,'Web-SKUS'!A:E,2,FALSE),"")</f>
        <v/>
      </c>
      <c r="AF56" s="8">
        <f>_xlfn.NUMBERVALUE(IFERROR(VLOOKUP(AD56,'Web-SKUS'!A:E,4,FALSE),""))</f>
        <v>0</v>
      </c>
      <c r="AG56" s="8">
        <f>IFERROR(VLOOKUP(AD56,VM_Performance_Stats!A:G,7,FALSE),0)</f>
        <v>0</v>
      </c>
      <c r="AH56" s="8" t="str">
        <f>IFERROR(VLOOKUP(AD56,VM_Performance_Stats!A:I,8,FALSE),"")</f>
        <v/>
      </c>
      <c r="AI56" s="8">
        <f t="shared" si="10"/>
        <v>1</v>
      </c>
      <c r="AJ56" s="8">
        <f t="shared" si="11"/>
        <v>0</v>
      </c>
      <c r="AK56" s="8">
        <f>IFERROR(IF(VLOOKUP(AD56,VM_Performance_Stats!A:I,8,FALSE)&gt;AB56,1,0),0)</f>
        <v>0</v>
      </c>
      <c r="AL56" t="str">
        <f>IFERROR(VLOOKUP(AD56,'Web-SKUS'!A:G,7,FALSE),"")</f>
        <v/>
      </c>
      <c r="AM56" s="116" t="str">
        <f t="shared" si="1"/>
        <v/>
      </c>
      <c r="AN56" t="str">
        <f>IFERROR(IF(C56=1,VLOOKUP(K56,'Web-SKUS'!A:G,7,FALSE),VLOOKUP(K56,'Web-SKUS'!A:G,6,FALSE)),"")</f>
        <v>£147.9886/month</v>
      </c>
      <c r="AO56" s="116">
        <f t="shared" si="2"/>
        <v>147.98859999999999</v>
      </c>
      <c r="AP56" s="116">
        <f t="shared" si="12"/>
        <v>147.98859999999999</v>
      </c>
      <c r="AQ56" s="115">
        <f t="shared" si="13"/>
        <v>0</v>
      </c>
      <c r="AR56" s="115">
        <f t="shared" si="14"/>
        <v>0</v>
      </c>
      <c r="AS56" s="115" t="e">
        <f>VLOOKUP(B56,'Willie List'!B:M,12,FALSE)</f>
        <v>#N/A</v>
      </c>
      <c r="AT56" s="115" t="str">
        <f t="shared" si="15"/>
        <v>Standard_DS3_v2</v>
      </c>
      <c r="AU56" s="115" t="str">
        <f t="shared" si="16"/>
        <v>DS3 v2</v>
      </c>
      <c r="AV56">
        <f t="shared" si="17"/>
        <v>0</v>
      </c>
      <c r="AW56" s="8">
        <f t="shared" si="18"/>
        <v>0</v>
      </c>
    </row>
    <row r="57" spans="2:49">
      <c r="B57" t="s">
        <v>273</v>
      </c>
      <c r="C57" s="8">
        <f>IFERROR(IF(VLOOKUP(B57,'Willie List'!B:B,1,FALSE) &lt;&gt; "",1,0),0)</f>
        <v>0</v>
      </c>
      <c r="D57" s="8"/>
      <c r="E57" t="s">
        <v>95</v>
      </c>
      <c r="F57" t="s">
        <v>274</v>
      </c>
      <c r="G57" t="s">
        <v>152</v>
      </c>
      <c r="H57" t="s">
        <v>275</v>
      </c>
      <c r="I57" t="s">
        <v>276</v>
      </c>
      <c r="J57" t="s">
        <v>81</v>
      </c>
      <c r="K57" s="8" t="str">
        <f t="shared" si="3"/>
        <v>F32s v2</v>
      </c>
      <c r="L57" s="8">
        <f>VLOOKUP(K57,'Web-SKUS'!A:E,2,FALSE)</f>
        <v>32</v>
      </c>
      <c r="M57" s="8" t="str">
        <f>VLOOKUP(K57,'Web-SKUS'!A:E,4,FALSE)</f>
        <v>64</v>
      </c>
      <c r="N57" t="s">
        <v>277</v>
      </c>
      <c r="O57">
        <v>1</v>
      </c>
      <c r="P57" t="s">
        <v>157</v>
      </c>
      <c r="Q57" t="str">
        <f>IFERROR(VLOOKUP(B57,PercentCPU!B:F,4,FALSE),"")</f>
        <v/>
      </c>
      <c r="R57" t="str">
        <f>IFERROR(VLOOKUP(B57,MemoryAvailable!B:F,3,FALSE),"")</f>
        <v/>
      </c>
      <c r="S57" s="2" t="str">
        <f t="shared" si="4"/>
        <v/>
      </c>
      <c r="T57" t="str">
        <f t="shared" si="5"/>
        <v/>
      </c>
      <c r="U57" s="8">
        <f t="shared" si="6"/>
        <v>0</v>
      </c>
      <c r="V57" s="8" t="str">
        <f t="shared" si="7"/>
        <v/>
      </c>
      <c r="W57" s="8" t="str">
        <f>IFERROR(VLOOKUP(B57,Write_Bytes_ps!B:F,4,FALSE)/1024/1024,"")</f>
        <v/>
      </c>
      <c r="X57" s="8" t="str">
        <f>IFERROR(VLOOKUP(B57,Read_Bytes_ps!B:F,4,FALSE)/1024/1024,"")</f>
        <v/>
      </c>
      <c r="Y57" s="8" t="str">
        <f>IFERROR(VLOOKUP(B57,Writes_ps!B:F,5,FALSE),"")</f>
        <v/>
      </c>
      <c r="Z57" s="8" t="str">
        <f>IFERROR(VLOOKUP(B57,Reads_ps!B:F,5,FALSE),"")</f>
        <v/>
      </c>
      <c r="AA57" s="8">
        <f t="shared" si="8"/>
        <v>0</v>
      </c>
      <c r="AB57" s="122">
        <f t="shared" si="19"/>
        <v>0</v>
      </c>
      <c r="AC57" s="122" t="str">
        <f t="shared" si="9"/>
        <v>F32s v2</v>
      </c>
      <c r="AD57" s="8" t="s">
        <v>278</v>
      </c>
      <c r="AE57" s="8">
        <f>IFERROR(VLOOKUP(AD57,'Web-SKUS'!A:E,2,FALSE),"")</f>
        <v>32</v>
      </c>
      <c r="AF57" s="8">
        <f>_xlfn.NUMBERVALUE(IFERROR(VLOOKUP(AD57,'Web-SKUS'!A:E,4,FALSE),""))</f>
        <v>64</v>
      </c>
      <c r="AG57" s="8">
        <f>IFERROR(VLOOKUP(AD57,VM_Performance_Stats!A:G,7,FALSE),0)</f>
        <v>32</v>
      </c>
      <c r="AH57" s="8">
        <f>IFERROR(VLOOKUP(AD57,VM_Performance_Stats!A:I,8,FALSE),"")</f>
        <v>51200</v>
      </c>
      <c r="AI57" s="8">
        <f t="shared" si="10"/>
        <v>1</v>
      </c>
      <c r="AJ57" s="8">
        <f t="shared" si="11"/>
        <v>1</v>
      </c>
      <c r="AK57" s="8">
        <f>IFERROR(IF(VLOOKUP(AD57,VM_Performance_Stats!A:I,8,FALSE)&gt;AB57,1,0),0)</f>
        <v>1</v>
      </c>
      <c r="AL57" t="str">
        <f>IFERROR(VLOOKUP(AD57,'Web-SKUS'!A:G,7,FALSE),"")</f>
        <v>£500.1633/month</v>
      </c>
      <c r="AM57" s="116">
        <f t="shared" si="1"/>
        <v>500.16329999999999</v>
      </c>
      <c r="AN57" t="str">
        <f>IFERROR(IF(C57=1,VLOOKUP(K57,'Web-SKUS'!A:G,7,FALSE),VLOOKUP(K57,'Web-SKUS'!A:G,6,FALSE)),"")</f>
        <v>£844.4053/month</v>
      </c>
      <c r="AO57" s="116">
        <f t="shared" si="2"/>
        <v>844.40530000000001</v>
      </c>
      <c r="AP57" s="116">
        <f t="shared" si="12"/>
        <v>500.16329999999999</v>
      </c>
      <c r="AQ57" s="115">
        <f t="shared" si="13"/>
        <v>344.24200000000002</v>
      </c>
      <c r="AR57" s="115">
        <f t="shared" si="14"/>
        <v>4130.9040000000005</v>
      </c>
      <c r="AS57" s="115" t="e">
        <f>VLOOKUP(B57,'Willie List'!B:M,12,FALSE)</f>
        <v>#N/A</v>
      </c>
      <c r="AT57" s="115" t="str">
        <f t="shared" si="15"/>
        <v>Standard_F32s_v2</v>
      </c>
      <c r="AU57" s="115" t="str">
        <f t="shared" si="16"/>
        <v>F32s v2</v>
      </c>
      <c r="AV57" t="str">
        <f t="shared" si="17"/>
        <v>F32s v2</v>
      </c>
      <c r="AW57" s="8">
        <f t="shared" si="18"/>
        <v>1</v>
      </c>
    </row>
    <row r="58" spans="2:49">
      <c r="B58" t="s">
        <v>279</v>
      </c>
      <c r="C58" s="8">
        <f>IFERROR(IF(VLOOKUP(B58,'Willie List'!B:B,1,FALSE) &lt;&gt; "",1,0),0)</f>
        <v>0</v>
      </c>
      <c r="D58" s="8"/>
      <c r="E58" t="s">
        <v>95</v>
      </c>
      <c r="F58" t="s">
        <v>274</v>
      </c>
      <c r="G58" t="s">
        <v>152</v>
      </c>
      <c r="H58" t="s">
        <v>153</v>
      </c>
      <c r="I58" t="s">
        <v>276</v>
      </c>
      <c r="J58" t="s">
        <v>80</v>
      </c>
      <c r="K58" s="8" t="str">
        <f t="shared" si="3"/>
        <v>F16s v2</v>
      </c>
      <c r="L58" s="8">
        <f>VLOOKUP(K58,'Web-SKUS'!A:E,2,FALSE)</f>
        <v>16</v>
      </c>
      <c r="M58" s="8" t="str">
        <f>VLOOKUP(K58,'Web-SKUS'!A:E,4,FALSE)</f>
        <v>32</v>
      </c>
      <c r="N58" t="s">
        <v>280</v>
      </c>
      <c r="O58">
        <v>1</v>
      </c>
      <c r="P58" t="s">
        <v>157</v>
      </c>
      <c r="Q58" t="str">
        <f>IFERROR(VLOOKUP(B58,PercentCPU!B:F,4,FALSE),"")</f>
        <v/>
      </c>
      <c r="R58" t="str">
        <f>IFERROR(VLOOKUP(B58,MemoryAvailable!B:F,3,FALSE),"")</f>
        <v/>
      </c>
      <c r="S58" s="2" t="str">
        <f t="shared" si="4"/>
        <v/>
      </c>
      <c r="T58" t="str">
        <f t="shared" si="5"/>
        <v/>
      </c>
      <c r="U58" s="8">
        <f t="shared" si="6"/>
        <v>0</v>
      </c>
      <c r="V58" s="8" t="str">
        <f t="shared" si="7"/>
        <v/>
      </c>
      <c r="W58" s="8" t="str">
        <f>IFERROR(VLOOKUP(B58,Write_Bytes_ps!B:F,4,FALSE)/1024/1024,"")</f>
        <v/>
      </c>
      <c r="X58" s="8" t="str">
        <f>IFERROR(VLOOKUP(B58,Read_Bytes_ps!B:F,4,FALSE)/1024/1024,"")</f>
        <v/>
      </c>
      <c r="Y58" s="8" t="str">
        <f>IFERROR(VLOOKUP(B58,Writes_ps!B:F,5,FALSE),"")</f>
        <v/>
      </c>
      <c r="Z58" s="8" t="str">
        <f>IFERROR(VLOOKUP(B58,Reads_ps!B:F,5,FALSE),"")</f>
        <v/>
      </c>
      <c r="AA58" s="8">
        <f t="shared" si="8"/>
        <v>0</v>
      </c>
      <c r="AB58" s="122">
        <f t="shared" si="19"/>
        <v>0</v>
      </c>
      <c r="AC58" s="122" t="str">
        <f t="shared" si="9"/>
        <v>F16s v2</v>
      </c>
      <c r="AD58" s="8" t="s">
        <v>281</v>
      </c>
      <c r="AE58" s="8">
        <f>IFERROR(VLOOKUP(AD58,'Web-SKUS'!A:E,2,FALSE),"")</f>
        <v>16</v>
      </c>
      <c r="AF58" s="8">
        <f>_xlfn.NUMBERVALUE(IFERROR(VLOOKUP(AD58,'Web-SKUS'!A:E,4,FALSE),""))</f>
        <v>32</v>
      </c>
      <c r="AG58" s="8">
        <f>IFERROR(VLOOKUP(AD58,VM_Performance_Stats!A:G,7,FALSE),0)</f>
        <v>32</v>
      </c>
      <c r="AH58" s="8">
        <f>IFERROR(VLOOKUP(AD58,VM_Performance_Stats!A:I,8,FALSE),"")</f>
        <v>25600</v>
      </c>
      <c r="AI58" s="8">
        <f t="shared" si="10"/>
        <v>1</v>
      </c>
      <c r="AJ58" s="8">
        <f t="shared" si="11"/>
        <v>1</v>
      </c>
      <c r="AK58" s="8">
        <f>IFERROR(IF(VLOOKUP(AD58,VM_Performance_Stats!A:I,8,FALSE)&gt;AB58,1,0),0)</f>
        <v>1</v>
      </c>
      <c r="AL58" t="str">
        <f>IFERROR(VLOOKUP(AD58,'Web-SKUS'!A:G,7,FALSE),"")</f>
        <v>£250.0517/month</v>
      </c>
      <c r="AM58" s="116">
        <f t="shared" si="1"/>
        <v>250.05170000000001</v>
      </c>
      <c r="AN58" t="str">
        <f>IFERROR(IF(C58=1,VLOOKUP(K58,'Web-SKUS'!A:G,7,FALSE),VLOOKUP(K58,'Web-SKUS'!A:G,6,FALSE)),"")</f>
        <v>£422.2027/month</v>
      </c>
      <c r="AO58" s="116">
        <f t="shared" si="2"/>
        <v>422.20269999999999</v>
      </c>
      <c r="AP58" s="116">
        <f t="shared" si="12"/>
        <v>250.05170000000001</v>
      </c>
      <c r="AQ58" s="115">
        <f t="shared" si="13"/>
        <v>172.15099999999998</v>
      </c>
      <c r="AR58" s="115">
        <f t="shared" si="14"/>
        <v>2065.8119999999999</v>
      </c>
      <c r="AS58" s="115" t="e">
        <f>VLOOKUP(B58,'Willie List'!B:M,12,FALSE)</f>
        <v>#N/A</v>
      </c>
      <c r="AT58" s="115" t="str">
        <f t="shared" si="15"/>
        <v>Standard_F16s_v2</v>
      </c>
      <c r="AU58" s="115" t="str">
        <f t="shared" si="16"/>
        <v>F16s v2</v>
      </c>
      <c r="AV58" t="str">
        <f t="shared" si="17"/>
        <v>F16s v2</v>
      </c>
      <c r="AW58" s="8">
        <f t="shared" si="18"/>
        <v>1</v>
      </c>
    </row>
    <row r="59" spans="2:49">
      <c r="B59" s="238" t="s">
        <v>282</v>
      </c>
      <c r="C59" s="239">
        <f>IFERROR(IF(VLOOKUP(B59,'Willie List'!B:B,1,FALSE) &lt;&gt; "",1,0),0)</f>
        <v>1</v>
      </c>
      <c r="D59" s="239"/>
      <c r="E59" s="238" t="s">
        <v>95</v>
      </c>
      <c r="F59" s="238" t="s">
        <v>283</v>
      </c>
      <c r="G59" s="238" t="s">
        <v>152</v>
      </c>
      <c r="H59" s="238" t="s">
        <v>153</v>
      </c>
      <c r="I59" s="238" t="s">
        <v>154</v>
      </c>
      <c r="J59" s="238" t="s">
        <v>49</v>
      </c>
      <c r="K59" s="239" t="str">
        <f t="shared" ref="K59:K85" si="20">IFERROR(REPLACE(REPLACE(J59,FIND("Standard_",J59,1),9,""),FIND("_",REPLACE(J59,FIND("Standard_",J59,1),9,""),1),1," "),REPLACE(J59,FIND("Standard_",J59,1),9,""))</f>
        <v>D4as v4</v>
      </c>
      <c r="L59" s="239">
        <f>VLOOKUP(K59,'Web-SKUS'!A:E,2,FALSE)</f>
        <v>4</v>
      </c>
      <c r="M59" s="239" t="str">
        <f>VLOOKUP(K59,'Web-SKUS'!A:E,4,FALSE)</f>
        <v>16</v>
      </c>
      <c r="N59" s="238" t="s">
        <v>277</v>
      </c>
      <c r="O59" s="239">
        <v>3</v>
      </c>
      <c r="P59" s="238" t="s">
        <v>157</v>
      </c>
      <c r="Q59" s="238">
        <f>IFERROR(VLOOKUP(B59,PercentCPU!B:F,4,FALSE),"")</f>
        <v>4.1552764707984338</v>
      </c>
      <c r="R59" s="238">
        <f>IFERROR(VLOOKUP(B59,MemoryAvailable!B:F,3,FALSE),"")</f>
        <v>12534.152565495873</v>
      </c>
      <c r="S59" s="240">
        <f t="shared" ref="S59:S122" si="21">IFERROR(100%-(R59/(M59*1024)),"")</f>
        <v>0.23497603970362102</v>
      </c>
      <c r="T59" s="238">
        <f t="shared" ref="T59:T122" si="22">IFERROR(ROUNDUP(Q59/100*L59,0),"")</f>
        <v>1</v>
      </c>
      <c r="U59" s="239">
        <f t="shared" ref="U59:U122" si="23">IFERROR(ROUND(S59*M59,0),0)</f>
        <v>4</v>
      </c>
      <c r="V59" s="239" t="str">
        <f t="shared" ref="V59:V122" si="24">IFERROR(IF(T59/U59 = 0.25, "D Series",IF(T59/U59 = 0.5, "F Series",IF(T59/U59 = 0.125, "E Series", ) ) ),"")</f>
        <v>D Series</v>
      </c>
      <c r="W59" s="8">
        <f>IFERROR(VLOOKUP(B59,Write_Bytes_ps!B:F,4,FALSE)/1024/1024,"")</f>
        <v>6.1983855495795527E-2</v>
      </c>
      <c r="X59" s="8">
        <f>IFERROR(VLOOKUP(B59,Read_Bytes_ps!B:F,4,FALSE)/1024/1024,"")</f>
        <v>0</v>
      </c>
      <c r="Y59" s="8">
        <f>IFERROR(VLOOKUP(B59,Writes_ps!B:F,5,FALSE),"")</f>
        <v>417.15583537745101</v>
      </c>
      <c r="Z59" s="8">
        <f>IFERROR(VLOOKUP(B59,Reads_ps!B:F,5,FALSE),"")</f>
        <v>160.60985703893601</v>
      </c>
      <c r="AA59" s="241">
        <f t="shared" ref="AA59:AA69" si="25">SUM(W59,X59)</f>
        <v>6.1983855495795527E-2</v>
      </c>
      <c r="AB59" s="242">
        <f t="shared" ref="AB59:AB69" si="26">ROUNDUP(SUM(Y59:Z59),0)</f>
        <v>578</v>
      </c>
      <c r="AC59" s="242" t="str">
        <f t="shared" ref="AC59:AC122" si="27">K59</f>
        <v>D4as v4</v>
      </c>
      <c r="AD59" s="239"/>
      <c r="AE59" s="239" t="str">
        <f>IFERROR(VLOOKUP(AD59,'Web-SKUS'!A:E,2,FALSE),"")</f>
        <v/>
      </c>
      <c r="AF59" s="239">
        <f>_xlfn.NUMBERVALUE(IFERROR(VLOOKUP(AD59,'Web-SKUS'!A:E,4,FALSE),""))</f>
        <v>0</v>
      </c>
      <c r="AG59" s="239">
        <f>IFERROR(VLOOKUP(AD59,VM_Performance_Stats!A:G,7,FALSE),0)</f>
        <v>0</v>
      </c>
      <c r="AH59" s="239" t="str">
        <f>IFERROR(VLOOKUP(AD59,VM_Performance_Stats!A:I,8,FALSE),"")</f>
        <v/>
      </c>
      <c r="AI59" s="239">
        <f t="shared" ref="AI59:AI122" si="28">IFERROR(IF(AF59&lt;U59,0,1),0)</f>
        <v>0</v>
      </c>
      <c r="AJ59" s="239">
        <f t="shared" ref="AJ59:AJ122" si="29">IF(AG59&lt;O59,0,1)</f>
        <v>0</v>
      </c>
      <c r="AK59" s="239">
        <f>IFERROR(IF(VLOOKUP(AD59,VM_Performance_Stats!A:I,8,FALSE)&gt;AB59,1,0),0)</f>
        <v>0</v>
      </c>
      <c r="AL59" t="str">
        <f>IFERROR(VLOOKUP(AD59,'Web-SKUS'!A:G,7,FALSE),"")</f>
        <v/>
      </c>
      <c r="AM59" s="243" t="str">
        <f t="shared" ref="AM59:AM122" si="30">IFERROR(_xlfn.NUMBERVALUE(REPLACE(REPLACE(AL59,FIND("/month",AL59,1),6,),FIND("£",REPLACE(AL59,FIND("/month",AL59,1),6,),1),1,),".",","),"")</f>
        <v/>
      </c>
      <c r="AN59" t="str">
        <f>IFERROR(IF(C59=1,VLOOKUP(K59,'Web-SKUS'!A:G,7,FALSE),VLOOKUP(K59,'Web-SKUS'!A:G,6,FALSE)),"")</f>
        <v>£83.2273/month</v>
      </c>
      <c r="AO59" s="243">
        <f t="shared" ref="AO59:AO122" si="31">IFERROR(_xlfn.NUMBERVALUE(REPLACE(REPLACE(AN59,FIND("/month",AN59,1),6,),FIND("£",REPLACE(AN59,FIND("/month",AN59,1),6,),1),1,),".",","),"")</f>
        <v>83.2273</v>
      </c>
      <c r="AP59" s="243">
        <f t="shared" ref="AP59:AP122" si="32">IF(_xlfn.NUMBERVALUE(AM59,".",",")&gt;0,AM59,AO59)</f>
        <v>83.2273</v>
      </c>
      <c r="AQ59" s="244">
        <f t="shared" ref="AQ59:AQ122" si="33">IFERROR(IF(AM59&gt;0,AO59-AM59,0),0)</f>
        <v>0</v>
      </c>
      <c r="AR59" s="115">
        <f t="shared" si="14"/>
        <v>0</v>
      </c>
      <c r="AS59" s="115" t="str">
        <f>VLOOKUP(B59,'Willie List'!B:M,12,FALSE)</f>
        <v>NO</v>
      </c>
      <c r="AT59" s="115" t="str">
        <f t="shared" si="15"/>
        <v>Standard_D4as_v4</v>
      </c>
      <c r="AU59" s="115" t="str">
        <f t="shared" si="16"/>
        <v>D4as v4</v>
      </c>
      <c r="AV59">
        <f t="shared" si="17"/>
        <v>0</v>
      </c>
      <c r="AW59" s="8">
        <f t="shared" si="18"/>
        <v>0</v>
      </c>
    </row>
    <row r="60" spans="2:49">
      <c r="B60" s="238" t="s">
        <v>284</v>
      </c>
      <c r="C60" s="239">
        <f>IFERROR(IF(VLOOKUP(B60,'Willie List'!B:B,1,FALSE) &lt;&gt; "",1,0),0)</f>
        <v>1</v>
      </c>
      <c r="D60" s="239"/>
      <c r="E60" s="238" t="s">
        <v>97</v>
      </c>
      <c r="F60" s="238" t="s">
        <v>285</v>
      </c>
      <c r="G60" s="238" t="s">
        <v>152</v>
      </c>
      <c r="H60" s="238" t="s">
        <v>153</v>
      </c>
      <c r="I60" s="238" t="s">
        <v>154</v>
      </c>
      <c r="J60" s="238" t="s">
        <v>43</v>
      </c>
      <c r="K60" s="239" t="str">
        <f t="shared" si="20"/>
        <v>D4 v3</v>
      </c>
      <c r="L60" s="239">
        <f>VLOOKUP(K60,'Web-SKUS'!A:E,2,FALSE)</f>
        <v>4</v>
      </c>
      <c r="M60" s="239" t="str">
        <f>VLOOKUP(K60,'Web-SKUS'!A:E,4,FALSE)</f>
        <v>16</v>
      </c>
      <c r="N60" s="238" t="s">
        <v>277</v>
      </c>
      <c r="O60" s="239">
        <v>2</v>
      </c>
      <c r="P60" s="238" t="s">
        <v>157</v>
      </c>
      <c r="Q60" s="238">
        <f>IFERROR(VLOOKUP(B60,PercentCPU!B:F,4,FALSE),"")</f>
        <v>6.2401545020161278</v>
      </c>
      <c r="R60" s="238">
        <f>IFERROR(VLOOKUP(B60,MemoryAvailable!B:F,3,FALSE),"")</f>
        <v>13211.073790162023</v>
      </c>
      <c r="S60" s="240">
        <f t="shared" si="21"/>
        <v>0.1936600469871812</v>
      </c>
      <c r="T60" s="238">
        <f t="shared" si="22"/>
        <v>1</v>
      </c>
      <c r="U60" s="239">
        <f t="shared" si="23"/>
        <v>3</v>
      </c>
      <c r="V60" s="239">
        <f t="shared" si="24"/>
        <v>0</v>
      </c>
      <c r="W60" s="8">
        <f>IFERROR(VLOOKUP(B60,Write_Bytes_ps!B:F,4,FALSE)/1024/1024,"")</f>
        <v>5.9617580194147951E-2</v>
      </c>
      <c r="X60" s="8">
        <f>IFERROR(VLOOKUP(B60,Read_Bytes_ps!B:F,4,FALSE)/1024/1024,"")</f>
        <v>2.604157496994341E-4</v>
      </c>
      <c r="Y60" s="8">
        <f>IFERROR(VLOOKUP(B60,Writes_ps!B:F,5,FALSE),"")</f>
        <v>174.75317613897599</v>
      </c>
      <c r="Z60" s="8">
        <f>IFERROR(VLOOKUP(B60,Reads_ps!B:F,5,FALSE),"")</f>
        <v>543.40079436139501</v>
      </c>
      <c r="AA60" s="241">
        <f t="shared" si="25"/>
        <v>5.9877995943847385E-2</v>
      </c>
      <c r="AB60" s="242">
        <f t="shared" si="26"/>
        <v>719</v>
      </c>
      <c r="AC60" s="242" t="str">
        <f t="shared" si="27"/>
        <v>D4 v3</v>
      </c>
      <c r="AD60" s="239"/>
      <c r="AE60" s="239" t="str">
        <f>IFERROR(VLOOKUP(AD60,'Web-SKUS'!A:E,2,FALSE),"")</f>
        <v/>
      </c>
      <c r="AF60" s="239">
        <f>_xlfn.NUMBERVALUE(IFERROR(VLOOKUP(AD60,'Web-SKUS'!A:E,4,FALSE),""))</f>
        <v>0</v>
      </c>
      <c r="AG60" s="239">
        <f>IFERROR(VLOOKUP(AD60,VM_Performance_Stats!A:G,7,FALSE),0)</f>
        <v>0</v>
      </c>
      <c r="AH60" s="239" t="str">
        <f>IFERROR(VLOOKUP(AD60,VM_Performance_Stats!A:I,8,FALSE),"")</f>
        <v/>
      </c>
      <c r="AI60" s="239">
        <f t="shared" si="28"/>
        <v>0</v>
      </c>
      <c r="AJ60" s="239">
        <f t="shared" si="29"/>
        <v>0</v>
      </c>
      <c r="AK60" s="239">
        <f>IFERROR(IF(VLOOKUP(AD60,VM_Performance_Stats!A:I,8,FALSE)&gt;AB60,1,0),0)</f>
        <v>0</v>
      </c>
      <c r="AL60" t="str">
        <f>IFERROR(VLOOKUP(AD60,'Web-SKUS'!A:G,7,FALSE),"")</f>
        <v/>
      </c>
      <c r="AM60" s="243" t="str">
        <f t="shared" si="30"/>
        <v/>
      </c>
      <c r="AN60" t="str">
        <f>IFERROR(IF(C60=1,VLOOKUP(K60,'Web-SKUS'!A:G,7,FALSE),VLOOKUP(K60,'Web-SKUS'!A:G,6,FALSE)),"")</f>
        <v>£83.1620/month</v>
      </c>
      <c r="AO60" s="243">
        <f t="shared" si="31"/>
        <v>83.162000000000006</v>
      </c>
      <c r="AP60" s="243">
        <f t="shared" si="32"/>
        <v>83.162000000000006</v>
      </c>
      <c r="AQ60" s="244">
        <f t="shared" si="33"/>
        <v>0</v>
      </c>
      <c r="AR60" s="115">
        <f t="shared" si="14"/>
        <v>0</v>
      </c>
      <c r="AS60" s="115" t="str">
        <f>VLOOKUP(B60,'Willie List'!B:M,12,FALSE)</f>
        <v>NO</v>
      </c>
      <c r="AT60" s="115" t="str">
        <f t="shared" si="15"/>
        <v>Standard_D4_v3</v>
      </c>
      <c r="AU60" s="115" t="str">
        <f t="shared" si="16"/>
        <v>D4 v3</v>
      </c>
      <c r="AV60">
        <f t="shared" si="17"/>
        <v>0</v>
      </c>
      <c r="AW60" s="8">
        <f t="shared" si="18"/>
        <v>0</v>
      </c>
    </row>
    <row r="61" spans="2:49">
      <c r="B61" t="s">
        <v>286</v>
      </c>
      <c r="C61" s="8">
        <f>IFERROR(IF(VLOOKUP(B61,'Willie List'!B:B,1,FALSE) &lt;&gt; "",1,0),0)</f>
        <v>0</v>
      </c>
      <c r="D61" s="8"/>
      <c r="E61" t="s">
        <v>101</v>
      </c>
      <c r="F61" t="s">
        <v>287</v>
      </c>
      <c r="G61" t="s">
        <v>288</v>
      </c>
      <c r="H61" t="s">
        <v>153</v>
      </c>
      <c r="I61" t="s">
        <v>276</v>
      </c>
      <c r="J61" t="s">
        <v>289</v>
      </c>
      <c r="K61" s="8" t="str">
        <f t="shared" si="20"/>
        <v>D4s v4</v>
      </c>
      <c r="L61" s="8">
        <f>VLOOKUP(K61,'Web-SKUS'!A:E,2,FALSE)</f>
        <v>4</v>
      </c>
      <c r="M61" s="8" t="str">
        <f>VLOOKUP(K61,'Web-SKUS'!A:E,4,FALSE)</f>
        <v>16</v>
      </c>
      <c r="N61" t="s">
        <v>277</v>
      </c>
      <c r="O61" s="8">
        <v>1</v>
      </c>
      <c r="P61" t="s">
        <v>157</v>
      </c>
      <c r="Q61">
        <f>IFERROR(VLOOKUP(B61,PercentCPU!B:F,4,FALSE),"")</f>
        <v>1.968351559721123</v>
      </c>
      <c r="R61">
        <f>IFERROR(VLOOKUP(B61,MemoryAvailable!B:F,3,FALSE),"")</f>
        <v>11867.175110755019</v>
      </c>
      <c r="S61" s="2">
        <f t="shared" si="21"/>
        <v>0.27568511286895636</v>
      </c>
      <c r="T61">
        <f t="shared" si="22"/>
        <v>1</v>
      </c>
      <c r="U61" s="8">
        <f t="shared" si="23"/>
        <v>4</v>
      </c>
      <c r="V61" s="8" t="str">
        <f t="shared" si="24"/>
        <v>D Series</v>
      </c>
      <c r="W61" s="8">
        <f>IFERROR(VLOOKUP(B61,Write_Bytes_ps!B:F,4,FALSE)/1024/1024,"")</f>
        <v>0.16184259922943486</v>
      </c>
      <c r="X61" s="8">
        <f>IFERROR(VLOOKUP(B61,Read_Bytes_ps!B:F,4,FALSE)/1024/1024,"")</f>
        <v>0.16691622404868969</v>
      </c>
      <c r="Y61" s="8">
        <f>IFERROR(VLOOKUP(B61,Writes_ps!B:F,5,FALSE),"")</f>
        <v>75.448684692382798</v>
      </c>
      <c r="Z61" s="8">
        <f>IFERROR(VLOOKUP(B61,Reads_ps!B:F,5,FALSE),"")</f>
        <v>78.043624877929702</v>
      </c>
      <c r="AA61" s="8">
        <f t="shared" si="25"/>
        <v>0.32875882327812456</v>
      </c>
      <c r="AB61" s="122">
        <f t="shared" si="26"/>
        <v>154</v>
      </c>
      <c r="AC61" s="122" t="str">
        <f t="shared" si="27"/>
        <v>D4s v4</v>
      </c>
      <c r="AD61" s="8" t="s">
        <v>290</v>
      </c>
      <c r="AE61" s="8">
        <f>IFERROR(VLOOKUP(AD61,'Web-SKUS'!A:E,2,FALSE),"")</f>
        <v>2</v>
      </c>
      <c r="AF61" s="8">
        <f>_xlfn.NUMBERVALUE(IFERROR(VLOOKUP(AD61,'Web-SKUS'!A:E,4,FALSE),""))</f>
        <v>4</v>
      </c>
      <c r="AG61" s="8">
        <f>IFERROR(VLOOKUP(AD61,VM_Performance_Stats!A:G,7,FALSE),0)</f>
        <v>4</v>
      </c>
      <c r="AH61" s="8">
        <f>IFERROR(VLOOKUP(AD61,VM_Performance_Stats!A:I,8,FALSE),"")</f>
        <v>3200</v>
      </c>
      <c r="AI61" s="8">
        <f t="shared" si="28"/>
        <v>1</v>
      </c>
      <c r="AJ61" s="8">
        <f t="shared" si="29"/>
        <v>1</v>
      </c>
      <c r="AK61" s="8">
        <f>IFERROR(IF(VLOOKUP(AD61,VM_Performance_Stats!A:I,8,FALSE)&gt;AB61,1,0),0)</f>
        <v>1</v>
      </c>
      <c r="AL61" t="str">
        <f>IFERROR(VLOOKUP(AD61,'Web-SKUS'!A:G,7,FALSE),"")</f>
        <v>£31.2409/month</v>
      </c>
      <c r="AM61" s="116">
        <f t="shared" si="30"/>
        <v>31.2409</v>
      </c>
      <c r="AN61" t="str">
        <f>IFERROR(IF(C61=1,VLOOKUP(K61,'Web-SKUS'!A:G,7,FALSE),VLOOKUP(K61,'Web-SKUS'!A:G,6,FALSE)),"")</f>
        <v>£125.1374/month</v>
      </c>
      <c r="AO61" s="116">
        <f t="shared" si="31"/>
        <v>125.1374</v>
      </c>
      <c r="AP61" s="116">
        <f t="shared" si="32"/>
        <v>31.2409</v>
      </c>
      <c r="AQ61" s="115">
        <f t="shared" si="33"/>
        <v>93.896500000000003</v>
      </c>
      <c r="AR61" s="115">
        <f t="shared" si="14"/>
        <v>1126.758</v>
      </c>
      <c r="AS61" s="115" t="e">
        <f>VLOOKUP(B61,'Willie List'!B:M,12,FALSE)</f>
        <v>#N/A</v>
      </c>
      <c r="AT61" s="115" t="str">
        <f t="shared" si="15"/>
        <v>Standard_D4s_v4</v>
      </c>
      <c r="AU61" s="115" t="str">
        <f t="shared" si="16"/>
        <v>D4s v4</v>
      </c>
      <c r="AV61" t="str">
        <f t="shared" si="17"/>
        <v>F2s v2</v>
      </c>
      <c r="AW61" s="8">
        <f t="shared" si="18"/>
        <v>0</v>
      </c>
    </row>
    <row r="62" spans="2:49">
      <c r="B62" s="238" t="s">
        <v>291</v>
      </c>
      <c r="C62" s="239">
        <f>IFERROR(IF(VLOOKUP(B62,'Willie List'!B:B,1,FALSE) &lt;&gt; "",1,0),0)</f>
        <v>1</v>
      </c>
      <c r="D62" s="239"/>
      <c r="E62" s="238" t="s">
        <v>95</v>
      </c>
      <c r="F62" s="238" t="s">
        <v>292</v>
      </c>
      <c r="G62" s="238" t="s">
        <v>152</v>
      </c>
      <c r="H62" s="238" t="s">
        <v>153</v>
      </c>
      <c r="I62" s="238" t="s">
        <v>276</v>
      </c>
      <c r="J62" s="238" t="s">
        <v>57</v>
      </c>
      <c r="K62" s="239" t="str">
        <f t="shared" si="20"/>
        <v>D4ds v4</v>
      </c>
      <c r="L62" s="239">
        <f>VLOOKUP(K62,'Web-SKUS'!A:E,2,FALSE)</f>
        <v>4</v>
      </c>
      <c r="M62" s="239" t="str">
        <f>VLOOKUP(K62,'Web-SKUS'!A:E,4,FALSE)</f>
        <v>16</v>
      </c>
      <c r="N62" s="238" t="s">
        <v>277</v>
      </c>
      <c r="O62" s="238">
        <v>1</v>
      </c>
      <c r="P62" s="238" t="s">
        <v>157</v>
      </c>
      <c r="Q62" s="238" t="str">
        <f>IFERROR(VLOOKUP(B62,PercentCPU!B:F,4,FALSE),"")</f>
        <v/>
      </c>
      <c r="R62" s="238" t="str">
        <f>IFERROR(VLOOKUP(B62,MemoryAvailable!B:F,3,FALSE),"")</f>
        <v/>
      </c>
      <c r="S62" s="240" t="str">
        <f t="shared" si="21"/>
        <v/>
      </c>
      <c r="T62" s="238" t="str">
        <f t="shared" si="22"/>
        <v/>
      </c>
      <c r="U62" s="239">
        <f t="shared" si="23"/>
        <v>0</v>
      </c>
      <c r="V62" s="239" t="str">
        <f t="shared" si="24"/>
        <v/>
      </c>
      <c r="W62" s="8" t="str">
        <f>IFERROR(VLOOKUP(B62,Write_Bytes_ps!B:F,4,FALSE)/1024/1024,"")</f>
        <v/>
      </c>
      <c r="X62" s="8" t="str">
        <f>IFERROR(VLOOKUP(B62,Read_Bytes_ps!B:F,4,FALSE)/1024/1024,"")</f>
        <v/>
      </c>
      <c r="Y62" s="8" t="str">
        <f>IFERROR(VLOOKUP(B62,Writes_ps!B:F,5,FALSE),"")</f>
        <v/>
      </c>
      <c r="Z62" s="8" t="str">
        <f>IFERROR(VLOOKUP(B62,Reads_ps!B:F,5,FALSE),"")</f>
        <v/>
      </c>
      <c r="AA62" s="241">
        <f t="shared" si="25"/>
        <v>0</v>
      </c>
      <c r="AB62" s="242">
        <f t="shared" si="26"/>
        <v>0</v>
      </c>
      <c r="AC62" s="242" t="str">
        <f t="shared" si="27"/>
        <v>D4ds v4</v>
      </c>
      <c r="AD62" s="239"/>
      <c r="AE62" s="239" t="str">
        <f>IFERROR(VLOOKUP(AD62,'Web-SKUS'!A:E,2,FALSE),"")</f>
        <v/>
      </c>
      <c r="AF62" s="239">
        <f>_xlfn.NUMBERVALUE(IFERROR(VLOOKUP(AD62,'Web-SKUS'!A:E,4,FALSE),""))</f>
        <v>0</v>
      </c>
      <c r="AG62" s="239">
        <f>IFERROR(VLOOKUP(AD62,VM_Performance_Stats!A:G,7,FALSE),0)</f>
        <v>0</v>
      </c>
      <c r="AH62" s="239" t="str">
        <f>IFERROR(VLOOKUP(AD62,VM_Performance_Stats!A:I,8,FALSE),"")</f>
        <v/>
      </c>
      <c r="AI62" s="239">
        <f t="shared" si="28"/>
        <v>1</v>
      </c>
      <c r="AJ62" s="239">
        <f t="shared" si="29"/>
        <v>0</v>
      </c>
      <c r="AK62" s="239">
        <f>IFERROR(IF(VLOOKUP(AD62,VM_Performance_Stats!A:I,8,FALSE)&gt;AB62,1,0),0)</f>
        <v>0</v>
      </c>
      <c r="AL62" t="str">
        <f>IFERROR(VLOOKUP(AD62,'Web-SKUS'!A:G,7,FALSE),"")</f>
        <v/>
      </c>
      <c r="AM62" s="243" t="str">
        <f t="shared" si="30"/>
        <v/>
      </c>
      <c r="AN62" t="str">
        <f>IFERROR(IF(C62=1,VLOOKUP(K62,'Web-SKUS'!A:G,7,FALSE),VLOOKUP(K62,'Web-SKUS'!A:G,6,FALSE)),"")</f>
        <v>£87.3242/month</v>
      </c>
      <c r="AO62" s="243">
        <f t="shared" si="31"/>
        <v>87.324200000000005</v>
      </c>
      <c r="AP62" s="243">
        <f t="shared" si="32"/>
        <v>87.324200000000005</v>
      </c>
      <c r="AQ62" s="244">
        <f t="shared" si="33"/>
        <v>0</v>
      </c>
      <c r="AR62" s="115">
        <f t="shared" si="14"/>
        <v>0</v>
      </c>
      <c r="AS62" s="115" t="str">
        <f>VLOOKUP(B62,'Willie List'!B:M,12,FALSE)</f>
        <v>YES</v>
      </c>
      <c r="AT62" s="115" t="str">
        <f t="shared" si="15"/>
        <v>Standard_D4ds_v4</v>
      </c>
      <c r="AU62" s="115" t="str">
        <f t="shared" si="16"/>
        <v>D4ds v4</v>
      </c>
      <c r="AV62">
        <f t="shared" si="17"/>
        <v>0</v>
      </c>
      <c r="AW62" s="8">
        <f t="shared" si="18"/>
        <v>0</v>
      </c>
    </row>
    <row r="63" spans="2:49">
      <c r="B63" t="s">
        <v>293</v>
      </c>
      <c r="C63" s="8">
        <f>IFERROR(IF(VLOOKUP(B63,'Willie List'!B:B,1,FALSE) &lt;&gt; "",1,0),0)</f>
        <v>0</v>
      </c>
      <c r="D63" s="8"/>
      <c r="E63" t="s">
        <v>97</v>
      </c>
      <c r="F63" t="s">
        <v>294</v>
      </c>
      <c r="G63" t="s">
        <v>295</v>
      </c>
      <c r="H63" t="s">
        <v>153</v>
      </c>
      <c r="I63" t="s">
        <v>276</v>
      </c>
      <c r="J63" t="s">
        <v>57</v>
      </c>
      <c r="K63" s="8" t="str">
        <f t="shared" si="20"/>
        <v>D4ds v4</v>
      </c>
      <c r="L63" s="8">
        <f>VLOOKUP(K63,'Web-SKUS'!A:E,2,FALSE)</f>
        <v>4</v>
      </c>
      <c r="M63" s="8" t="str">
        <f>VLOOKUP(K63,'Web-SKUS'!A:E,4,FALSE)</f>
        <v>16</v>
      </c>
      <c r="N63" t="s">
        <v>277</v>
      </c>
      <c r="O63" s="8">
        <v>1</v>
      </c>
      <c r="P63" t="s">
        <v>157</v>
      </c>
      <c r="Q63">
        <f>IFERROR(VLOOKUP(B63,PercentCPU!B:F,4,FALSE),"")</f>
        <v>1.3601895740029719</v>
      </c>
      <c r="R63">
        <f>IFERROR(VLOOKUP(B63,MemoryAvailable!B:F,3,FALSE),"")</f>
        <v>13418.144477836213</v>
      </c>
      <c r="S63" s="2">
        <f t="shared" si="21"/>
        <v>0.18102145521019208</v>
      </c>
      <c r="T63">
        <f t="shared" si="22"/>
        <v>1</v>
      </c>
      <c r="U63" s="8">
        <f t="shared" si="23"/>
        <v>3</v>
      </c>
      <c r="V63" s="8">
        <f t="shared" si="24"/>
        <v>0</v>
      </c>
      <c r="W63" s="8">
        <f>IFERROR(VLOOKUP(B63,Write_Bytes_ps!B:F,4,FALSE)/1024/1024,"")</f>
        <v>0.20021366689869036</v>
      </c>
      <c r="X63" s="8">
        <f>IFERROR(VLOOKUP(B63,Read_Bytes_ps!B:F,4,FALSE)/1024/1024,"")</f>
        <v>0.52618519206023939</v>
      </c>
      <c r="Y63" s="8">
        <f>IFERROR(VLOOKUP(B63,Writes_ps!B:F,5,FALSE),"")</f>
        <v>150.57530212402301</v>
      </c>
      <c r="Z63" s="8">
        <f>IFERROR(VLOOKUP(B63,Reads_ps!B:F,5,FALSE),"")</f>
        <v>183.96575927734401</v>
      </c>
      <c r="AA63" s="8">
        <f t="shared" si="25"/>
        <v>0.72639885895892975</v>
      </c>
      <c r="AB63" s="122">
        <f t="shared" si="26"/>
        <v>335</v>
      </c>
      <c r="AC63" s="122" t="str">
        <f t="shared" si="27"/>
        <v>D4ds v4</v>
      </c>
      <c r="AD63" s="8" t="s">
        <v>290</v>
      </c>
      <c r="AE63" s="8">
        <f>IFERROR(VLOOKUP(AD63,'Web-SKUS'!A:E,2,FALSE),"")</f>
        <v>2</v>
      </c>
      <c r="AF63" s="8">
        <f>_xlfn.NUMBERVALUE(IFERROR(VLOOKUP(AD63,'Web-SKUS'!A:E,4,FALSE),""))</f>
        <v>4</v>
      </c>
      <c r="AG63" s="8">
        <f>IFERROR(VLOOKUP(AD63,VM_Performance_Stats!A:G,7,FALSE),0)</f>
        <v>4</v>
      </c>
      <c r="AH63" s="8">
        <f>IFERROR(VLOOKUP(AD63,VM_Performance_Stats!A:I,8,FALSE),"")</f>
        <v>3200</v>
      </c>
      <c r="AI63" s="8">
        <f t="shared" si="28"/>
        <v>1</v>
      </c>
      <c r="AJ63" s="8">
        <f t="shared" si="29"/>
        <v>1</v>
      </c>
      <c r="AK63" s="8">
        <f>IFERROR(IF(VLOOKUP(AD63,VM_Performance_Stats!A:I,8,FALSE)&gt;AB63,1,0),0)</f>
        <v>1</v>
      </c>
      <c r="AL63" t="str">
        <f>IFERROR(VLOOKUP(AD63,'Web-SKUS'!A:G,7,FALSE),"")</f>
        <v>£31.2409/month</v>
      </c>
      <c r="AM63" s="116">
        <f t="shared" si="30"/>
        <v>31.2409</v>
      </c>
      <c r="AN63" t="str">
        <f>IFERROR(IF(C63=1,VLOOKUP(K63,'Web-SKUS'!A:G,7,FALSE),VLOOKUP(K63,'Web-SKUS'!A:G,6,FALSE)),"")</f>
        <v>£147.9886/month</v>
      </c>
      <c r="AO63" s="116">
        <f t="shared" si="31"/>
        <v>147.98859999999999</v>
      </c>
      <c r="AP63" s="116">
        <f t="shared" si="32"/>
        <v>31.2409</v>
      </c>
      <c r="AQ63" s="115">
        <f t="shared" si="33"/>
        <v>116.74769999999999</v>
      </c>
      <c r="AR63" s="115">
        <f t="shared" si="14"/>
        <v>1400.9723999999999</v>
      </c>
      <c r="AS63" s="115" t="e">
        <f>VLOOKUP(B63,'Willie List'!B:M,12,FALSE)</f>
        <v>#N/A</v>
      </c>
      <c r="AT63" s="115" t="str">
        <f t="shared" si="15"/>
        <v>Standard_D4ds_v4</v>
      </c>
      <c r="AU63" s="115" t="str">
        <f t="shared" si="16"/>
        <v>D4ds v4</v>
      </c>
      <c r="AV63" t="str">
        <f t="shared" si="17"/>
        <v>F2s v2</v>
      </c>
      <c r="AW63" s="8">
        <f t="shared" si="18"/>
        <v>0</v>
      </c>
    </row>
    <row r="64" spans="2:49">
      <c r="B64" t="s">
        <v>296</v>
      </c>
      <c r="C64" s="8">
        <f>IFERROR(IF(VLOOKUP(B64,'Willie List'!B:B,1,FALSE) &lt;&gt; "",1,0),0)</f>
        <v>0</v>
      </c>
      <c r="D64" s="8"/>
      <c r="E64" t="s">
        <v>101</v>
      </c>
      <c r="F64" t="s">
        <v>287</v>
      </c>
      <c r="G64" t="s">
        <v>297</v>
      </c>
      <c r="H64" t="s">
        <v>153</v>
      </c>
      <c r="I64" t="s">
        <v>276</v>
      </c>
      <c r="J64" t="s">
        <v>289</v>
      </c>
      <c r="K64" s="8" t="str">
        <f t="shared" si="20"/>
        <v>D4s v4</v>
      </c>
      <c r="L64" s="8">
        <f>VLOOKUP(K64,'Web-SKUS'!A:E,2,FALSE)</f>
        <v>4</v>
      </c>
      <c r="M64" s="8" t="str">
        <f>VLOOKUP(K64,'Web-SKUS'!A:E,4,FALSE)</f>
        <v>16</v>
      </c>
      <c r="N64" t="s">
        <v>277</v>
      </c>
      <c r="O64" s="8">
        <v>1</v>
      </c>
      <c r="P64" t="s">
        <v>157</v>
      </c>
      <c r="Q64">
        <f>IFERROR(VLOOKUP(B64,PercentCPU!B:F,4,FALSE),"")</f>
        <v>9.9556394994265673</v>
      </c>
      <c r="R64">
        <f>IFERROR(VLOOKUP(B64,MemoryAvailable!B:F,3,FALSE),"")</f>
        <v>10908.100506979194</v>
      </c>
      <c r="S64" s="2">
        <f t="shared" si="21"/>
        <v>0.3342223811658207</v>
      </c>
      <c r="T64">
        <f t="shared" si="22"/>
        <v>1</v>
      </c>
      <c r="U64" s="8">
        <f t="shared" si="23"/>
        <v>5</v>
      </c>
      <c r="V64" s="8">
        <f t="shared" si="24"/>
        <v>0</v>
      </c>
      <c r="W64" s="8">
        <f>IFERROR(VLOOKUP(B64,Write_Bytes_ps!B:F,4,FALSE)/1024/1024,"")</f>
        <v>0.19061937318058061</v>
      </c>
      <c r="X64" s="8">
        <f>IFERROR(VLOOKUP(B64,Read_Bytes_ps!B:F,4,FALSE)/1024/1024,"")</f>
        <v>0.16547410297083401</v>
      </c>
      <c r="Y64" s="8">
        <f>IFERROR(VLOOKUP(B64,Writes_ps!B:F,5,FALSE),"")</f>
        <v>85.458320617675795</v>
      </c>
      <c r="Z64" s="8">
        <f>IFERROR(VLOOKUP(B64,Reads_ps!B:F,5,FALSE),"")</f>
        <v>61.266201019287102</v>
      </c>
      <c r="AA64" s="8">
        <f t="shared" si="25"/>
        <v>0.35609347615141462</v>
      </c>
      <c r="AB64" s="122">
        <f t="shared" si="26"/>
        <v>147</v>
      </c>
      <c r="AC64" s="122" t="str">
        <f t="shared" si="27"/>
        <v>D4s v4</v>
      </c>
      <c r="AD64" s="8" t="s">
        <v>298</v>
      </c>
      <c r="AE64" s="8">
        <f>IFERROR(VLOOKUP(AD64,'Web-SKUS'!A:E,2,FALSE),"")</f>
        <v>2</v>
      </c>
      <c r="AF64" s="8">
        <f>_xlfn.NUMBERVALUE(IFERROR(VLOOKUP(AD64,'Web-SKUS'!A:E,4,FALSE),""))</f>
        <v>8</v>
      </c>
      <c r="AG64" s="8">
        <f>IFERROR(VLOOKUP(AD64,VM_Performance_Stats!A:G,7,FALSE),0)</f>
        <v>4</v>
      </c>
      <c r="AH64" s="8">
        <f>IFERROR(VLOOKUP(AD64,VM_Performance_Stats!A:I,8,FALSE),"")</f>
        <v>3200</v>
      </c>
      <c r="AI64" s="8">
        <f t="shared" si="28"/>
        <v>1</v>
      </c>
      <c r="AJ64" s="8">
        <f t="shared" si="29"/>
        <v>1</v>
      </c>
      <c r="AK64" s="8">
        <f>IFERROR(IF(VLOOKUP(AD64,VM_Performance_Stats!A:I,8,FALSE)&gt;AB64,1,0),0)</f>
        <v>1</v>
      </c>
      <c r="AL64" t="str">
        <f>IFERROR(VLOOKUP(AD64,'Web-SKUS'!A:G,7,FALSE),"")</f>
        <v>£41.6109/month</v>
      </c>
      <c r="AM64" s="116">
        <f t="shared" si="30"/>
        <v>41.610900000000001</v>
      </c>
      <c r="AN64" t="str">
        <f>IFERROR(IF(C64=1,VLOOKUP(K64,'Web-SKUS'!A:G,7,FALSE),VLOOKUP(K64,'Web-SKUS'!A:G,6,FALSE)),"")</f>
        <v>£125.1374/month</v>
      </c>
      <c r="AO64" s="116">
        <f t="shared" si="31"/>
        <v>125.1374</v>
      </c>
      <c r="AP64" s="116">
        <f t="shared" si="32"/>
        <v>41.610900000000001</v>
      </c>
      <c r="AQ64" s="115">
        <f t="shared" si="33"/>
        <v>83.526499999999999</v>
      </c>
      <c r="AR64" s="115">
        <f t="shared" si="14"/>
        <v>1002.318</v>
      </c>
      <c r="AS64" s="115" t="e">
        <f>VLOOKUP(B64,'Willie List'!B:M,12,FALSE)</f>
        <v>#N/A</v>
      </c>
      <c r="AT64" s="115" t="str">
        <f t="shared" si="15"/>
        <v>Standard_D4s_v4</v>
      </c>
      <c r="AU64" s="115" t="str">
        <f t="shared" si="16"/>
        <v>D4s v4</v>
      </c>
      <c r="AV64" t="str">
        <f t="shared" si="17"/>
        <v>D2as v4</v>
      </c>
      <c r="AW64" s="8">
        <f t="shared" si="18"/>
        <v>0</v>
      </c>
    </row>
    <row r="65" spans="1:49">
      <c r="A65" t="s">
        <v>299</v>
      </c>
      <c r="B65" s="238" t="s">
        <v>300</v>
      </c>
      <c r="C65" s="239">
        <f>IFERROR(IF(VLOOKUP(B65,'Willie List'!B:B,1,FALSE) &lt;&gt; "",1,0),0)</f>
        <v>1</v>
      </c>
      <c r="D65" s="239"/>
      <c r="E65" s="238" t="s">
        <v>97</v>
      </c>
      <c r="F65" s="238" t="s">
        <v>301</v>
      </c>
      <c r="G65" s="238" t="s">
        <v>152</v>
      </c>
      <c r="H65" s="238" t="s">
        <v>153</v>
      </c>
      <c r="I65" s="238" t="s">
        <v>276</v>
      </c>
      <c r="J65" s="238" t="s">
        <v>57</v>
      </c>
      <c r="K65" s="239" t="str">
        <f t="shared" si="20"/>
        <v>D4ds v4</v>
      </c>
      <c r="L65" s="239">
        <f>VLOOKUP(K65,'Web-SKUS'!A:E,2,FALSE)</f>
        <v>4</v>
      </c>
      <c r="M65" s="239" t="str">
        <f>VLOOKUP(K65,'Web-SKUS'!A:E,4,FALSE)</f>
        <v>16</v>
      </c>
      <c r="N65" s="238" t="s">
        <v>277</v>
      </c>
      <c r="O65" s="238">
        <v>1</v>
      </c>
      <c r="P65" s="238" t="s">
        <v>157</v>
      </c>
      <c r="Q65" s="238" t="str">
        <f>IFERROR(VLOOKUP(B65,PercentCPU!B:F,4,FALSE),"")</f>
        <v/>
      </c>
      <c r="R65" s="238" t="str">
        <f>IFERROR(VLOOKUP(B65,MemoryAvailable!B:F,3,FALSE),"")</f>
        <v/>
      </c>
      <c r="S65" s="240" t="str">
        <f t="shared" si="21"/>
        <v/>
      </c>
      <c r="T65" s="238" t="str">
        <f t="shared" si="22"/>
        <v/>
      </c>
      <c r="U65" s="239">
        <f t="shared" si="23"/>
        <v>0</v>
      </c>
      <c r="V65" s="239" t="str">
        <f t="shared" si="24"/>
        <v/>
      </c>
      <c r="W65" s="8" t="str">
        <f>IFERROR(VLOOKUP(B65,Write_Bytes_ps!B:F,4,FALSE)/1024/1024,"")</f>
        <v/>
      </c>
      <c r="X65" s="8" t="str">
        <f>IFERROR(VLOOKUP(B65,Read_Bytes_ps!B:F,4,FALSE)/1024/1024,"")</f>
        <v/>
      </c>
      <c r="Y65" s="8" t="str">
        <f>IFERROR(VLOOKUP(B65,Writes_ps!B:F,5,FALSE),"")</f>
        <v/>
      </c>
      <c r="Z65" s="8" t="str">
        <f>IFERROR(VLOOKUP(B65,Reads_ps!B:F,5,FALSE),"")</f>
        <v/>
      </c>
      <c r="AA65" s="241">
        <f t="shared" si="25"/>
        <v>0</v>
      </c>
      <c r="AB65" s="242">
        <f t="shared" si="26"/>
        <v>0</v>
      </c>
      <c r="AC65" s="242" t="str">
        <f t="shared" si="27"/>
        <v>D4ds v4</v>
      </c>
      <c r="AD65" s="239"/>
      <c r="AE65" s="239" t="str">
        <f>IFERROR(VLOOKUP(AD65,'Web-SKUS'!A:E,2,FALSE),"")</f>
        <v/>
      </c>
      <c r="AF65" s="239">
        <f>_xlfn.NUMBERVALUE(IFERROR(VLOOKUP(AD65,'Web-SKUS'!A:E,4,FALSE),""))</f>
        <v>0</v>
      </c>
      <c r="AG65" s="239">
        <f>IFERROR(VLOOKUP(AD65,VM_Performance_Stats!A:G,7,FALSE),0)</f>
        <v>0</v>
      </c>
      <c r="AH65" s="239" t="str">
        <f>IFERROR(VLOOKUP(AD65,VM_Performance_Stats!A:I,8,FALSE),"")</f>
        <v/>
      </c>
      <c r="AI65" s="239">
        <f t="shared" si="28"/>
        <v>1</v>
      </c>
      <c r="AJ65" s="239">
        <f t="shared" si="29"/>
        <v>0</v>
      </c>
      <c r="AK65" s="239">
        <f>IFERROR(IF(VLOOKUP(AD65,VM_Performance_Stats!A:I,8,FALSE)&gt;AB65,1,0),0)</f>
        <v>0</v>
      </c>
      <c r="AL65" t="str">
        <f>IFERROR(VLOOKUP(AD65,'Web-SKUS'!A:G,7,FALSE),"")</f>
        <v/>
      </c>
      <c r="AM65" s="243" t="str">
        <f t="shared" si="30"/>
        <v/>
      </c>
      <c r="AN65" t="str">
        <f>IFERROR(IF(C65=1,VLOOKUP(K65,'Web-SKUS'!A:G,7,FALSE),VLOOKUP(K65,'Web-SKUS'!A:G,6,FALSE)),"")</f>
        <v>£87.3242/month</v>
      </c>
      <c r="AO65" s="243">
        <f t="shared" si="31"/>
        <v>87.324200000000005</v>
      </c>
      <c r="AP65" s="243">
        <f t="shared" si="32"/>
        <v>87.324200000000005</v>
      </c>
      <c r="AQ65" s="244">
        <f t="shared" si="33"/>
        <v>0</v>
      </c>
      <c r="AR65" s="115">
        <f t="shared" si="14"/>
        <v>0</v>
      </c>
      <c r="AS65" s="115" t="str">
        <f>VLOOKUP(B65,'Willie List'!B:M,12,FALSE)</f>
        <v>YES</v>
      </c>
      <c r="AT65" s="115" t="str">
        <f t="shared" si="15"/>
        <v>Standard_D4ds_v4</v>
      </c>
      <c r="AU65" s="115" t="str">
        <f t="shared" si="16"/>
        <v>D4ds v4</v>
      </c>
      <c r="AV65">
        <f t="shared" si="17"/>
        <v>0</v>
      </c>
      <c r="AW65" s="8">
        <f t="shared" si="18"/>
        <v>0</v>
      </c>
    </row>
    <row r="66" spans="1:49">
      <c r="B66" t="s">
        <v>302</v>
      </c>
      <c r="C66" s="8">
        <f>IFERROR(IF(VLOOKUP(B66,'Willie List'!B:B,1,FALSE) &lt;&gt; "",1,0),0)</f>
        <v>0</v>
      </c>
      <c r="D66" s="8"/>
      <c r="E66" t="s">
        <v>99</v>
      </c>
      <c r="F66" t="s">
        <v>303</v>
      </c>
      <c r="G66" t="s">
        <v>152</v>
      </c>
      <c r="H66" t="s">
        <v>275</v>
      </c>
      <c r="I66" t="s">
        <v>276</v>
      </c>
      <c r="J66" t="s">
        <v>304</v>
      </c>
      <c r="K66" s="8" t="str">
        <f t="shared" si="20"/>
        <v>D2s v4</v>
      </c>
      <c r="L66" s="8">
        <f>VLOOKUP(K66,'Web-SKUS'!A:E,2,FALSE)</f>
        <v>2</v>
      </c>
      <c r="M66" s="8" t="str">
        <f>VLOOKUP(K66,'Web-SKUS'!A:E,4,FALSE)</f>
        <v>8</v>
      </c>
      <c r="N66" t="s">
        <v>277</v>
      </c>
      <c r="O66">
        <v>1</v>
      </c>
      <c r="P66" t="s">
        <v>157</v>
      </c>
      <c r="Q66" t="str">
        <f>IFERROR(VLOOKUP(B66,PercentCPU!B:F,4,FALSE),"")</f>
        <v/>
      </c>
      <c r="R66" t="str">
        <f>IFERROR(VLOOKUP(B66,MemoryAvailable!B:F,3,FALSE),"")</f>
        <v/>
      </c>
      <c r="S66" s="2" t="str">
        <f t="shared" si="21"/>
        <v/>
      </c>
      <c r="T66" t="str">
        <f t="shared" si="22"/>
        <v/>
      </c>
      <c r="U66" s="8">
        <f t="shared" si="23"/>
        <v>0</v>
      </c>
      <c r="V66" s="8" t="str">
        <f t="shared" si="24"/>
        <v/>
      </c>
      <c r="W66" s="8" t="str">
        <f>IFERROR(VLOOKUP(B66,Write_Bytes_ps!B:F,4,FALSE)/1024/1024,"")</f>
        <v/>
      </c>
      <c r="X66" s="8" t="str">
        <f>IFERROR(VLOOKUP(B66,Read_Bytes_ps!B:F,4,FALSE)/1024/1024,"")</f>
        <v/>
      </c>
      <c r="Y66" s="8" t="str">
        <f>IFERROR(VLOOKUP(B66,Writes_ps!B:F,5,FALSE),"")</f>
        <v/>
      </c>
      <c r="Z66" s="8" t="str">
        <f>IFERROR(VLOOKUP(B66,Reads_ps!B:F,5,FALSE),"")</f>
        <v/>
      </c>
      <c r="AA66" s="8">
        <f t="shared" si="25"/>
        <v>0</v>
      </c>
      <c r="AB66" s="122">
        <f t="shared" si="26"/>
        <v>0</v>
      </c>
      <c r="AC66" s="122" t="str">
        <f t="shared" si="27"/>
        <v>D2s v4</v>
      </c>
      <c r="AE66" s="8" t="str">
        <f>IFERROR(VLOOKUP(AD66,'Web-SKUS'!A:E,2,FALSE),"")</f>
        <v/>
      </c>
      <c r="AF66" s="8">
        <f>_xlfn.NUMBERVALUE(IFERROR(VLOOKUP(AD66,'Web-SKUS'!A:E,4,FALSE),""))</f>
        <v>0</v>
      </c>
      <c r="AG66" s="8">
        <f>IFERROR(VLOOKUP(AD66,VM_Performance_Stats!A:G,7,FALSE),0)</f>
        <v>0</v>
      </c>
      <c r="AH66" s="8" t="str">
        <f>IFERROR(VLOOKUP(AD66,VM_Performance_Stats!A:I,8,FALSE),"")</f>
        <v/>
      </c>
      <c r="AI66" s="8">
        <f t="shared" si="28"/>
        <v>1</v>
      </c>
      <c r="AJ66" s="8">
        <f t="shared" si="29"/>
        <v>0</v>
      </c>
      <c r="AK66" s="8">
        <f>IFERROR(IF(VLOOKUP(AD66,VM_Performance_Stats!A:I,8,FALSE)&gt;AB66,1,0),0)</f>
        <v>0</v>
      </c>
      <c r="AL66" t="str">
        <f>IFERROR(VLOOKUP(AD66,'Web-SKUS'!A:G,7,FALSE),"")</f>
        <v/>
      </c>
      <c r="AM66" s="116" t="str">
        <f t="shared" si="30"/>
        <v/>
      </c>
      <c r="AN66" t="str">
        <f>IFERROR(IF(C66=1,VLOOKUP(K66,'Web-SKUS'!A:G,7,FALSE),VLOOKUP(K66,'Web-SKUS'!A:G,6,FALSE)),"")</f>
        <v>£62.5687/month</v>
      </c>
      <c r="AO66" s="116">
        <f t="shared" si="31"/>
        <v>62.5687</v>
      </c>
      <c r="AP66" s="116">
        <f t="shared" si="32"/>
        <v>62.5687</v>
      </c>
      <c r="AQ66" s="115">
        <f t="shared" si="33"/>
        <v>0</v>
      </c>
      <c r="AR66" s="115">
        <f t="shared" si="14"/>
        <v>0</v>
      </c>
      <c r="AS66" s="115" t="e">
        <f>VLOOKUP(B66,'Willie List'!B:M,12,FALSE)</f>
        <v>#N/A</v>
      </c>
      <c r="AT66" s="115" t="str">
        <f t="shared" si="15"/>
        <v>Standard_D2s_v4</v>
      </c>
      <c r="AU66" s="115" t="str">
        <f t="shared" si="16"/>
        <v>D2s v4</v>
      </c>
      <c r="AV66">
        <f t="shared" si="17"/>
        <v>0</v>
      </c>
      <c r="AW66" s="8">
        <f t="shared" si="18"/>
        <v>0</v>
      </c>
    </row>
    <row r="67" spans="1:49">
      <c r="B67" t="s">
        <v>305</v>
      </c>
      <c r="C67" s="8">
        <f>IFERROR(IF(VLOOKUP(B67,'Willie List'!B:B,1,FALSE) &lt;&gt; "",1,0),0)</f>
        <v>0</v>
      </c>
      <c r="D67" s="8"/>
      <c r="E67" t="s">
        <v>97</v>
      </c>
      <c r="F67" t="s">
        <v>306</v>
      </c>
      <c r="G67" t="s">
        <v>152</v>
      </c>
      <c r="H67" t="s">
        <v>275</v>
      </c>
      <c r="I67" t="s">
        <v>276</v>
      </c>
      <c r="J67" t="s">
        <v>304</v>
      </c>
      <c r="K67" s="8" t="str">
        <f t="shared" si="20"/>
        <v>D2s v4</v>
      </c>
      <c r="L67" s="8">
        <f>VLOOKUP(K67,'Web-SKUS'!A:E,2,FALSE)</f>
        <v>2</v>
      </c>
      <c r="M67" s="8" t="str">
        <f>VLOOKUP(K67,'Web-SKUS'!A:E,4,FALSE)</f>
        <v>8</v>
      </c>
      <c r="N67" t="s">
        <v>277</v>
      </c>
      <c r="O67" s="8">
        <v>1</v>
      </c>
      <c r="P67" t="s">
        <v>157</v>
      </c>
      <c r="Q67">
        <f>IFERROR(VLOOKUP(B67,PercentCPU!B:F,4,FALSE),"")</f>
        <v>16.886290396828368</v>
      </c>
      <c r="R67">
        <f>IFERROR(VLOOKUP(B67,MemoryAvailable!B:F,3,FALSE),"")</f>
        <v>5857.7901890132116</v>
      </c>
      <c r="S67" s="2">
        <f t="shared" si="21"/>
        <v>0.28493772106772319</v>
      </c>
      <c r="T67">
        <f t="shared" si="22"/>
        <v>1</v>
      </c>
      <c r="U67" s="8">
        <f t="shared" si="23"/>
        <v>2</v>
      </c>
      <c r="V67" s="8" t="str">
        <f t="shared" si="24"/>
        <v>F Series</v>
      </c>
      <c r="W67" s="8">
        <f>IFERROR(VLOOKUP(B67,Write_Bytes_ps!B:F,4,FALSE)/1024/1024,"")</f>
        <v>0.32650618749421939</v>
      </c>
      <c r="X67" s="8">
        <f>IFERROR(VLOOKUP(B67,Read_Bytes_ps!B:F,4,FALSE)/1024/1024,"")</f>
        <v>0.28495090748255547</v>
      </c>
      <c r="Y67" s="8">
        <f>IFERROR(VLOOKUP(B67,Writes_ps!B:F,5,FALSE),"")</f>
        <v>198.74348449707</v>
      </c>
      <c r="Z67" s="8">
        <f>IFERROR(VLOOKUP(B67,Reads_ps!B:F,5,FALSE),"")</f>
        <v>1091.09338378906</v>
      </c>
      <c r="AA67" s="8">
        <f t="shared" si="25"/>
        <v>0.61145709497677481</v>
      </c>
      <c r="AB67" s="122">
        <f t="shared" si="26"/>
        <v>1290</v>
      </c>
      <c r="AC67" s="122" t="str">
        <f t="shared" si="27"/>
        <v>D2s v4</v>
      </c>
      <c r="AD67" s="8" t="s">
        <v>290</v>
      </c>
      <c r="AE67" s="8">
        <f>IFERROR(VLOOKUP(AD67,'Web-SKUS'!A:E,2,FALSE),"")</f>
        <v>2</v>
      </c>
      <c r="AF67" s="8">
        <f>_xlfn.NUMBERVALUE(IFERROR(VLOOKUP(AD67,'Web-SKUS'!A:E,4,FALSE),""))</f>
        <v>4</v>
      </c>
      <c r="AG67" s="8">
        <f>IFERROR(VLOOKUP(AD67,VM_Performance_Stats!A:G,7,FALSE),0)</f>
        <v>4</v>
      </c>
      <c r="AH67" s="8">
        <f>IFERROR(VLOOKUP(AD67,VM_Performance_Stats!A:I,8,FALSE),"")</f>
        <v>3200</v>
      </c>
      <c r="AI67" s="8">
        <f t="shared" si="28"/>
        <v>1</v>
      </c>
      <c r="AJ67" s="8">
        <f t="shared" si="29"/>
        <v>1</v>
      </c>
      <c r="AK67" s="8">
        <f>IFERROR(IF(VLOOKUP(AD67,VM_Performance_Stats!A:I,8,FALSE)&gt;AB67,1,0),0)</f>
        <v>1</v>
      </c>
      <c r="AL67" t="str">
        <f>IFERROR(VLOOKUP(AD67,'Web-SKUS'!A:G,7,FALSE),"")</f>
        <v>£31.2409/month</v>
      </c>
      <c r="AM67" s="116">
        <f t="shared" si="30"/>
        <v>31.2409</v>
      </c>
      <c r="AN67" t="str">
        <f>IFERROR(IF(C67=1,VLOOKUP(K67,'Web-SKUS'!A:G,7,FALSE),VLOOKUP(K67,'Web-SKUS'!A:G,6,FALSE)),"")</f>
        <v>£62.5687/month</v>
      </c>
      <c r="AO67" s="116">
        <f t="shared" si="31"/>
        <v>62.5687</v>
      </c>
      <c r="AP67" s="116">
        <f t="shared" si="32"/>
        <v>31.2409</v>
      </c>
      <c r="AQ67" s="115">
        <f t="shared" si="33"/>
        <v>31.3278</v>
      </c>
      <c r="AR67" s="115">
        <f t="shared" ref="AR67:AR130" si="34">AQ67*12</f>
        <v>375.93360000000001</v>
      </c>
      <c r="AS67" s="115" t="e">
        <f>VLOOKUP(B67,'Willie List'!B:M,12,FALSE)</f>
        <v>#N/A</v>
      </c>
      <c r="AT67" s="115" t="str">
        <f t="shared" ref="AT67:AT130" si="35">J67</f>
        <v>Standard_D2s_v4</v>
      </c>
      <c r="AU67" s="115" t="str">
        <f t="shared" ref="AU67:AU130" si="36">IFERROR(REPLACE(REPLACE(AT67,FIND("Standard_",AT67,1),9,""),FIND("_",REPLACE(AT67,FIND("Standard_",AT67,1),9,""),1),1," "),REPLACE(AT67,FIND("Standard_",AT67,1),9,""))</f>
        <v>D2s v4</v>
      </c>
      <c r="AV67" t="str">
        <f t="shared" ref="AV67:AV130" si="37">AD67</f>
        <v>F2s v2</v>
      </c>
      <c r="AW67" s="8">
        <f t="shared" ref="AW67:AW130" si="38">IFERROR(IF(AV67=AU67,1,0),"")</f>
        <v>0</v>
      </c>
    </row>
    <row r="68" spans="1:49">
      <c r="B68" s="238" t="s">
        <v>307</v>
      </c>
      <c r="C68" s="239">
        <f>IFERROR(IF(VLOOKUP(B68,'Willie List'!B:B,1,FALSE) &lt;&gt; "",1,0),0)</f>
        <v>1</v>
      </c>
      <c r="D68" s="239"/>
      <c r="E68" s="238" t="s">
        <v>95</v>
      </c>
      <c r="F68" s="238" t="s">
        <v>308</v>
      </c>
      <c r="G68" s="238" t="s">
        <v>152</v>
      </c>
      <c r="H68" s="238" t="s">
        <v>153</v>
      </c>
      <c r="I68" s="238" t="s">
        <v>276</v>
      </c>
      <c r="J68" s="238" t="s">
        <v>43</v>
      </c>
      <c r="K68" s="239" t="str">
        <f t="shared" si="20"/>
        <v>D4 v3</v>
      </c>
      <c r="L68" s="239">
        <f>VLOOKUP(K68,'Web-SKUS'!A:E,2,FALSE)</f>
        <v>4</v>
      </c>
      <c r="M68" s="239" t="str">
        <f>VLOOKUP(K68,'Web-SKUS'!A:E,4,FALSE)</f>
        <v>16</v>
      </c>
      <c r="N68" s="238" t="s">
        <v>277</v>
      </c>
      <c r="O68" s="239">
        <v>2</v>
      </c>
      <c r="P68" s="238" t="s">
        <v>157</v>
      </c>
      <c r="Q68" s="238">
        <f>IFERROR(VLOOKUP(B68,PercentCPU!B:F,4,FALSE),"")</f>
        <v>95.091487015415424</v>
      </c>
      <c r="R68" s="238">
        <f>IFERROR(VLOOKUP(B68,MemoryAvailable!B:F,3,FALSE),"")</f>
        <v>10056.307310099141</v>
      </c>
      <c r="S68" s="240">
        <f t="shared" si="21"/>
        <v>0.38621171203008176</v>
      </c>
      <c r="T68" s="238">
        <f t="shared" si="22"/>
        <v>4</v>
      </c>
      <c r="U68" s="239">
        <f t="shared" si="23"/>
        <v>6</v>
      </c>
      <c r="V68" s="239">
        <f t="shared" si="24"/>
        <v>0</v>
      </c>
      <c r="W68" s="8">
        <f>IFERROR(VLOOKUP(B68,Write_Bytes_ps!B:F,4,FALSE)/1024/1024,"")</f>
        <v>1.6759294576647255</v>
      </c>
      <c r="X68" s="8">
        <f>IFERROR(VLOOKUP(B68,Read_Bytes_ps!B:F,4,FALSE)/1024/1024,"")</f>
        <v>0.10286240636021446</v>
      </c>
      <c r="Y68" s="8">
        <f>IFERROR(VLOOKUP(B68,Writes_ps!B:F,5,FALSE),"")</f>
        <v>366.672607421875</v>
      </c>
      <c r="Z68" s="8">
        <f>IFERROR(VLOOKUP(B68,Reads_ps!B:F,5,FALSE),"")</f>
        <v>663.91851806640602</v>
      </c>
      <c r="AA68" s="241">
        <f t="shared" si="25"/>
        <v>1.7787918640249398</v>
      </c>
      <c r="AB68" s="242">
        <f t="shared" si="26"/>
        <v>1031</v>
      </c>
      <c r="AC68" s="242" t="str">
        <f t="shared" si="27"/>
        <v>D4 v3</v>
      </c>
      <c r="AD68" s="239"/>
      <c r="AE68" s="239" t="str">
        <f>IFERROR(VLOOKUP(AD68,'Web-SKUS'!A:E,2,FALSE),"")</f>
        <v/>
      </c>
      <c r="AF68" s="239">
        <f>_xlfn.NUMBERVALUE(IFERROR(VLOOKUP(AD68,'Web-SKUS'!A:E,4,FALSE),""))</f>
        <v>0</v>
      </c>
      <c r="AG68" s="239">
        <f>IFERROR(VLOOKUP(AD68,VM_Performance_Stats!A:G,7,FALSE),0)</f>
        <v>0</v>
      </c>
      <c r="AH68" s="239" t="str">
        <f>IFERROR(VLOOKUP(AD68,VM_Performance_Stats!A:I,8,FALSE),"")</f>
        <v/>
      </c>
      <c r="AI68" s="239">
        <f t="shared" si="28"/>
        <v>0</v>
      </c>
      <c r="AJ68" s="239">
        <f t="shared" si="29"/>
        <v>0</v>
      </c>
      <c r="AK68" s="239">
        <f>IFERROR(IF(VLOOKUP(AD68,VM_Performance_Stats!A:I,8,FALSE)&gt;AB68,1,0),0)</f>
        <v>0</v>
      </c>
      <c r="AL68" t="str">
        <f>IFERROR(VLOOKUP(AD68,'Web-SKUS'!A:G,7,FALSE),"")</f>
        <v/>
      </c>
      <c r="AM68" s="243" t="str">
        <f t="shared" si="30"/>
        <v/>
      </c>
      <c r="AN68" t="str">
        <f>IFERROR(IF(C68=1,VLOOKUP(K68,'Web-SKUS'!A:G,7,FALSE),VLOOKUP(K68,'Web-SKUS'!A:G,6,FALSE)),"")</f>
        <v>£83.1620/month</v>
      </c>
      <c r="AO68" s="243">
        <f t="shared" si="31"/>
        <v>83.162000000000006</v>
      </c>
      <c r="AP68" s="243">
        <f t="shared" si="32"/>
        <v>83.162000000000006</v>
      </c>
      <c r="AQ68" s="244">
        <f t="shared" si="33"/>
        <v>0</v>
      </c>
      <c r="AR68" s="115">
        <f t="shared" si="34"/>
        <v>0</v>
      </c>
      <c r="AS68" s="115" t="str">
        <f>VLOOKUP(B68,'Willie List'!B:M,12,FALSE)</f>
        <v>YES</v>
      </c>
      <c r="AT68" s="115" t="str">
        <f t="shared" si="35"/>
        <v>Standard_D4_v3</v>
      </c>
      <c r="AU68" s="115" t="str">
        <f t="shared" si="36"/>
        <v>D4 v3</v>
      </c>
      <c r="AV68">
        <f t="shared" si="37"/>
        <v>0</v>
      </c>
      <c r="AW68" s="8">
        <f t="shared" si="38"/>
        <v>0</v>
      </c>
    </row>
    <row r="69" spans="1:49">
      <c r="A69" t="s">
        <v>309</v>
      </c>
      <c r="B69" s="238" t="s">
        <v>310</v>
      </c>
      <c r="C69" s="239">
        <f>IFERROR(IF(VLOOKUP(B69,'Willie List'!B:B,1,FALSE) &lt;&gt; "",1,0),0)</f>
        <v>1</v>
      </c>
      <c r="D69" s="239"/>
      <c r="E69" s="238" t="s">
        <v>97</v>
      </c>
      <c r="F69" s="238" t="s">
        <v>285</v>
      </c>
      <c r="G69" s="238" t="s">
        <v>152</v>
      </c>
      <c r="H69" s="238" t="s">
        <v>153</v>
      </c>
      <c r="I69" s="238" t="s">
        <v>154</v>
      </c>
      <c r="J69" s="238" t="s">
        <v>43</v>
      </c>
      <c r="K69" s="239" t="str">
        <f t="shared" si="20"/>
        <v>D4 v3</v>
      </c>
      <c r="L69" s="239">
        <f>VLOOKUP(K69,'Web-SKUS'!A:E,2,FALSE)</f>
        <v>4</v>
      </c>
      <c r="M69" s="239" t="str">
        <f>VLOOKUP(K69,'Web-SKUS'!A:E,4,FALSE)</f>
        <v>16</v>
      </c>
      <c r="N69" s="238" t="s">
        <v>277</v>
      </c>
      <c r="O69" s="239">
        <v>2</v>
      </c>
      <c r="P69" s="238" t="s">
        <v>157</v>
      </c>
      <c r="Q69" s="238">
        <f>IFERROR(VLOOKUP(B69,PercentCPU!B:F,4,FALSE),"")</f>
        <v>6.6011336768023972</v>
      </c>
      <c r="R69" s="238">
        <f>IFERROR(VLOOKUP(B69,MemoryAvailable!B:F,3,FALSE),"")</f>
        <v>12902.426346838776</v>
      </c>
      <c r="S69" s="240">
        <f t="shared" si="21"/>
        <v>0.2124983919165786</v>
      </c>
      <c r="T69" s="238">
        <f t="shared" si="22"/>
        <v>1</v>
      </c>
      <c r="U69" s="239">
        <f t="shared" si="23"/>
        <v>3</v>
      </c>
      <c r="V69" s="239">
        <f t="shared" si="24"/>
        <v>0</v>
      </c>
      <c r="W69" s="8">
        <f>IFERROR(VLOOKUP(B69,Write_Bytes_ps!B:F,4,FALSE)/1024/1024,"")</f>
        <v>6.3172863636105678E-2</v>
      </c>
      <c r="X69" s="8">
        <f>IFERROR(VLOOKUP(B69,Read_Bytes_ps!B:F,4,FALSE)/1024/1024,"")</f>
        <v>0</v>
      </c>
      <c r="Y69" s="8">
        <f>IFERROR(VLOOKUP(B69,Writes_ps!B:F,5,FALSE),"")</f>
        <v>195.96608433385001</v>
      </c>
      <c r="Z69" s="8">
        <f>IFERROR(VLOOKUP(B69,Reads_ps!B:F,5,FALSE),"")</f>
        <v>552.33303728740395</v>
      </c>
      <c r="AA69" s="241">
        <f t="shared" si="25"/>
        <v>6.3172863636105678E-2</v>
      </c>
      <c r="AB69" s="242">
        <f t="shared" si="26"/>
        <v>749</v>
      </c>
      <c r="AC69" s="242" t="str">
        <f t="shared" si="27"/>
        <v>D4 v3</v>
      </c>
      <c r="AD69" s="239"/>
      <c r="AE69" s="239" t="str">
        <f>IFERROR(VLOOKUP(AD69,'Web-SKUS'!A:E,2,FALSE),"")</f>
        <v/>
      </c>
      <c r="AF69" s="239">
        <f>_xlfn.NUMBERVALUE(IFERROR(VLOOKUP(AD69,'Web-SKUS'!A:E,4,FALSE),""))</f>
        <v>0</v>
      </c>
      <c r="AG69" s="239">
        <f>IFERROR(VLOOKUP(AD69,VM_Performance_Stats!A:G,7,FALSE),0)</f>
        <v>0</v>
      </c>
      <c r="AH69" s="239" t="str">
        <f>IFERROR(VLOOKUP(AD69,VM_Performance_Stats!A:I,8,FALSE),"")</f>
        <v/>
      </c>
      <c r="AI69" s="239">
        <f t="shared" si="28"/>
        <v>0</v>
      </c>
      <c r="AJ69" s="239">
        <f t="shared" si="29"/>
        <v>0</v>
      </c>
      <c r="AK69" s="239">
        <f>IFERROR(IF(VLOOKUP(AD69,VM_Performance_Stats!A:I,8,FALSE)&gt;AB69,1,0),0)</f>
        <v>0</v>
      </c>
      <c r="AL69" t="str">
        <f>IFERROR(VLOOKUP(AD69,'Web-SKUS'!A:G,7,FALSE),"")</f>
        <v/>
      </c>
      <c r="AM69" s="243" t="str">
        <f t="shared" si="30"/>
        <v/>
      </c>
      <c r="AN69" t="str">
        <f>IFERROR(IF(C69=1,VLOOKUP(K69,'Web-SKUS'!A:G,7,FALSE),VLOOKUP(K69,'Web-SKUS'!A:G,6,FALSE)),"")</f>
        <v>£83.1620/month</v>
      </c>
      <c r="AO69" s="243">
        <f t="shared" si="31"/>
        <v>83.162000000000006</v>
      </c>
      <c r="AP69" s="243">
        <f t="shared" si="32"/>
        <v>83.162000000000006</v>
      </c>
      <c r="AQ69" s="244">
        <f t="shared" si="33"/>
        <v>0</v>
      </c>
      <c r="AR69" s="115">
        <f t="shared" si="34"/>
        <v>0</v>
      </c>
      <c r="AS69" s="115" t="str">
        <f>VLOOKUP(B69,'Willie List'!B:M,12,FALSE)</f>
        <v>NO</v>
      </c>
      <c r="AT69" s="115" t="str">
        <f t="shared" si="35"/>
        <v>Standard_D4_v3</v>
      </c>
      <c r="AU69" s="115" t="str">
        <f t="shared" si="36"/>
        <v>D4 v3</v>
      </c>
      <c r="AV69">
        <f t="shared" si="37"/>
        <v>0</v>
      </c>
      <c r="AW69" s="8">
        <f t="shared" si="38"/>
        <v>0</v>
      </c>
    </row>
    <row r="70" spans="1:49">
      <c r="A70" t="s">
        <v>311</v>
      </c>
      <c r="B70" s="238" t="s">
        <v>312</v>
      </c>
      <c r="C70" s="239">
        <f>IFERROR(IF(VLOOKUP(B70,'Willie List'!B:B,1,FALSE) &lt;&gt; "",1,0),0)</f>
        <v>1</v>
      </c>
      <c r="D70" s="239">
        <v>1</v>
      </c>
      <c r="E70" s="238" t="s">
        <v>97</v>
      </c>
      <c r="F70" s="238" t="s">
        <v>313</v>
      </c>
      <c r="G70" s="238" t="s">
        <v>152</v>
      </c>
      <c r="H70" s="238" t="s">
        <v>153</v>
      </c>
      <c r="I70" s="238" t="s">
        <v>154</v>
      </c>
      <c r="J70" s="238" t="s">
        <v>25</v>
      </c>
      <c r="K70" s="239" t="str">
        <f t="shared" si="20"/>
        <v>B4ms</v>
      </c>
      <c r="L70" s="239">
        <f>VLOOKUP(K70,'Web-SKUS'!A:E,2,FALSE)</f>
        <v>4</v>
      </c>
      <c r="M70" s="239" t="str">
        <f>VLOOKUP(K70,'Web-SKUS'!A:E,4,FALSE)</f>
        <v>16</v>
      </c>
      <c r="N70" s="238" t="s">
        <v>277</v>
      </c>
      <c r="O70" s="238">
        <v>2</v>
      </c>
      <c r="P70" s="238" t="s">
        <v>157</v>
      </c>
      <c r="Q70" s="238">
        <v>2.4500000000000002</v>
      </c>
      <c r="R70" s="238">
        <f>5*1024</f>
        <v>5120</v>
      </c>
      <c r="S70" s="240">
        <f t="shared" si="21"/>
        <v>0.6875</v>
      </c>
      <c r="T70" s="238">
        <f t="shared" si="22"/>
        <v>1</v>
      </c>
      <c r="U70" s="239">
        <f t="shared" si="23"/>
        <v>11</v>
      </c>
      <c r="V70" s="239">
        <f t="shared" si="24"/>
        <v>0</v>
      </c>
      <c r="W70" s="8" t="str">
        <f>IFERROR(VLOOKUP(B70,Write_Bytes_ps!B:F,4,FALSE)/1024/1024,"")</f>
        <v/>
      </c>
      <c r="X70" s="8" t="str">
        <f>IFERROR(VLOOKUP(B70,Read_Bytes_ps!B:F,4,FALSE)/1024/1024,"")</f>
        <v/>
      </c>
      <c r="Y70" s="8" t="str">
        <f>IFERROR(VLOOKUP(B70,Writes_ps!B:F,5,FALSE),"")</f>
        <v/>
      </c>
      <c r="Z70" s="8" t="str">
        <f>IFERROR(VLOOKUP(B70,Reads_ps!B:F,5,FALSE),"")</f>
        <v/>
      </c>
      <c r="AA70" s="241">
        <v>42</v>
      </c>
      <c r="AB70" s="242">
        <v>3</v>
      </c>
      <c r="AC70" s="242" t="str">
        <f t="shared" si="27"/>
        <v>B4ms</v>
      </c>
      <c r="AD70" s="239"/>
      <c r="AE70" s="239" t="str">
        <f>IFERROR(VLOOKUP(AD70,'Web-SKUS'!A:E,2,FALSE),"")</f>
        <v/>
      </c>
      <c r="AF70" s="239">
        <f>_xlfn.NUMBERVALUE(IFERROR(VLOOKUP(AD70,'Web-SKUS'!A:E,4,FALSE),""))</f>
        <v>0</v>
      </c>
      <c r="AG70" s="239">
        <f>IFERROR(VLOOKUP(AD70,VM_Performance_Stats!A:G,7,FALSE),0)</f>
        <v>0</v>
      </c>
      <c r="AH70" s="239" t="str">
        <f>IFERROR(VLOOKUP(AD70,VM_Performance_Stats!A:I,8,FALSE),"")</f>
        <v/>
      </c>
      <c r="AI70" s="239">
        <f t="shared" si="28"/>
        <v>0</v>
      </c>
      <c r="AJ70" s="239">
        <f t="shared" si="29"/>
        <v>0</v>
      </c>
      <c r="AK70" s="239">
        <f>IFERROR(IF(VLOOKUP(AD70,VM_Performance_Stats!A:I,8,FALSE)&gt;AB70,1,0),0)</f>
        <v>0</v>
      </c>
      <c r="AL70" t="str">
        <f>IFERROR(VLOOKUP(AD70,'Web-SKUS'!A:G,7,FALSE),"")</f>
        <v/>
      </c>
      <c r="AM70" s="243" t="str">
        <f t="shared" si="30"/>
        <v/>
      </c>
      <c r="AN70" t="str">
        <f>IFERROR(IF(C70=1,VLOOKUP(K70,'Web-SKUS'!A:G,7,FALSE),VLOOKUP(K70,'Web-SKUS'!A:G,6,FALSE)),"")</f>
        <v>£61.1161/month</v>
      </c>
      <c r="AO70" s="243">
        <f t="shared" si="31"/>
        <v>61.116100000000003</v>
      </c>
      <c r="AP70" s="243">
        <f t="shared" si="32"/>
        <v>61.116100000000003</v>
      </c>
      <c r="AQ70" s="244">
        <f t="shared" si="33"/>
        <v>0</v>
      </c>
      <c r="AR70" s="115">
        <f t="shared" si="34"/>
        <v>0</v>
      </c>
      <c r="AS70" s="115" t="str">
        <f>VLOOKUP(B70,'Willie List'!B:M,12,FALSE)</f>
        <v>NO</v>
      </c>
      <c r="AT70" s="115" t="str">
        <f t="shared" si="35"/>
        <v>Standard_B4ms</v>
      </c>
      <c r="AU70" s="115" t="str">
        <f t="shared" si="36"/>
        <v>B4ms</v>
      </c>
      <c r="AV70">
        <f t="shared" si="37"/>
        <v>0</v>
      </c>
      <c r="AW70" s="8">
        <f t="shared" si="38"/>
        <v>0</v>
      </c>
    </row>
    <row r="71" spans="1:49">
      <c r="A71" t="s">
        <v>314</v>
      </c>
      <c r="B71" s="83" t="s">
        <v>315</v>
      </c>
      <c r="C71" s="239">
        <f>IFERROR(IF(VLOOKUP(B71,'Willie List'!B:B,1,FALSE) &lt;&gt; "",1,0),0)</f>
        <v>1</v>
      </c>
      <c r="D71" s="239">
        <v>1</v>
      </c>
      <c r="E71" s="238" t="s">
        <v>101</v>
      </c>
      <c r="F71" s="238" t="s">
        <v>316</v>
      </c>
      <c r="G71" s="238" t="s">
        <v>152</v>
      </c>
      <c r="H71" s="238" t="s">
        <v>153</v>
      </c>
      <c r="I71" s="238" t="s">
        <v>276</v>
      </c>
      <c r="J71" s="238" t="s">
        <v>59</v>
      </c>
      <c r="K71" s="239" t="str">
        <f t="shared" si="20"/>
        <v>D16ds v4</v>
      </c>
      <c r="L71" s="239">
        <f>VLOOKUP(K71,'Web-SKUS'!A:E,2,FALSE)</f>
        <v>16</v>
      </c>
      <c r="M71" s="239" t="str">
        <f>VLOOKUP(K71,'Web-SKUS'!A:E,4,FALSE)</f>
        <v>64</v>
      </c>
      <c r="N71" s="238" t="s">
        <v>277</v>
      </c>
      <c r="O71" s="239">
        <v>3</v>
      </c>
      <c r="P71" s="238" t="s">
        <v>157</v>
      </c>
      <c r="Q71" s="238">
        <f>IFERROR(VLOOKUP(B71,PercentCPU!B:F,4,FALSE),"")</f>
        <v>42.475803726871177</v>
      </c>
      <c r="R71" s="238">
        <f>IFERROR(VLOOKUP(B71,MemoryAvailable!B:F,3,FALSE),"")</f>
        <v>12362.510078981493</v>
      </c>
      <c r="S71" s="240">
        <f t="shared" si="21"/>
        <v>0.81136306642179123</v>
      </c>
      <c r="T71" s="238">
        <f t="shared" si="22"/>
        <v>7</v>
      </c>
      <c r="U71" s="239">
        <f t="shared" si="23"/>
        <v>52</v>
      </c>
      <c r="V71" s="239">
        <f t="shared" si="24"/>
        <v>0</v>
      </c>
      <c r="W71" s="8">
        <f>IFERROR(VLOOKUP(B71,Write_Bytes_ps!B:F,4,FALSE)/1024/1024,"")</f>
        <v>15.40198283924969</v>
      </c>
      <c r="X71" s="8">
        <f>IFERROR(VLOOKUP(B71,Read_Bytes_ps!B:F,4,FALSE)/1024/1024,"")</f>
        <v>24.454958120421331</v>
      </c>
      <c r="Y71" s="8">
        <f>IFERROR(VLOOKUP(B71,Writes_ps!B:F,5,FALSE),"")</f>
        <v>3124.65209960938</v>
      </c>
      <c r="Z71" s="8">
        <f>IFERROR(VLOOKUP(B71,Reads_ps!B:F,5,FALSE),"")</f>
        <v>14142.0703125</v>
      </c>
      <c r="AA71" s="241">
        <f t="shared" ref="AA71:AA134" si="39">SUM(W71,X71)</f>
        <v>39.856940959671022</v>
      </c>
      <c r="AB71" s="242">
        <f t="shared" ref="AB71:AB113" si="40">ROUNDUP(SUM(Y71:Z71),0)</f>
        <v>17267</v>
      </c>
      <c r="AC71" s="242" t="str">
        <f t="shared" si="27"/>
        <v>D16ds v4</v>
      </c>
      <c r="AD71" s="239"/>
      <c r="AE71" s="239" t="str">
        <f>IFERROR(VLOOKUP(AD71,'Web-SKUS'!A:E,2,FALSE),"")</f>
        <v/>
      </c>
      <c r="AF71" s="239">
        <f>_xlfn.NUMBERVALUE(IFERROR(VLOOKUP(AD71,'Web-SKUS'!A:E,4,FALSE),""))</f>
        <v>0</v>
      </c>
      <c r="AG71" s="239">
        <f>IFERROR(VLOOKUP(AD71,VM_Performance_Stats!A:G,7,FALSE),0)</f>
        <v>0</v>
      </c>
      <c r="AH71" s="239" t="str">
        <f>IFERROR(VLOOKUP(AD71,VM_Performance_Stats!A:I,8,FALSE),"")</f>
        <v/>
      </c>
      <c r="AI71" s="239">
        <f t="shared" si="28"/>
        <v>0</v>
      </c>
      <c r="AJ71" s="239">
        <f t="shared" si="29"/>
        <v>0</v>
      </c>
      <c r="AK71" s="239">
        <f>IFERROR(IF(VLOOKUP(AD71,VM_Performance_Stats!A:I,8,FALSE)&gt;AB71,1,0),0)</f>
        <v>0</v>
      </c>
      <c r="AL71" t="str">
        <f>IFERROR(VLOOKUP(AD71,'Web-SKUS'!A:G,7,FALSE),"")</f>
        <v/>
      </c>
      <c r="AM71" s="243" t="str">
        <f t="shared" si="30"/>
        <v/>
      </c>
      <c r="AN71" t="str">
        <f>IFERROR(IF(C71=1,VLOOKUP(K71,'Web-SKUS'!A:G,7,FALSE),VLOOKUP(K71,'Web-SKUS'!A:G,6,FALSE)),"")</f>
        <v>£349.2367/month</v>
      </c>
      <c r="AO71" s="243">
        <f t="shared" si="31"/>
        <v>349.23669999999998</v>
      </c>
      <c r="AP71" s="243">
        <f t="shared" si="32"/>
        <v>349.23669999999998</v>
      </c>
      <c r="AQ71" s="244">
        <f t="shared" si="33"/>
        <v>0</v>
      </c>
      <c r="AR71" s="115">
        <f t="shared" si="34"/>
        <v>0</v>
      </c>
      <c r="AS71" s="115" t="str">
        <f>VLOOKUP(B71,'Willie List'!B:M,12,FALSE)</f>
        <v>YES</v>
      </c>
      <c r="AT71" s="115" t="str">
        <f t="shared" si="35"/>
        <v>Standard_D16ds_v4</v>
      </c>
      <c r="AU71" s="115" t="str">
        <f t="shared" si="36"/>
        <v>D16ds v4</v>
      </c>
      <c r="AV71">
        <f t="shared" si="37"/>
        <v>0</v>
      </c>
      <c r="AW71" s="8">
        <f t="shared" si="38"/>
        <v>0</v>
      </c>
    </row>
    <row r="72" spans="1:49" s="245" customFormat="1">
      <c r="A72" s="245" t="s">
        <v>317</v>
      </c>
      <c r="B72" s="238" t="s">
        <v>318</v>
      </c>
      <c r="C72" s="239">
        <f>IFERROR(IF(VLOOKUP(B72,'Willie List'!B:B,1,FALSE) &lt;&gt; "",1,0),0)</f>
        <v>1</v>
      </c>
      <c r="D72" s="239"/>
      <c r="E72" s="238" t="s">
        <v>101</v>
      </c>
      <c r="F72" s="238" t="s">
        <v>319</v>
      </c>
      <c r="G72" s="238" t="s">
        <v>288</v>
      </c>
      <c r="H72" s="238" t="s">
        <v>153</v>
      </c>
      <c r="I72" s="238" t="s">
        <v>276</v>
      </c>
      <c r="J72" s="238" t="s">
        <v>57</v>
      </c>
      <c r="K72" s="239" t="str">
        <f t="shared" si="20"/>
        <v>D4ds v4</v>
      </c>
      <c r="L72" s="239">
        <f>VLOOKUP(K72,'Web-SKUS'!A:E,2,FALSE)</f>
        <v>4</v>
      </c>
      <c r="M72" s="239" t="str">
        <f>VLOOKUP(K72,'Web-SKUS'!A:E,4,FALSE)</f>
        <v>16</v>
      </c>
      <c r="N72" s="238" t="s">
        <v>277</v>
      </c>
      <c r="O72" s="239">
        <v>2</v>
      </c>
      <c r="P72" s="238" t="s">
        <v>157</v>
      </c>
      <c r="Q72" s="238">
        <f>IFERROR(VLOOKUP(B72,PercentCPU!B:F,4,FALSE),"")</f>
        <v>33.7822012680505</v>
      </c>
      <c r="R72" s="238">
        <f>IFERROR(VLOOKUP(B72,MemoryAvailable!B:F,3,FALSE),"")</f>
        <v>8107.8916676487916</v>
      </c>
      <c r="S72" s="240">
        <f t="shared" si="21"/>
        <v>0.50513356520698294</v>
      </c>
      <c r="T72" s="238">
        <f t="shared" si="22"/>
        <v>2</v>
      </c>
      <c r="U72" s="239">
        <f t="shared" si="23"/>
        <v>8</v>
      </c>
      <c r="V72" s="239" t="str">
        <f t="shared" si="24"/>
        <v>D Series</v>
      </c>
      <c r="W72" s="8">
        <f>IFERROR(VLOOKUP(B72,Write_Bytes_ps!B:F,4,FALSE)/1024/1024,"")</f>
        <v>0.81293313738130601</v>
      </c>
      <c r="X72" s="8">
        <f>IFERROR(VLOOKUP(B72,Read_Bytes_ps!B:F,4,FALSE)/1024/1024,"")</f>
        <v>0.51259928789122156</v>
      </c>
      <c r="Y72" s="8">
        <f>IFERROR(VLOOKUP(B72,Writes_ps!B:F,5,FALSE),"")</f>
        <v>531.76599121093795</v>
      </c>
      <c r="Z72" s="8">
        <f>IFERROR(VLOOKUP(B72,Reads_ps!B:F,5,FALSE),"")</f>
        <v>725.62664794921898</v>
      </c>
      <c r="AA72" s="241">
        <f t="shared" si="39"/>
        <v>1.3255324252725276</v>
      </c>
      <c r="AB72" s="242">
        <f t="shared" si="40"/>
        <v>1258</v>
      </c>
      <c r="AC72" s="242" t="str">
        <f t="shared" si="27"/>
        <v>D4ds v4</v>
      </c>
      <c r="AD72" s="239"/>
      <c r="AE72" s="239" t="str">
        <f>IFERROR(VLOOKUP(AD72,'Web-SKUS'!A:E,2,FALSE),"")</f>
        <v/>
      </c>
      <c r="AF72" s="239">
        <f>_xlfn.NUMBERVALUE(IFERROR(VLOOKUP(AD72,'Web-SKUS'!A:E,4,FALSE),""))</f>
        <v>0</v>
      </c>
      <c r="AG72" s="239">
        <f>IFERROR(VLOOKUP(AD72,VM_Performance_Stats!A:G,7,FALSE),0)</f>
        <v>0</v>
      </c>
      <c r="AH72" s="239" t="str">
        <f>IFERROR(VLOOKUP(AD72,VM_Performance_Stats!A:I,8,FALSE),"")</f>
        <v/>
      </c>
      <c r="AI72" s="239">
        <f t="shared" si="28"/>
        <v>0</v>
      </c>
      <c r="AJ72" s="239">
        <f t="shared" si="29"/>
        <v>0</v>
      </c>
      <c r="AK72" s="239">
        <f>IFERROR(IF(VLOOKUP(AD72,VM_Performance_Stats!A:I,8,FALSE)&gt;AB72,1,0),0)</f>
        <v>0</v>
      </c>
      <c r="AL72" t="str">
        <f>IFERROR(VLOOKUP(AD72,'Web-SKUS'!A:G,7,FALSE),"")</f>
        <v/>
      </c>
      <c r="AM72" s="243" t="str">
        <f t="shared" si="30"/>
        <v/>
      </c>
      <c r="AN72" t="str">
        <f>IFERROR(IF(C72=1,VLOOKUP(K72,'Web-SKUS'!A:G,7,FALSE),VLOOKUP(K72,'Web-SKUS'!A:G,6,FALSE)),"")</f>
        <v>£87.3242/month</v>
      </c>
      <c r="AO72" s="243">
        <f t="shared" si="31"/>
        <v>87.324200000000005</v>
      </c>
      <c r="AP72" s="243">
        <f t="shared" si="32"/>
        <v>87.324200000000005</v>
      </c>
      <c r="AQ72" s="244">
        <f t="shared" si="33"/>
        <v>0</v>
      </c>
      <c r="AR72" s="251">
        <f t="shared" si="34"/>
        <v>0</v>
      </c>
      <c r="AS72" s="251" t="str">
        <f>VLOOKUP(B72,'Willie List'!B:M,12,FALSE)</f>
        <v>YES</v>
      </c>
      <c r="AT72" s="251" t="str">
        <f t="shared" si="35"/>
        <v>Standard_D4ds_v4</v>
      </c>
      <c r="AU72" s="251" t="str">
        <f t="shared" si="36"/>
        <v>D4ds v4</v>
      </c>
      <c r="AV72" s="245">
        <f t="shared" si="37"/>
        <v>0</v>
      </c>
      <c r="AW72" s="246">
        <f t="shared" si="38"/>
        <v>0</v>
      </c>
    </row>
    <row r="73" spans="1:49">
      <c r="A73" t="s">
        <v>299</v>
      </c>
      <c r="B73" s="238" t="s">
        <v>320</v>
      </c>
      <c r="C73" s="239">
        <f>IFERROR(IF(VLOOKUP(B73,'Willie List'!B:B,1,FALSE) &lt;&gt; "",1,0),0)</f>
        <v>1</v>
      </c>
      <c r="D73" s="239"/>
      <c r="E73" s="238" t="s">
        <v>101</v>
      </c>
      <c r="F73" s="238" t="s">
        <v>319</v>
      </c>
      <c r="G73" s="238" t="s">
        <v>288</v>
      </c>
      <c r="H73" s="238" t="s">
        <v>153</v>
      </c>
      <c r="I73" s="238" t="s">
        <v>276</v>
      </c>
      <c r="J73" s="238" t="s">
        <v>57</v>
      </c>
      <c r="K73" s="239" t="str">
        <f t="shared" si="20"/>
        <v>D4ds v4</v>
      </c>
      <c r="L73" s="239">
        <f>VLOOKUP(K73,'Web-SKUS'!A:E,2,FALSE)</f>
        <v>4</v>
      </c>
      <c r="M73" s="239" t="str">
        <f>VLOOKUP(K73,'Web-SKUS'!A:E,4,FALSE)</f>
        <v>16</v>
      </c>
      <c r="N73" s="238" t="s">
        <v>277</v>
      </c>
      <c r="O73" s="239">
        <v>2</v>
      </c>
      <c r="P73" s="238" t="s">
        <v>157</v>
      </c>
      <c r="Q73" s="238">
        <f>IFERROR(VLOOKUP(B73,PercentCPU!B:F,4,FALSE),"")</f>
        <v>35.712569401500801</v>
      </c>
      <c r="R73" s="238">
        <f>IFERROR(VLOOKUP(B73,MemoryAvailable!B:F,3,FALSE),"")</f>
        <v>8302.6504451877317</v>
      </c>
      <c r="S73" s="240">
        <f t="shared" si="21"/>
        <v>0.49324643278883473</v>
      </c>
      <c r="T73" s="238">
        <f t="shared" si="22"/>
        <v>2</v>
      </c>
      <c r="U73" s="239">
        <f t="shared" si="23"/>
        <v>8</v>
      </c>
      <c r="V73" s="239" t="str">
        <f t="shared" si="24"/>
        <v>D Series</v>
      </c>
      <c r="W73" s="8">
        <f>IFERROR(VLOOKUP(B73,Write_Bytes_ps!B:F,4,FALSE)/1024/1024,"")</f>
        <v>0.83048347807747069</v>
      </c>
      <c r="X73" s="8">
        <f>IFERROR(VLOOKUP(B73,Read_Bytes_ps!B:F,4,FALSE)/1024/1024,"")</f>
        <v>0.51232816871120501</v>
      </c>
      <c r="Y73" s="8">
        <f>IFERROR(VLOOKUP(B73,Writes_ps!B:F,5,FALSE),"")</f>
        <v>492.79937744140602</v>
      </c>
      <c r="Z73" s="8">
        <f>IFERROR(VLOOKUP(B73,Reads_ps!B:F,5,FALSE),"")</f>
        <v>1071.18310546875</v>
      </c>
      <c r="AA73" s="241">
        <f t="shared" si="39"/>
        <v>1.3428116467886757</v>
      </c>
      <c r="AB73" s="242">
        <f t="shared" si="40"/>
        <v>1564</v>
      </c>
      <c r="AC73" s="242" t="str">
        <f t="shared" si="27"/>
        <v>D4ds v4</v>
      </c>
      <c r="AD73" s="239"/>
      <c r="AE73" s="239" t="str">
        <f>IFERROR(VLOOKUP(AD73,'Web-SKUS'!A:E,2,FALSE),"")</f>
        <v/>
      </c>
      <c r="AF73" s="239">
        <f>_xlfn.NUMBERVALUE(IFERROR(VLOOKUP(AD73,'Web-SKUS'!A:E,4,FALSE),""))</f>
        <v>0</v>
      </c>
      <c r="AG73" s="239">
        <f>IFERROR(VLOOKUP(AD73,VM_Performance_Stats!A:G,7,FALSE),0)</f>
        <v>0</v>
      </c>
      <c r="AH73" s="239" t="str">
        <f>IFERROR(VLOOKUP(AD73,VM_Performance_Stats!A:I,8,FALSE),"")</f>
        <v/>
      </c>
      <c r="AI73" s="239">
        <f t="shared" si="28"/>
        <v>0</v>
      </c>
      <c r="AJ73" s="239">
        <f t="shared" si="29"/>
        <v>0</v>
      </c>
      <c r="AK73" s="239">
        <f>IFERROR(IF(VLOOKUP(AD73,VM_Performance_Stats!A:I,8,FALSE)&gt;AB73,1,0),0)</f>
        <v>0</v>
      </c>
      <c r="AL73" t="str">
        <f>IFERROR(VLOOKUP(AD73,'Web-SKUS'!A:G,7,FALSE),"")</f>
        <v/>
      </c>
      <c r="AM73" s="243" t="str">
        <f t="shared" si="30"/>
        <v/>
      </c>
      <c r="AN73" t="str">
        <f>IFERROR(IF(C73=1,VLOOKUP(K73,'Web-SKUS'!A:G,7,FALSE),VLOOKUP(K73,'Web-SKUS'!A:G,6,FALSE)),"")</f>
        <v>£87.3242/month</v>
      </c>
      <c r="AO73" s="243">
        <f t="shared" si="31"/>
        <v>87.324200000000005</v>
      </c>
      <c r="AP73" s="243">
        <f t="shared" si="32"/>
        <v>87.324200000000005</v>
      </c>
      <c r="AQ73" s="244">
        <f t="shared" si="33"/>
        <v>0</v>
      </c>
      <c r="AR73" s="115">
        <f t="shared" si="34"/>
        <v>0</v>
      </c>
      <c r="AS73" s="115" t="str">
        <f>VLOOKUP(B73,'Willie List'!B:M,12,FALSE)</f>
        <v>YES</v>
      </c>
      <c r="AT73" s="115" t="str">
        <f t="shared" si="35"/>
        <v>Standard_D4ds_v4</v>
      </c>
      <c r="AU73" s="115" t="str">
        <f t="shared" si="36"/>
        <v>D4ds v4</v>
      </c>
      <c r="AV73">
        <f t="shared" si="37"/>
        <v>0</v>
      </c>
      <c r="AW73" s="8">
        <f t="shared" si="38"/>
        <v>0</v>
      </c>
    </row>
    <row r="74" spans="1:49">
      <c r="A74" t="s">
        <v>321</v>
      </c>
      <c r="B74" s="238" t="s">
        <v>322</v>
      </c>
      <c r="C74" s="239">
        <f>IFERROR(IF(VLOOKUP(B74,'Willie List'!B:B,1,FALSE) &lt;&gt; "",1,0),0)</f>
        <v>1</v>
      </c>
      <c r="D74" s="239"/>
      <c r="E74" s="238" t="s">
        <v>101</v>
      </c>
      <c r="F74" s="238" t="s">
        <v>319</v>
      </c>
      <c r="G74" s="238" t="s">
        <v>288</v>
      </c>
      <c r="H74" s="238" t="s">
        <v>153</v>
      </c>
      <c r="I74" s="238" t="s">
        <v>276</v>
      </c>
      <c r="J74" s="238" t="s">
        <v>57</v>
      </c>
      <c r="K74" s="239" t="str">
        <f t="shared" si="20"/>
        <v>D4ds v4</v>
      </c>
      <c r="L74" s="239">
        <f>VLOOKUP(K74,'Web-SKUS'!A:E,2,FALSE)</f>
        <v>4</v>
      </c>
      <c r="M74" s="239" t="str">
        <f>VLOOKUP(K74,'Web-SKUS'!A:E,4,FALSE)</f>
        <v>16</v>
      </c>
      <c r="N74" s="238" t="s">
        <v>277</v>
      </c>
      <c r="O74" s="239">
        <v>2</v>
      </c>
      <c r="P74" s="238" t="s">
        <v>157</v>
      </c>
      <c r="Q74" s="238">
        <f>IFERROR(VLOOKUP(B74,PercentCPU!B:F,4,FALSE),"")</f>
        <v>24.978400007962147</v>
      </c>
      <c r="R74" s="238">
        <f>IFERROR(VLOOKUP(B74,MemoryAvailable!B:F,3,FALSE),"")</f>
        <v>8311.338904993454</v>
      </c>
      <c r="S74" s="240">
        <f t="shared" si="21"/>
        <v>0.49271613128702063</v>
      </c>
      <c r="T74" s="238">
        <f t="shared" si="22"/>
        <v>1</v>
      </c>
      <c r="U74" s="239">
        <f t="shared" si="23"/>
        <v>8</v>
      </c>
      <c r="V74" s="239" t="str">
        <f t="shared" si="24"/>
        <v>E Series</v>
      </c>
      <c r="W74" s="8">
        <f>IFERROR(VLOOKUP(B74,Write_Bytes_ps!B:F,4,FALSE)/1024/1024,"")</f>
        <v>0.766397374407362</v>
      </c>
      <c r="X74" s="8">
        <f>IFERROR(VLOOKUP(B74,Read_Bytes_ps!B:F,4,FALSE)/1024/1024,"")</f>
        <v>0.51687083347062723</v>
      </c>
      <c r="Y74" s="8">
        <f>IFERROR(VLOOKUP(B74,Writes_ps!B:F,5,FALSE),"")</f>
        <v>517.32940673828102</v>
      </c>
      <c r="Z74" s="8">
        <f>IFERROR(VLOOKUP(B74,Reads_ps!B:F,5,FALSE),"")</f>
        <v>789.10809326171898</v>
      </c>
      <c r="AA74" s="241">
        <f t="shared" si="39"/>
        <v>1.2832682078779891</v>
      </c>
      <c r="AB74" s="242">
        <f t="shared" si="40"/>
        <v>1307</v>
      </c>
      <c r="AC74" s="242" t="str">
        <f t="shared" si="27"/>
        <v>D4ds v4</v>
      </c>
      <c r="AD74" s="239"/>
      <c r="AE74" s="239" t="str">
        <f>IFERROR(VLOOKUP(AD74,'Web-SKUS'!A:E,2,FALSE),"")</f>
        <v/>
      </c>
      <c r="AF74" s="239">
        <f>_xlfn.NUMBERVALUE(IFERROR(VLOOKUP(AD74,'Web-SKUS'!A:E,4,FALSE),""))</f>
        <v>0</v>
      </c>
      <c r="AG74" s="239">
        <f>IFERROR(VLOOKUP(AD74,VM_Performance_Stats!A:G,7,FALSE),0)</f>
        <v>0</v>
      </c>
      <c r="AH74" s="239" t="str">
        <f>IFERROR(VLOOKUP(AD74,VM_Performance_Stats!A:I,8,FALSE),"")</f>
        <v/>
      </c>
      <c r="AI74" s="239">
        <f t="shared" si="28"/>
        <v>0</v>
      </c>
      <c r="AJ74" s="239">
        <f t="shared" si="29"/>
        <v>0</v>
      </c>
      <c r="AK74" s="239">
        <f>IFERROR(IF(VLOOKUP(AD74,VM_Performance_Stats!A:I,8,FALSE)&gt;AB74,1,0),0)</f>
        <v>0</v>
      </c>
      <c r="AL74" t="str">
        <f>IFERROR(VLOOKUP(AD74,'Web-SKUS'!A:G,7,FALSE),"")</f>
        <v/>
      </c>
      <c r="AM74" s="243" t="str">
        <f t="shared" si="30"/>
        <v/>
      </c>
      <c r="AN74" t="str">
        <f>IFERROR(IF(C74=1,VLOOKUP(K74,'Web-SKUS'!A:G,7,FALSE),VLOOKUP(K74,'Web-SKUS'!A:G,6,FALSE)),"")</f>
        <v>£87.3242/month</v>
      </c>
      <c r="AO74" s="243">
        <f t="shared" si="31"/>
        <v>87.324200000000005</v>
      </c>
      <c r="AP74" s="243">
        <f t="shared" si="32"/>
        <v>87.324200000000005</v>
      </c>
      <c r="AQ74" s="244">
        <f t="shared" si="33"/>
        <v>0</v>
      </c>
      <c r="AR74" s="115">
        <f t="shared" si="34"/>
        <v>0</v>
      </c>
      <c r="AS74" s="115" t="str">
        <f>VLOOKUP(B74,'Willie List'!B:M,12,FALSE)</f>
        <v>YES</v>
      </c>
      <c r="AT74" s="115" t="str">
        <f t="shared" si="35"/>
        <v>Standard_D4ds_v4</v>
      </c>
      <c r="AU74" s="115" t="str">
        <f t="shared" si="36"/>
        <v>D4ds v4</v>
      </c>
      <c r="AV74">
        <f t="shared" si="37"/>
        <v>0</v>
      </c>
      <c r="AW74" s="8">
        <f t="shared" si="38"/>
        <v>0</v>
      </c>
    </row>
    <row r="75" spans="1:49">
      <c r="B75" t="s">
        <v>323</v>
      </c>
      <c r="C75" s="8">
        <f>IFERROR(IF(VLOOKUP(B75,'Willie List'!B:B,1,FALSE) &lt;&gt; "",1,0),0)</f>
        <v>0</v>
      </c>
      <c r="D75" s="8"/>
      <c r="E75" t="s">
        <v>95</v>
      </c>
      <c r="F75" t="s">
        <v>324</v>
      </c>
      <c r="G75" t="s">
        <v>152</v>
      </c>
      <c r="H75" t="s">
        <v>275</v>
      </c>
      <c r="I75" t="s">
        <v>154</v>
      </c>
      <c r="J75" t="s">
        <v>22</v>
      </c>
      <c r="K75" s="8" t="str">
        <f t="shared" si="20"/>
        <v>B2ms</v>
      </c>
      <c r="L75" s="8">
        <f>VLOOKUP(K75,'Web-SKUS'!A:E,2,FALSE)</f>
        <v>2</v>
      </c>
      <c r="M75" s="8" t="str">
        <f>VLOOKUP(K75,'Web-SKUS'!A:E,4,FALSE)</f>
        <v>8</v>
      </c>
      <c r="N75" t="s">
        <v>277</v>
      </c>
      <c r="O75" s="8">
        <v>2</v>
      </c>
      <c r="P75" t="s">
        <v>157</v>
      </c>
      <c r="Q75">
        <f>IFERROR(VLOOKUP(B75,PercentCPU!B:F,4,FALSE),"")</f>
        <v>9.2166666666707897</v>
      </c>
      <c r="R75">
        <f>IFERROR(VLOOKUP(B75,MemoryAvailable!B:F,3,FALSE),"")</f>
        <v>6941.7012112958719</v>
      </c>
      <c r="S75" s="2">
        <f t="shared" si="21"/>
        <v>0.15262436385548439</v>
      </c>
      <c r="T75">
        <f t="shared" si="22"/>
        <v>1</v>
      </c>
      <c r="U75" s="8">
        <f t="shared" si="23"/>
        <v>1</v>
      </c>
      <c r="V75" s="8">
        <f t="shared" si="24"/>
        <v>0</v>
      </c>
      <c r="W75" s="8">
        <f>IFERROR(VLOOKUP(B75,Write_Bytes_ps!B:F,4,FALSE)/1024/1024,"")</f>
        <v>0</v>
      </c>
      <c r="X75" s="8">
        <f>IFERROR(VLOOKUP(B75,Read_Bytes_ps!B:F,4,FALSE)/1024/1024,"")</f>
        <v>0</v>
      </c>
      <c r="Y75" s="8">
        <f>IFERROR(VLOOKUP(B75,Writes_ps!B:F,5,FALSE),"")</f>
        <v>7.3336435991622499</v>
      </c>
      <c r="Z75" s="8">
        <f>IFERROR(VLOOKUP(B75,Reads_ps!B:F,5,FALSE),"")</f>
        <v>0.316708927535299</v>
      </c>
      <c r="AA75" s="8">
        <f t="shared" si="39"/>
        <v>0</v>
      </c>
      <c r="AB75" s="122">
        <f t="shared" si="40"/>
        <v>8</v>
      </c>
      <c r="AC75" s="122" t="str">
        <f t="shared" si="27"/>
        <v>B2ms</v>
      </c>
      <c r="AD75" s="8" t="s">
        <v>325</v>
      </c>
      <c r="AE75" s="8">
        <f>IFERROR(VLOOKUP(AD75,'Web-SKUS'!A:E,2,FALSE),"")</f>
        <v>2</v>
      </c>
      <c r="AF75" s="8">
        <f>_xlfn.NUMBERVALUE(IFERROR(VLOOKUP(AD75,'Web-SKUS'!A:E,4,FALSE),""))</f>
        <v>8</v>
      </c>
      <c r="AG75" s="8">
        <f>IFERROR(VLOOKUP(AD75,VM_Performance_Stats!A:G,7,FALSE),0)</f>
        <v>4</v>
      </c>
      <c r="AH75" s="8">
        <f>IFERROR(VLOOKUP(AD75,VM_Performance_Stats!A:I,8,FALSE),"")</f>
        <v>1920</v>
      </c>
      <c r="AI75" s="8">
        <f t="shared" si="28"/>
        <v>1</v>
      </c>
      <c r="AJ75" s="8">
        <f t="shared" si="29"/>
        <v>1</v>
      </c>
      <c r="AK75" s="8">
        <f>IFERROR(IF(VLOOKUP(AD75,VM_Performance_Stats!A:I,8,FALSE)&gt;AB75,1,0),0)</f>
        <v>1</v>
      </c>
      <c r="AL75" t="str">
        <f>IFERROR(VLOOKUP(AD75,'Web-SKUS'!A:G,7,FALSE),"")</f>
        <v>£30.5553/month</v>
      </c>
      <c r="AM75" s="116">
        <f t="shared" si="30"/>
        <v>30.555299999999999</v>
      </c>
      <c r="AN75" t="str">
        <f>IFERROR(IF(C75=1,VLOOKUP(K75,'Web-SKUS'!A:G,7,FALSE),VLOOKUP(K75,'Web-SKUS'!A:G,6,FALSE)),"")</f>
        <v>£52.2313/month</v>
      </c>
      <c r="AO75" s="116">
        <f t="shared" si="31"/>
        <v>52.231299999999997</v>
      </c>
      <c r="AP75" s="116">
        <f t="shared" si="32"/>
        <v>30.555299999999999</v>
      </c>
      <c r="AQ75" s="115">
        <f t="shared" si="33"/>
        <v>21.675999999999998</v>
      </c>
      <c r="AR75" s="115">
        <f t="shared" si="34"/>
        <v>260.11199999999997</v>
      </c>
      <c r="AS75" s="115" t="e">
        <f>VLOOKUP(B75,'Willie List'!B:M,12,FALSE)</f>
        <v>#N/A</v>
      </c>
      <c r="AT75" s="115" t="str">
        <f t="shared" si="35"/>
        <v>Standard_B2ms</v>
      </c>
      <c r="AU75" s="115" t="str">
        <f t="shared" si="36"/>
        <v>B2ms</v>
      </c>
      <c r="AV75" t="str">
        <f t="shared" si="37"/>
        <v>B2ms</v>
      </c>
      <c r="AW75" s="8">
        <f t="shared" si="38"/>
        <v>1</v>
      </c>
    </row>
    <row r="76" spans="1:49" s="101" customFormat="1">
      <c r="A76" s="101" t="s">
        <v>326</v>
      </c>
      <c r="B76" s="238" t="s">
        <v>327</v>
      </c>
      <c r="C76" s="239">
        <f>IFERROR(IF(VLOOKUP(B76,'Willie List'!B:B,1,FALSE) &lt;&gt; "",1,0),0)</f>
        <v>1</v>
      </c>
      <c r="D76" s="239"/>
      <c r="E76" s="238" t="s">
        <v>101</v>
      </c>
      <c r="F76" s="238" t="s">
        <v>328</v>
      </c>
      <c r="G76" s="238" t="s">
        <v>288</v>
      </c>
      <c r="H76" s="238" t="s">
        <v>153</v>
      </c>
      <c r="I76" s="238" t="s">
        <v>154</v>
      </c>
      <c r="J76" s="238" t="s">
        <v>22</v>
      </c>
      <c r="K76" s="239" t="str">
        <f t="shared" si="20"/>
        <v>B2ms</v>
      </c>
      <c r="L76" s="239">
        <f>VLOOKUP(K76,'Web-SKUS'!A:E,2,FALSE)</f>
        <v>2</v>
      </c>
      <c r="M76" s="239" t="str">
        <f>VLOOKUP(K76,'Web-SKUS'!A:E,4,FALSE)</f>
        <v>8</v>
      </c>
      <c r="N76" s="238" t="s">
        <v>277</v>
      </c>
      <c r="O76" s="239">
        <v>2</v>
      </c>
      <c r="P76" s="238" t="s">
        <v>157</v>
      </c>
      <c r="Q76" s="238">
        <f>IFERROR(VLOOKUP(B76,PercentCPU!B:F,4,FALSE),"")</f>
        <v>8.9543875543138256</v>
      </c>
      <c r="R76" s="238">
        <f>IFERROR(VLOOKUP(B76,MemoryAvailable!B:F,3,FALSE),"")</f>
        <v>6930.1840073987605</v>
      </c>
      <c r="S76" s="240">
        <f t="shared" si="21"/>
        <v>0.15403027253433099</v>
      </c>
      <c r="T76" s="238">
        <f t="shared" si="22"/>
        <v>1</v>
      </c>
      <c r="U76" s="239">
        <f t="shared" si="23"/>
        <v>1</v>
      </c>
      <c r="V76" s="239">
        <f t="shared" si="24"/>
        <v>0</v>
      </c>
      <c r="W76" s="8">
        <f>IFERROR(VLOOKUP(B76,Write_Bytes_ps!B:F,4,FALSE)/1024/1024,"")</f>
        <v>0.34698691340996285</v>
      </c>
      <c r="X76" s="8">
        <f>IFERROR(VLOOKUP(B76,Read_Bytes_ps!B:F,4,FALSE)/1024/1024,"")</f>
        <v>6.5103163906680224E-5</v>
      </c>
      <c r="Y76" s="8">
        <f>IFERROR(VLOOKUP(B76,Writes_ps!B:F,5,FALSE),"")</f>
        <v>303.62914895353799</v>
      </c>
      <c r="Z76" s="8">
        <f>IFERROR(VLOOKUP(B76,Reads_ps!B:F,5,FALSE),"")</f>
        <v>2621.9500530168002</v>
      </c>
      <c r="AA76" s="241">
        <f t="shared" si="39"/>
        <v>0.34705201657386953</v>
      </c>
      <c r="AB76" s="242">
        <f t="shared" si="40"/>
        <v>2926</v>
      </c>
      <c r="AC76" s="242" t="str">
        <f t="shared" si="27"/>
        <v>B2ms</v>
      </c>
      <c r="AD76" s="239"/>
      <c r="AE76" s="239" t="str">
        <f>IFERROR(VLOOKUP(AD76,'Web-SKUS'!A:E,2,FALSE),"")</f>
        <v/>
      </c>
      <c r="AF76" s="239">
        <f>_xlfn.NUMBERVALUE(IFERROR(VLOOKUP(AD76,'Web-SKUS'!A:E,4,FALSE),""))</f>
        <v>0</v>
      </c>
      <c r="AG76" s="239">
        <f>IFERROR(VLOOKUP(AD76,VM_Performance_Stats!A:G,7,FALSE),0)</f>
        <v>0</v>
      </c>
      <c r="AH76" s="239" t="str">
        <f>IFERROR(VLOOKUP(AD76,VM_Performance_Stats!A:I,8,FALSE),"")</f>
        <v/>
      </c>
      <c r="AI76" s="239">
        <f t="shared" si="28"/>
        <v>0</v>
      </c>
      <c r="AJ76" s="239">
        <f t="shared" si="29"/>
        <v>0</v>
      </c>
      <c r="AK76" s="239">
        <f>IFERROR(IF(VLOOKUP(AD76,VM_Performance_Stats!A:I,8,FALSE)&gt;AB76,1,0),0)</f>
        <v>0</v>
      </c>
      <c r="AL76" t="str">
        <f>IFERROR(VLOOKUP(AD76,'Web-SKUS'!A:G,7,FALSE),"")</f>
        <v/>
      </c>
      <c r="AM76" s="243" t="str">
        <f t="shared" si="30"/>
        <v/>
      </c>
      <c r="AN76" t="str">
        <f>IFERROR(IF(C76=1,VLOOKUP(K76,'Web-SKUS'!A:G,7,FALSE),VLOOKUP(K76,'Web-SKUS'!A:G,6,FALSE)),"")</f>
        <v>£30.5553/month</v>
      </c>
      <c r="AO76" s="243">
        <f t="shared" si="31"/>
        <v>30.555299999999999</v>
      </c>
      <c r="AP76" s="243">
        <f t="shared" si="32"/>
        <v>30.555299999999999</v>
      </c>
      <c r="AQ76" s="244">
        <f t="shared" si="33"/>
        <v>0</v>
      </c>
      <c r="AR76" s="225">
        <f t="shared" si="34"/>
        <v>0</v>
      </c>
      <c r="AS76" s="225" t="str">
        <f>VLOOKUP(B76,'Willie List'!B:M,12,FALSE)</f>
        <v>YES</v>
      </c>
      <c r="AT76" s="225" t="str">
        <f t="shared" si="35"/>
        <v>Standard_B2ms</v>
      </c>
      <c r="AU76" s="225" t="str">
        <f t="shared" si="36"/>
        <v>B2ms</v>
      </c>
      <c r="AV76" s="101">
        <f t="shared" si="37"/>
        <v>0</v>
      </c>
      <c r="AW76" s="228">
        <f t="shared" si="38"/>
        <v>0</v>
      </c>
    </row>
    <row r="77" spans="1:49">
      <c r="A77" t="s">
        <v>309</v>
      </c>
      <c r="B77" s="238" t="s">
        <v>329</v>
      </c>
      <c r="C77" s="239">
        <f>IFERROR(IF(VLOOKUP(B77,'Willie List'!B:B,1,FALSE) &lt;&gt; "",1,0),0)</f>
        <v>1</v>
      </c>
      <c r="D77" s="239"/>
      <c r="E77" s="238" t="s">
        <v>101</v>
      </c>
      <c r="F77" s="238" t="s">
        <v>330</v>
      </c>
      <c r="G77" s="238" t="s">
        <v>152</v>
      </c>
      <c r="H77" s="238" t="s">
        <v>153</v>
      </c>
      <c r="I77" s="238" t="s">
        <v>276</v>
      </c>
      <c r="J77" s="238" t="s">
        <v>77</v>
      </c>
      <c r="K77" s="239" t="str">
        <f t="shared" si="20"/>
        <v>F2s v2</v>
      </c>
      <c r="L77" s="239">
        <f>VLOOKUP(K77,'Web-SKUS'!A:E,2,FALSE)</f>
        <v>2</v>
      </c>
      <c r="M77" s="239" t="str">
        <f>VLOOKUP(K77,'Web-SKUS'!A:E,4,FALSE)</f>
        <v>4</v>
      </c>
      <c r="N77" s="238" t="s">
        <v>277</v>
      </c>
      <c r="O77" s="239">
        <v>1</v>
      </c>
      <c r="P77" s="238" t="s">
        <v>157</v>
      </c>
      <c r="Q77" s="238">
        <f>IFERROR(VLOOKUP(B77,PercentCPU!B:F,4,FALSE),"")</f>
        <v>5.6776499620976173</v>
      </c>
      <c r="R77" s="238">
        <f>IFERROR(VLOOKUP(B77,MemoryAvailable!B:F,3,FALSE),"")</f>
        <v>1385.5115703647846</v>
      </c>
      <c r="S77" s="240">
        <f t="shared" si="21"/>
        <v>0.66174033926641007</v>
      </c>
      <c r="T77" s="238">
        <f t="shared" si="22"/>
        <v>1</v>
      </c>
      <c r="U77" s="239">
        <f t="shared" si="23"/>
        <v>3</v>
      </c>
      <c r="V77" s="239">
        <f t="shared" si="24"/>
        <v>0</v>
      </c>
      <c r="W77" s="8">
        <f>IFERROR(VLOOKUP(B77,Write_Bytes_ps!B:F,4,FALSE)/1024/1024,"")</f>
        <v>0.25077972018886419</v>
      </c>
      <c r="X77" s="8">
        <f>IFERROR(VLOOKUP(B77,Read_Bytes_ps!B:F,4,FALSE)/1024/1024,"")</f>
        <v>0.39671910842880598</v>
      </c>
      <c r="Y77" s="8">
        <f>IFERROR(VLOOKUP(B77,Writes_ps!B:F,5,FALSE),"")</f>
        <v>225.62153625488301</v>
      </c>
      <c r="Z77" s="8">
        <f>IFERROR(VLOOKUP(B77,Reads_ps!B:F,5,FALSE),"")</f>
        <v>1028.95227050781</v>
      </c>
      <c r="AA77" s="241">
        <f t="shared" si="39"/>
        <v>0.64749882861767016</v>
      </c>
      <c r="AB77" s="242">
        <f t="shared" si="40"/>
        <v>1255</v>
      </c>
      <c r="AC77" s="242" t="str">
        <f t="shared" si="27"/>
        <v>F2s v2</v>
      </c>
      <c r="AD77" s="239"/>
      <c r="AE77" s="239" t="str">
        <f>IFERROR(VLOOKUP(AD77,'Web-SKUS'!A:E,2,FALSE),"")</f>
        <v/>
      </c>
      <c r="AF77" s="239">
        <f>_xlfn.NUMBERVALUE(IFERROR(VLOOKUP(AD77,'Web-SKUS'!A:E,4,FALSE),""))</f>
        <v>0</v>
      </c>
      <c r="AG77" s="239">
        <f>IFERROR(VLOOKUP(AD77,VM_Performance_Stats!A:G,7,FALSE),0)</f>
        <v>0</v>
      </c>
      <c r="AH77" s="239" t="str">
        <f>IFERROR(VLOOKUP(AD77,VM_Performance_Stats!A:I,8,FALSE),"")</f>
        <v/>
      </c>
      <c r="AI77" s="239">
        <f t="shared" si="28"/>
        <v>0</v>
      </c>
      <c r="AJ77" s="239">
        <f t="shared" si="29"/>
        <v>0</v>
      </c>
      <c r="AK77" s="239">
        <f>IFERROR(IF(VLOOKUP(AD77,VM_Performance_Stats!A:I,8,FALSE)&gt;AB77,1,0),0)</f>
        <v>0</v>
      </c>
      <c r="AL77" t="str">
        <f>IFERROR(VLOOKUP(AD77,'Web-SKUS'!A:G,7,FALSE),"")</f>
        <v/>
      </c>
      <c r="AM77" s="243" t="str">
        <f t="shared" si="30"/>
        <v/>
      </c>
      <c r="AN77" t="str">
        <f>IFERROR(IF(C77=1,VLOOKUP(K77,'Web-SKUS'!A:G,7,FALSE),VLOOKUP(K77,'Web-SKUS'!A:G,6,FALSE)),"")</f>
        <v>£31.2409/month</v>
      </c>
      <c r="AO77" s="243">
        <f t="shared" si="31"/>
        <v>31.2409</v>
      </c>
      <c r="AP77" s="243">
        <f t="shared" si="32"/>
        <v>31.2409</v>
      </c>
      <c r="AQ77" s="244">
        <f t="shared" si="33"/>
        <v>0</v>
      </c>
      <c r="AR77" s="115">
        <f t="shared" si="34"/>
        <v>0</v>
      </c>
      <c r="AS77" s="115" t="str">
        <f>VLOOKUP(B77,'Willie List'!B:M,12,FALSE)</f>
        <v>YES</v>
      </c>
      <c r="AT77" s="115" t="str">
        <f t="shared" si="35"/>
        <v>Standard_F2s_v2</v>
      </c>
      <c r="AU77" s="115" t="str">
        <f t="shared" si="36"/>
        <v>F2s v2</v>
      </c>
      <c r="AV77">
        <f t="shared" si="37"/>
        <v>0</v>
      </c>
      <c r="AW77" s="8">
        <f t="shared" si="38"/>
        <v>0</v>
      </c>
    </row>
    <row r="78" spans="1:49">
      <c r="B78" t="s">
        <v>331</v>
      </c>
      <c r="C78" s="8">
        <f>IFERROR(IF(VLOOKUP(B78,'Willie List'!B:B,1,FALSE) &lt;&gt; "",1,0),0)</f>
        <v>0</v>
      </c>
      <c r="D78" s="8"/>
      <c r="E78" t="s">
        <v>95</v>
      </c>
      <c r="F78" t="s">
        <v>332</v>
      </c>
      <c r="G78" t="s">
        <v>152</v>
      </c>
      <c r="H78" t="s">
        <v>153</v>
      </c>
      <c r="I78" t="s">
        <v>276</v>
      </c>
      <c r="J78" t="s">
        <v>50</v>
      </c>
      <c r="K78" s="8" t="str">
        <f t="shared" si="20"/>
        <v>D8as v4</v>
      </c>
      <c r="L78" s="8">
        <f>VLOOKUP(K78,'Web-SKUS'!A:E,2,FALSE)</f>
        <v>8</v>
      </c>
      <c r="M78" s="8" t="str">
        <f>VLOOKUP(K78,'Web-SKUS'!A:E,4,FALSE)</f>
        <v>32</v>
      </c>
      <c r="N78" t="s">
        <v>277</v>
      </c>
      <c r="O78" s="8">
        <v>1</v>
      </c>
      <c r="P78" t="s">
        <v>157</v>
      </c>
      <c r="Q78">
        <f>IFERROR(VLOOKUP(B78,PercentCPU!B:F,4,FALSE),"")</f>
        <v>6.6469182547506254</v>
      </c>
      <c r="R78">
        <f>IFERROR(VLOOKUP(B78,MemoryAvailable!B:F,3,FALSE),"")</f>
        <v>28828.762928092267</v>
      </c>
      <c r="S78" s="2">
        <f t="shared" si="21"/>
        <v>0.1202159750948405</v>
      </c>
      <c r="T78">
        <f t="shared" si="22"/>
        <v>1</v>
      </c>
      <c r="U78" s="8">
        <f t="shared" si="23"/>
        <v>4</v>
      </c>
      <c r="V78" s="8" t="str">
        <f t="shared" si="24"/>
        <v>D Series</v>
      </c>
      <c r="W78" s="8">
        <f>IFERROR(VLOOKUP(B78,Write_Bytes_ps!B:F,4,FALSE)/1024/1024,"")</f>
        <v>0.21083038568814971</v>
      </c>
      <c r="X78" s="8">
        <f>IFERROR(VLOOKUP(B78,Read_Bytes_ps!B:F,4,FALSE)/1024/1024,"")</f>
        <v>0.42719094206914732</v>
      </c>
      <c r="Y78" s="8">
        <f>IFERROR(VLOOKUP(B78,Writes_ps!B:F,5,FALSE),"")</f>
        <v>595.6591796875</v>
      </c>
      <c r="Z78" s="8">
        <f>IFERROR(VLOOKUP(B78,Reads_ps!B:F,5,FALSE),"")</f>
        <v>582.72808837890602</v>
      </c>
      <c r="AA78" s="8">
        <f t="shared" si="39"/>
        <v>0.63802132775729703</v>
      </c>
      <c r="AB78" s="122">
        <f t="shared" si="40"/>
        <v>1179</v>
      </c>
      <c r="AC78" s="122" t="str">
        <f t="shared" si="27"/>
        <v>D8as v4</v>
      </c>
      <c r="AD78" s="8" t="s">
        <v>290</v>
      </c>
      <c r="AE78" s="8">
        <f>IFERROR(VLOOKUP(AD78,'Web-SKUS'!A:E,2,FALSE),"")</f>
        <v>2</v>
      </c>
      <c r="AF78" s="8">
        <f>_xlfn.NUMBERVALUE(IFERROR(VLOOKUP(AD78,'Web-SKUS'!A:E,4,FALSE),""))</f>
        <v>4</v>
      </c>
      <c r="AG78" s="8">
        <f>IFERROR(VLOOKUP(AD78,VM_Performance_Stats!A:G,7,FALSE),0)</f>
        <v>4</v>
      </c>
      <c r="AH78" s="8">
        <f>IFERROR(VLOOKUP(AD78,VM_Performance_Stats!A:I,8,FALSE),"")</f>
        <v>3200</v>
      </c>
      <c r="AI78" s="8">
        <f t="shared" si="28"/>
        <v>1</v>
      </c>
      <c r="AJ78" s="8">
        <f t="shared" si="29"/>
        <v>1</v>
      </c>
      <c r="AK78" s="8">
        <f>IFERROR(IF(VLOOKUP(AD78,VM_Performance_Stats!A:I,8,FALSE)&gt;AB78,1,0),0)</f>
        <v>1</v>
      </c>
      <c r="AL78" t="str">
        <f>IFERROR(VLOOKUP(AD78,'Web-SKUS'!A:G,7,FALSE),"")</f>
        <v>£31.2409/month</v>
      </c>
      <c r="AM78" s="116">
        <f t="shared" si="30"/>
        <v>31.2409</v>
      </c>
      <c r="AN78" t="str">
        <f>IFERROR(IF(C78=1,VLOOKUP(K78,'Web-SKUS'!A:G,7,FALSE),VLOOKUP(K78,'Web-SKUS'!A:G,6,FALSE)),"")</f>
        <v>£250.2748/month</v>
      </c>
      <c r="AO78" s="116">
        <f t="shared" si="31"/>
        <v>250.2748</v>
      </c>
      <c r="AP78" s="116">
        <f t="shared" si="32"/>
        <v>31.2409</v>
      </c>
      <c r="AQ78" s="115">
        <f t="shared" si="33"/>
        <v>219.03389999999999</v>
      </c>
      <c r="AR78" s="115">
        <f t="shared" si="34"/>
        <v>2628.4067999999997</v>
      </c>
      <c r="AS78" s="115" t="e">
        <f>VLOOKUP(B78,'Willie List'!B:M,12,FALSE)</f>
        <v>#N/A</v>
      </c>
      <c r="AT78" s="115" t="str">
        <f t="shared" si="35"/>
        <v>Standard_D8as_v4</v>
      </c>
      <c r="AU78" s="115" t="str">
        <f t="shared" si="36"/>
        <v>D8as v4</v>
      </c>
      <c r="AV78" t="str">
        <f t="shared" si="37"/>
        <v>F2s v2</v>
      </c>
      <c r="AW78" s="8">
        <f t="shared" si="38"/>
        <v>0</v>
      </c>
    </row>
    <row r="79" spans="1:49">
      <c r="B79" t="s">
        <v>333</v>
      </c>
      <c r="C79" s="8">
        <f>IFERROR(IF(VLOOKUP(B79,'Willie List'!B:B,1,FALSE) &lt;&gt; "",1,0),0)</f>
        <v>0</v>
      </c>
      <c r="D79" s="8"/>
      <c r="E79" t="s">
        <v>99</v>
      </c>
      <c r="F79" t="s">
        <v>334</v>
      </c>
      <c r="G79" t="s">
        <v>152</v>
      </c>
      <c r="H79" t="s">
        <v>153</v>
      </c>
      <c r="I79" t="s">
        <v>276</v>
      </c>
      <c r="J79" t="s">
        <v>335</v>
      </c>
      <c r="K79" s="8" t="str">
        <f t="shared" si="20"/>
        <v>D16s v4</v>
      </c>
      <c r="L79" s="8">
        <f>VLOOKUP(K79,'Web-SKUS'!A:E,2,FALSE)</f>
        <v>16</v>
      </c>
      <c r="M79" s="8" t="str">
        <f>VLOOKUP(K79,'Web-SKUS'!A:E,4,FALSE)</f>
        <v>64</v>
      </c>
      <c r="N79" t="s">
        <v>277</v>
      </c>
      <c r="O79" s="8">
        <v>1</v>
      </c>
      <c r="P79" t="s">
        <v>157</v>
      </c>
      <c r="Q79">
        <f>IFERROR(VLOOKUP(B79,PercentCPU!B:F,4,FALSE),"")</f>
        <v>4.7495850974593692</v>
      </c>
      <c r="R79">
        <f>IFERROR(VLOOKUP(B79,MemoryAvailable!B:F,3,FALSE),"")</f>
        <v>63098.408734365061</v>
      </c>
      <c r="S79" s="2">
        <f t="shared" si="21"/>
        <v>3.7194690942915942E-2</v>
      </c>
      <c r="T79">
        <f t="shared" si="22"/>
        <v>1</v>
      </c>
      <c r="U79" s="8">
        <f t="shared" si="23"/>
        <v>2</v>
      </c>
      <c r="V79" s="8" t="str">
        <f t="shared" si="24"/>
        <v>F Series</v>
      </c>
      <c r="W79" s="8">
        <f>IFERROR(VLOOKUP(B79,Write_Bytes_ps!B:F,4,FALSE)/1024/1024,"")</f>
        <v>0.21921102712493598</v>
      </c>
      <c r="X79" s="8">
        <f>IFERROR(VLOOKUP(B79,Read_Bytes_ps!B:F,4,FALSE)/1024/1024,"")</f>
        <v>0.32923720481624713</v>
      </c>
      <c r="Y79" s="8">
        <f>IFERROR(VLOOKUP(B79,Writes_ps!B:F,5,FALSE),"")</f>
        <v>52.562854766845703</v>
      </c>
      <c r="Z79" s="8">
        <f>IFERROR(VLOOKUP(B79,Reads_ps!B:F,5,FALSE),"")</f>
        <v>238.37020874023401</v>
      </c>
      <c r="AA79" s="8">
        <f t="shared" si="39"/>
        <v>0.54844823194118308</v>
      </c>
      <c r="AB79" s="122">
        <f t="shared" si="40"/>
        <v>291</v>
      </c>
      <c r="AC79" s="122" t="str">
        <f t="shared" si="27"/>
        <v>D16s v4</v>
      </c>
      <c r="AD79" s="8" t="s">
        <v>290</v>
      </c>
      <c r="AE79" s="8">
        <f>IFERROR(VLOOKUP(AD79,'Web-SKUS'!A:E,2,FALSE),"")</f>
        <v>2</v>
      </c>
      <c r="AF79" s="8">
        <f>_xlfn.NUMBERVALUE(IFERROR(VLOOKUP(AD79,'Web-SKUS'!A:E,4,FALSE),""))</f>
        <v>4</v>
      </c>
      <c r="AG79" s="8">
        <f>IFERROR(VLOOKUP(AD79,VM_Performance_Stats!A:G,7,FALSE),0)</f>
        <v>4</v>
      </c>
      <c r="AH79" s="8">
        <f>IFERROR(VLOOKUP(AD79,VM_Performance_Stats!A:I,8,FALSE),"")</f>
        <v>3200</v>
      </c>
      <c r="AI79" s="8">
        <f t="shared" si="28"/>
        <v>1</v>
      </c>
      <c r="AJ79" s="8">
        <f t="shared" si="29"/>
        <v>1</v>
      </c>
      <c r="AK79" s="8">
        <f>IFERROR(IF(VLOOKUP(AD79,VM_Performance_Stats!A:I,8,FALSE)&gt;AB79,1,0),0)</f>
        <v>1</v>
      </c>
      <c r="AL79" t="str">
        <f>IFERROR(VLOOKUP(AD79,'Web-SKUS'!A:G,7,FALSE),"")</f>
        <v>£31.2409/month</v>
      </c>
      <c r="AM79" s="116">
        <f t="shared" si="30"/>
        <v>31.2409</v>
      </c>
      <c r="AN79" t="str">
        <f>IFERROR(IF(C79=1,VLOOKUP(K79,'Web-SKUS'!A:G,7,FALSE),VLOOKUP(K79,'Web-SKUS'!A:G,6,FALSE)),"")</f>
        <v>£500.5496/month</v>
      </c>
      <c r="AO79" s="116">
        <f t="shared" si="31"/>
        <v>500.5496</v>
      </c>
      <c r="AP79" s="116">
        <f t="shared" si="32"/>
        <v>31.2409</v>
      </c>
      <c r="AQ79" s="115">
        <f t="shared" si="33"/>
        <v>469.30869999999999</v>
      </c>
      <c r="AR79" s="115">
        <f t="shared" si="34"/>
        <v>5631.7043999999996</v>
      </c>
      <c r="AS79" s="115" t="e">
        <f>VLOOKUP(B79,'Willie List'!B:M,12,FALSE)</f>
        <v>#N/A</v>
      </c>
      <c r="AT79" s="115" t="str">
        <f t="shared" si="35"/>
        <v>Standard_D16s_v4</v>
      </c>
      <c r="AU79" s="115" t="str">
        <f t="shared" si="36"/>
        <v>D16s v4</v>
      </c>
      <c r="AV79" t="str">
        <f t="shared" si="37"/>
        <v>F2s v2</v>
      </c>
      <c r="AW79" s="8">
        <f t="shared" si="38"/>
        <v>0</v>
      </c>
    </row>
    <row r="80" spans="1:49">
      <c r="B80" t="s">
        <v>336</v>
      </c>
      <c r="C80" s="8">
        <f>IFERROR(IF(VLOOKUP(B80,'Willie List'!B:B,1,FALSE) &lt;&gt; "",1,0),0)</f>
        <v>0</v>
      </c>
      <c r="D80" s="8"/>
      <c r="E80" t="s">
        <v>95</v>
      </c>
      <c r="F80" t="s">
        <v>337</v>
      </c>
      <c r="G80" t="s">
        <v>152</v>
      </c>
      <c r="H80" t="s">
        <v>153</v>
      </c>
      <c r="I80" t="s">
        <v>276</v>
      </c>
      <c r="J80" t="s">
        <v>50</v>
      </c>
      <c r="K80" s="8" t="str">
        <f t="shared" si="20"/>
        <v>D8as v4</v>
      </c>
      <c r="L80" s="8">
        <f>VLOOKUP(K80,'Web-SKUS'!A:E,2,FALSE)</f>
        <v>8</v>
      </c>
      <c r="M80" s="8" t="str">
        <f>VLOOKUP(K80,'Web-SKUS'!A:E,4,FALSE)</f>
        <v>32</v>
      </c>
      <c r="N80" t="s">
        <v>277</v>
      </c>
      <c r="O80" s="8">
        <v>1</v>
      </c>
      <c r="P80" t="s">
        <v>157</v>
      </c>
      <c r="Q80">
        <f>IFERROR(VLOOKUP(B80,PercentCPU!B:F,4,FALSE),"")</f>
        <v>8.0671712858296605</v>
      </c>
      <c r="R80">
        <f>IFERROR(VLOOKUP(B80,MemoryAvailable!B:F,3,FALSE),"")</f>
        <v>28827.132308271917</v>
      </c>
      <c r="S80" s="2">
        <f t="shared" si="21"/>
        <v>0.12026573766260018</v>
      </c>
      <c r="T80">
        <f t="shared" si="22"/>
        <v>1</v>
      </c>
      <c r="U80" s="8">
        <f t="shared" si="23"/>
        <v>4</v>
      </c>
      <c r="V80" s="8" t="str">
        <f t="shared" si="24"/>
        <v>D Series</v>
      </c>
      <c r="W80" s="8">
        <f>IFERROR(VLOOKUP(B80,Write_Bytes_ps!B:F,4,FALSE)/1024/1024,"")</f>
        <v>0.1391810094826065</v>
      </c>
      <c r="X80" s="8">
        <f>IFERROR(VLOOKUP(B80,Read_Bytes_ps!B:F,4,FALSE)/1024/1024,"")</f>
        <v>0.11775298771922517</v>
      </c>
      <c r="Y80" s="8">
        <f>IFERROR(VLOOKUP(B80,Writes_ps!B:F,5,FALSE),"")</f>
        <v>216.89077758789099</v>
      </c>
      <c r="Z80" s="8">
        <f>IFERROR(VLOOKUP(B80,Reads_ps!B:F,5,FALSE),"")</f>
        <v>17.0879421234131</v>
      </c>
      <c r="AA80" s="8">
        <f t="shared" si="39"/>
        <v>0.25693399720183169</v>
      </c>
      <c r="AB80" s="122">
        <f t="shared" si="40"/>
        <v>234</v>
      </c>
      <c r="AC80" s="122" t="str">
        <f t="shared" si="27"/>
        <v>D8as v4</v>
      </c>
      <c r="AD80" s="8" t="s">
        <v>290</v>
      </c>
      <c r="AE80" s="8">
        <f>IFERROR(VLOOKUP(AD80,'Web-SKUS'!A:E,2,FALSE),"")</f>
        <v>2</v>
      </c>
      <c r="AF80" s="8">
        <f>_xlfn.NUMBERVALUE(IFERROR(VLOOKUP(AD80,'Web-SKUS'!A:E,4,FALSE),""))</f>
        <v>4</v>
      </c>
      <c r="AG80" s="8">
        <f>IFERROR(VLOOKUP(AD80,VM_Performance_Stats!A:G,7,FALSE),0)</f>
        <v>4</v>
      </c>
      <c r="AH80" s="8">
        <f>IFERROR(VLOOKUP(AD80,VM_Performance_Stats!A:I,8,FALSE),"")</f>
        <v>3200</v>
      </c>
      <c r="AI80" s="8">
        <f t="shared" si="28"/>
        <v>1</v>
      </c>
      <c r="AJ80" s="8">
        <f t="shared" si="29"/>
        <v>1</v>
      </c>
      <c r="AK80" s="8">
        <f>IFERROR(IF(VLOOKUP(AD80,VM_Performance_Stats!A:I,8,FALSE)&gt;AB80,1,0),0)</f>
        <v>1</v>
      </c>
      <c r="AL80" t="str">
        <f>IFERROR(VLOOKUP(AD80,'Web-SKUS'!A:G,7,FALSE),"")</f>
        <v>£31.2409/month</v>
      </c>
      <c r="AM80" s="116">
        <f t="shared" si="30"/>
        <v>31.2409</v>
      </c>
      <c r="AN80" t="str">
        <f>IFERROR(IF(C80=1,VLOOKUP(K80,'Web-SKUS'!A:G,7,FALSE),VLOOKUP(K80,'Web-SKUS'!A:G,6,FALSE)),"")</f>
        <v>£250.2748/month</v>
      </c>
      <c r="AO80" s="116">
        <f t="shared" si="31"/>
        <v>250.2748</v>
      </c>
      <c r="AP80" s="116">
        <f t="shared" si="32"/>
        <v>31.2409</v>
      </c>
      <c r="AQ80" s="115">
        <f t="shared" si="33"/>
        <v>219.03389999999999</v>
      </c>
      <c r="AR80" s="115">
        <f t="shared" si="34"/>
        <v>2628.4067999999997</v>
      </c>
      <c r="AS80" s="115" t="e">
        <f>VLOOKUP(B80,'Willie List'!B:M,12,FALSE)</f>
        <v>#N/A</v>
      </c>
      <c r="AT80" s="115" t="str">
        <f t="shared" si="35"/>
        <v>Standard_D8as_v4</v>
      </c>
      <c r="AU80" s="115" t="str">
        <f t="shared" si="36"/>
        <v>D8as v4</v>
      </c>
      <c r="AV80" t="str">
        <f t="shared" si="37"/>
        <v>F2s v2</v>
      </c>
      <c r="AW80" s="8">
        <f t="shared" si="38"/>
        <v>0</v>
      </c>
    </row>
    <row r="81" spans="1:49">
      <c r="B81" t="s">
        <v>338</v>
      </c>
      <c r="C81" s="8">
        <f>IFERROR(IF(VLOOKUP(B81,'Willie List'!B:B,1,FALSE) &lt;&gt; "",1,0),0)</f>
        <v>0</v>
      </c>
      <c r="D81" s="8"/>
      <c r="E81" t="s">
        <v>97</v>
      </c>
      <c r="F81" t="s">
        <v>339</v>
      </c>
      <c r="G81" t="s">
        <v>152</v>
      </c>
      <c r="H81" t="s">
        <v>153</v>
      </c>
      <c r="I81" t="s">
        <v>276</v>
      </c>
      <c r="J81" t="s">
        <v>340</v>
      </c>
      <c r="K81" s="8" t="str">
        <f t="shared" si="20"/>
        <v>D8s v3</v>
      </c>
      <c r="L81" s="8">
        <f>VLOOKUP(K81,'Web-SKUS'!A:E,2,FALSE)</f>
        <v>8</v>
      </c>
      <c r="M81" s="8" t="str">
        <f>VLOOKUP(K81,'Web-SKUS'!A:E,4,FALSE)</f>
        <v>32</v>
      </c>
      <c r="N81" t="s">
        <v>277</v>
      </c>
      <c r="O81" s="8">
        <v>1</v>
      </c>
      <c r="P81" t="s">
        <v>157</v>
      </c>
      <c r="Q81">
        <f>IFERROR(VLOOKUP(B81,PercentCPU!B:F,4,FALSE),"")</f>
        <v>0.95014947950330553</v>
      </c>
      <c r="R81">
        <f>IFERROR(VLOOKUP(B81,MemoryAvailable!B:F,3,FALSE),"")</f>
        <v>29476.968417083059</v>
      </c>
      <c r="S81" s="2">
        <f t="shared" si="21"/>
        <v>0.10043431344351017</v>
      </c>
      <c r="T81">
        <f t="shared" si="22"/>
        <v>1</v>
      </c>
      <c r="U81" s="8">
        <f t="shared" si="23"/>
        <v>3</v>
      </c>
      <c r="V81" s="8">
        <f t="shared" si="24"/>
        <v>0</v>
      </c>
      <c r="W81" s="8">
        <f>IFERROR(VLOOKUP(B81,Write_Bytes_ps!B:F,4,FALSE)/1024/1024,"")</f>
        <v>0.19157410351148535</v>
      </c>
      <c r="X81" s="8">
        <f>IFERROR(VLOOKUP(B81,Read_Bytes_ps!B:F,4,FALSE)/1024/1024,"")</f>
        <v>0.42811845945314708</v>
      </c>
      <c r="Y81" s="8">
        <f>IFERROR(VLOOKUP(B81,Writes_ps!B:F,5,FALSE),"")</f>
        <v>443.49044799804699</v>
      </c>
      <c r="Z81" s="8">
        <f>IFERROR(VLOOKUP(B81,Reads_ps!B:F,5,FALSE),"")</f>
        <v>232.86003112793</v>
      </c>
      <c r="AA81" s="8">
        <f t="shared" si="39"/>
        <v>0.61969256296463238</v>
      </c>
      <c r="AB81" s="122">
        <f t="shared" si="40"/>
        <v>677</v>
      </c>
      <c r="AC81" s="122" t="str">
        <f t="shared" si="27"/>
        <v>D8s v3</v>
      </c>
      <c r="AD81" s="8" t="s">
        <v>290</v>
      </c>
      <c r="AE81" s="8">
        <f>IFERROR(VLOOKUP(AD81,'Web-SKUS'!A:E,2,FALSE),"")</f>
        <v>2</v>
      </c>
      <c r="AF81" s="8">
        <f>_xlfn.NUMBERVALUE(IFERROR(VLOOKUP(AD81,'Web-SKUS'!A:E,4,FALSE),""))</f>
        <v>4</v>
      </c>
      <c r="AG81" s="8">
        <f>IFERROR(VLOOKUP(AD81,VM_Performance_Stats!A:G,7,FALSE),0)</f>
        <v>4</v>
      </c>
      <c r="AH81" s="8">
        <f>IFERROR(VLOOKUP(AD81,VM_Performance_Stats!A:I,8,FALSE),"")</f>
        <v>3200</v>
      </c>
      <c r="AI81" s="8">
        <f t="shared" si="28"/>
        <v>1</v>
      </c>
      <c r="AJ81" s="8">
        <f t="shared" si="29"/>
        <v>1</v>
      </c>
      <c r="AK81" s="8">
        <f>IFERROR(IF(VLOOKUP(AD81,VM_Performance_Stats!A:I,8,FALSE)&gt;AB81,1,0),0)</f>
        <v>1</v>
      </c>
      <c r="AL81" t="str">
        <f>IFERROR(VLOOKUP(AD81,'Web-SKUS'!A:G,7,FALSE),"")</f>
        <v>£31.2409/month</v>
      </c>
      <c r="AM81" s="116">
        <f t="shared" si="30"/>
        <v>31.2409</v>
      </c>
      <c r="AN81" t="str">
        <f>IFERROR(IF(C81=1,VLOOKUP(K81,'Web-SKUS'!A:G,7,FALSE),VLOOKUP(K81,'Web-SKUS'!A:G,6,FALSE)),"")</f>
        <v>£261.1563/month</v>
      </c>
      <c r="AO81" s="116">
        <f t="shared" si="31"/>
        <v>261.15629999999999</v>
      </c>
      <c r="AP81" s="116">
        <f t="shared" si="32"/>
        <v>31.2409</v>
      </c>
      <c r="AQ81" s="115">
        <f t="shared" si="33"/>
        <v>229.91539999999998</v>
      </c>
      <c r="AR81" s="115">
        <f t="shared" si="34"/>
        <v>2758.9847999999997</v>
      </c>
      <c r="AS81" s="115" t="e">
        <f>VLOOKUP(B81,'Willie List'!B:M,12,FALSE)</f>
        <v>#N/A</v>
      </c>
      <c r="AT81" s="115" t="str">
        <f t="shared" si="35"/>
        <v>Standard_D8s_v3</v>
      </c>
      <c r="AU81" s="115" t="str">
        <f t="shared" si="36"/>
        <v>D8s v3</v>
      </c>
      <c r="AV81" t="str">
        <f t="shared" si="37"/>
        <v>F2s v2</v>
      </c>
      <c r="AW81" s="8">
        <f t="shared" si="38"/>
        <v>0</v>
      </c>
    </row>
    <row r="82" spans="1:49">
      <c r="A82" t="s">
        <v>309</v>
      </c>
      <c r="B82" s="238" t="s">
        <v>341</v>
      </c>
      <c r="C82" s="239">
        <f>IFERROR(IF(VLOOKUP(B82,'Willie List'!B:B,1,FALSE) &lt;&gt; "",1,0),0)</f>
        <v>1</v>
      </c>
      <c r="D82" s="239"/>
      <c r="E82" s="238" t="s">
        <v>101</v>
      </c>
      <c r="F82" s="238" t="s">
        <v>342</v>
      </c>
      <c r="G82" s="238" t="s">
        <v>152</v>
      </c>
      <c r="H82" s="238" t="s">
        <v>153</v>
      </c>
      <c r="I82" s="238" t="s">
        <v>276</v>
      </c>
      <c r="J82" s="238" t="s">
        <v>78</v>
      </c>
      <c r="K82" s="239" t="str">
        <f t="shared" si="20"/>
        <v>F4s v2</v>
      </c>
      <c r="L82" s="239">
        <f>VLOOKUP(K82,'Web-SKUS'!A:E,2,FALSE)</f>
        <v>4</v>
      </c>
      <c r="M82" s="239" t="str">
        <f>VLOOKUP(K82,'Web-SKUS'!A:E,4,FALSE)</f>
        <v>8</v>
      </c>
      <c r="N82" s="238" t="s">
        <v>277</v>
      </c>
      <c r="O82" s="239">
        <v>1</v>
      </c>
      <c r="P82" s="238" t="s">
        <v>157</v>
      </c>
      <c r="Q82" s="238">
        <f>IFERROR(VLOOKUP(B82,PercentCPU!B:F,4,FALSE),"")</f>
        <v>2.852028611539581</v>
      </c>
      <c r="R82" s="238">
        <f>IFERROR(VLOOKUP(B82,MemoryAvailable!B:F,3,FALSE),"")</f>
        <v>2481.454288340522</v>
      </c>
      <c r="S82" s="240">
        <f t="shared" si="21"/>
        <v>0.69708809956780737</v>
      </c>
      <c r="T82" s="238">
        <f t="shared" si="22"/>
        <v>1</v>
      </c>
      <c r="U82" s="239">
        <f t="shared" si="23"/>
        <v>6</v>
      </c>
      <c r="V82" s="239">
        <f t="shared" si="24"/>
        <v>0</v>
      </c>
      <c r="W82" s="8">
        <f>IFERROR(VLOOKUP(B82,Write_Bytes_ps!B:F,4,FALSE)/1024/1024,"")</f>
        <v>0.23630498938883457</v>
      </c>
      <c r="X82" s="8">
        <f>IFERROR(VLOOKUP(B82,Read_Bytes_ps!B:F,4,FALSE)/1024/1024,"")</f>
        <v>0.3967677770462939</v>
      </c>
      <c r="Y82" s="8">
        <f>IFERROR(VLOOKUP(B82,Writes_ps!B:F,5,FALSE),"")</f>
        <v>261.3125</v>
      </c>
      <c r="Z82" s="8">
        <f>IFERROR(VLOOKUP(B82,Reads_ps!B:F,5,FALSE),"")</f>
        <v>4943.82275390625</v>
      </c>
      <c r="AA82" s="241">
        <f t="shared" si="39"/>
        <v>0.63307276643512844</v>
      </c>
      <c r="AB82" s="242">
        <f t="shared" si="40"/>
        <v>5206</v>
      </c>
      <c r="AC82" s="242" t="str">
        <f t="shared" si="27"/>
        <v>F4s v2</v>
      </c>
      <c r="AD82" s="239"/>
      <c r="AE82" s="239" t="str">
        <f>IFERROR(VLOOKUP(AD82,'Web-SKUS'!A:E,2,FALSE),"")</f>
        <v/>
      </c>
      <c r="AF82" s="239">
        <f>_xlfn.NUMBERVALUE(IFERROR(VLOOKUP(AD82,'Web-SKUS'!A:E,4,FALSE),""))</f>
        <v>0</v>
      </c>
      <c r="AG82" s="239">
        <f>IFERROR(VLOOKUP(AD82,VM_Performance_Stats!A:G,7,FALSE),0)</f>
        <v>0</v>
      </c>
      <c r="AH82" s="239" t="str">
        <f>IFERROR(VLOOKUP(AD82,VM_Performance_Stats!A:I,8,FALSE),"")</f>
        <v/>
      </c>
      <c r="AI82" s="239">
        <f t="shared" si="28"/>
        <v>0</v>
      </c>
      <c r="AJ82" s="239">
        <f t="shared" si="29"/>
        <v>0</v>
      </c>
      <c r="AK82" s="239">
        <f>IFERROR(IF(VLOOKUP(AD82,VM_Performance_Stats!A:I,8,FALSE)&gt;AB82,1,0),0)</f>
        <v>0</v>
      </c>
      <c r="AL82" t="str">
        <f>IFERROR(VLOOKUP(AD82,'Web-SKUS'!A:G,7,FALSE),"")</f>
        <v/>
      </c>
      <c r="AM82" s="243" t="str">
        <f t="shared" si="30"/>
        <v/>
      </c>
      <c r="AN82" t="str">
        <f>IFERROR(IF(C82=1,VLOOKUP(K82,'Web-SKUS'!A:G,7,FALSE),VLOOKUP(K82,'Web-SKUS'!A:G,6,FALSE)),"")</f>
        <v>£62.5415/month</v>
      </c>
      <c r="AO82" s="243">
        <f t="shared" si="31"/>
        <v>62.541499999999999</v>
      </c>
      <c r="AP82" s="243">
        <f t="shared" si="32"/>
        <v>62.541499999999999</v>
      </c>
      <c r="AQ82" s="244">
        <f t="shared" si="33"/>
        <v>0</v>
      </c>
      <c r="AR82" s="115">
        <f t="shared" si="34"/>
        <v>0</v>
      </c>
      <c r="AS82" s="115" t="str">
        <f>VLOOKUP(B82,'Willie List'!B:M,12,FALSE)</f>
        <v>YES</v>
      </c>
      <c r="AT82" s="115" t="str">
        <f t="shared" si="35"/>
        <v>Standard_F4s_v2</v>
      </c>
      <c r="AU82" s="115" t="str">
        <f t="shared" si="36"/>
        <v>F4s v2</v>
      </c>
      <c r="AV82">
        <f t="shared" si="37"/>
        <v>0</v>
      </c>
      <c r="AW82" s="8">
        <f t="shared" si="38"/>
        <v>0</v>
      </c>
    </row>
    <row r="83" spans="1:49">
      <c r="B83" t="s">
        <v>343</v>
      </c>
      <c r="C83" s="8">
        <f>IFERROR(IF(VLOOKUP(B83,'Willie List'!B:B,1,FALSE) &lt;&gt; "",1,0),0)</f>
        <v>0</v>
      </c>
      <c r="D83" s="8"/>
      <c r="E83" t="s">
        <v>95</v>
      </c>
      <c r="F83" t="s">
        <v>344</v>
      </c>
      <c r="G83" t="s">
        <v>152</v>
      </c>
      <c r="H83" t="s">
        <v>275</v>
      </c>
      <c r="I83" t="s">
        <v>276</v>
      </c>
      <c r="J83" t="s">
        <v>345</v>
      </c>
      <c r="K83" s="8" t="str">
        <f t="shared" si="20"/>
        <v>B2s</v>
      </c>
      <c r="L83" s="8">
        <f>VLOOKUP(K83,'Web-SKUS'!A:E,2,FALSE)</f>
        <v>2</v>
      </c>
      <c r="M83" s="8" t="str">
        <f>VLOOKUP(K83,'Web-SKUS'!A:E,4,FALSE)</f>
        <v>4</v>
      </c>
      <c r="N83" t="s">
        <v>277</v>
      </c>
      <c r="O83" s="8">
        <v>2</v>
      </c>
      <c r="P83" t="s">
        <v>157</v>
      </c>
      <c r="Q83">
        <f>IFERROR(VLOOKUP(B83,PercentCPU!B:F,4,FALSE),"")</f>
        <v>7.5869757270129767</v>
      </c>
      <c r="R83">
        <f>IFERROR(VLOOKUP(B83,MemoryAvailable!B:F,3,FALSE),"")</f>
        <v>718.55039622765082</v>
      </c>
      <c r="S83" s="2">
        <f t="shared" si="21"/>
        <v>0.82457265717098371</v>
      </c>
      <c r="T83">
        <f t="shared" si="22"/>
        <v>1</v>
      </c>
      <c r="U83" s="8">
        <f t="shared" si="23"/>
        <v>3</v>
      </c>
      <c r="V83" s="8">
        <f t="shared" si="24"/>
        <v>0</v>
      </c>
      <c r="W83" s="8">
        <f>IFERROR(VLOOKUP(B83,Write_Bytes_ps!B:F,4,FALSE)/1024/1024,"")</f>
        <v>0.12366931811533938</v>
      </c>
      <c r="X83" s="8">
        <f>IFERROR(VLOOKUP(B83,Read_Bytes_ps!B:F,4,FALSE)/1024/1024,"")</f>
        <v>0.14904897901465686</v>
      </c>
      <c r="Y83" s="8">
        <f>IFERROR(VLOOKUP(B83,Writes_ps!B:F,5,FALSE),"")</f>
        <v>474.35409545898398</v>
      </c>
      <c r="Z83" s="8">
        <f>IFERROR(VLOOKUP(B83,Reads_ps!B:F,5,FALSE),"")</f>
        <v>685.04577636718795</v>
      </c>
      <c r="AA83" s="8">
        <f t="shared" si="39"/>
        <v>0.27271829712999623</v>
      </c>
      <c r="AB83" s="122">
        <f t="shared" si="40"/>
        <v>1160</v>
      </c>
      <c r="AC83" s="122" t="str">
        <f t="shared" si="27"/>
        <v>B2s</v>
      </c>
      <c r="AD83" s="8" t="s">
        <v>290</v>
      </c>
      <c r="AE83" s="8">
        <f>IFERROR(VLOOKUP(AD83,'Web-SKUS'!A:E,2,FALSE),"")</f>
        <v>2</v>
      </c>
      <c r="AF83" s="8">
        <f>_xlfn.NUMBERVALUE(IFERROR(VLOOKUP(AD83,'Web-SKUS'!A:E,4,FALSE),""))</f>
        <v>4</v>
      </c>
      <c r="AG83" s="8">
        <f>IFERROR(VLOOKUP(AD83,VM_Performance_Stats!A:G,7,FALSE),0)</f>
        <v>4</v>
      </c>
      <c r="AH83" s="8">
        <f>IFERROR(VLOOKUP(AD83,VM_Performance_Stats!A:I,8,FALSE),"")</f>
        <v>3200</v>
      </c>
      <c r="AI83" s="8">
        <f t="shared" si="28"/>
        <v>1</v>
      </c>
      <c r="AJ83" s="8">
        <f t="shared" si="29"/>
        <v>1</v>
      </c>
      <c r="AK83" s="8">
        <f>IFERROR(IF(VLOOKUP(AD83,VM_Performance_Stats!A:I,8,FALSE)&gt;AB83,1,0),0)</f>
        <v>1</v>
      </c>
      <c r="AL83" t="str">
        <f>IFERROR(VLOOKUP(AD83,'Web-SKUS'!A:G,7,FALSE),"")</f>
        <v>£31.2409/month</v>
      </c>
      <c r="AM83" s="116">
        <f t="shared" si="30"/>
        <v>31.2409</v>
      </c>
      <c r="AN83" t="str">
        <f>IFERROR(IF(C83=1,VLOOKUP(K83,'Web-SKUS'!A:G,7,FALSE),VLOOKUP(K83,'Web-SKUS'!A:G,6,FALSE)),"")</f>
        <v>£26.1157/month</v>
      </c>
      <c r="AO83" s="116">
        <f t="shared" si="31"/>
        <v>26.1157</v>
      </c>
      <c r="AP83" s="116">
        <f t="shared" si="32"/>
        <v>31.2409</v>
      </c>
      <c r="AQ83" s="115">
        <f t="shared" si="33"/>
        <v>-5.1251999999999995</v>
      </c>
      <c r="AR83" s="115">
        <f t="shared" si="34"/>
        <v>-61.502399999999994</v>
      </c>
      <c r="AS83" s="115" t="e">
        <f>VLOOKUP(B83,'Willie List'!B:M,12,FALSE)</f>
        <v>#N/A</v>
      </c>
      <c r="AT83" s="115" t="str">
        <f t="shared" si="35"/>
        <v>Standard_B2s</v>
      </c>
      <c r="AU83" s="115" t="str">
        <f t="shared" si="36"/>
        <v>B2s</v>
      </c>
      <c r="AV83" t="str">
        <f t="shared" si="37"/>
        <v>F2s v2</v>
      </c>
      <c r="AW83" s="8">
        <f t="shared" si="38"/>
        <v>0</v>
      </c>
    </row>
    <row r="84" spans="1:49">
      <c r="B84" t="s">
        <v>346</v>
      </c>
      <c r="C84" s="8">
        <f>IFERROR(IF(VLOOKUP(B84,'Willie List'!B:B,1,FALSE) &lt;&gt; "",1,0),0)</f>
        <v>0</v>
      </c>
      <c r="D84" s="8"/>
      <c r="E84" t="s">
        <v>97</v>
      </c>
      <c r="F84" t="s">
        <v>347</v>
      </c>
      <c r="G84" t="s">
        <v>152</v>
      </c>
      <c r="H84" t="s">
        <v>275</v>
      </c>
      <c r="I84" t="s">
        <v>276</v>
      </c>
      <c r="J84" t="s">
        <v>345</v>
      </c>
      <c r="K84" s="8" t="str">
        <f t="shared" si="20"/>
        <v>B2s</v>
      </c>
      <c r="L84" s="8">
        <f>VLOOKUP(K84,'Web-SKUS'!A:E,2,FALSE)</f>
        <v>2</v>
      </c>
      <c r="M84" s="8" t="str">
        <f>VLOOKUP(K84,'Web-SKUS'!A:E,4,FALSE)</f>
        <v>4</v>
      </c>
      <c r="N84" t="s">
        <v>277</v>
      </c>
      <c r="O84" s="8">
        <v>2</v>
      </c>
      <c r="P84" t="s">
        <v>157</v>
      </c>
      <c r="Q84">
        <f>IFERROR(VLOOKUP(B84,PercentCPU!B:F,4,FALSE),"")</f>
        <v>4.9517661628422811</v>
      </c>
      <c r="R84">
        <f>IFERROR(VLOOKUP(B84,MemoryAvailable!B:F,3,FALSE),"")</f>
        <v>2054.4273429101927</v>
      </c>
      <c r="S84" s="2">
        <f t="shared" si="21"/>
        <v>0.49843082448481624</v>
      </c>
      <c r="T84">
        <f t="shared" si="22"/>
        <v>1</v>
      </c>
      <c r="U84" s="8">
        <f t="shared" si="23"/>
        <v>2</v>
      </c>
      <c r="V84" s="8" t="str">
        <f t="shared" si="24"/>
        <v>F Series</v>
      </c>
      <c r="W84" s="8">
        <f>IFERROR(VLOOKUP(B84,Write_Bytes_ps!B:F,4,FALSE)/1024/1024,"")</f>
        <v>0.15373541971667593</v>
      </c>
      <c r="X84" s="8">
        <f>IFERROR(VLOOKUP(B84,Read_Bytes_ps!B:F,4,FALSE)/1024/1024,"")</f>
        <v>0.23185925535936014</v>
      </c>
      <c r="Y84" s="8">
        <f>IFERROR(VLOOKUP(B84,Writes_ps!B:F,5,FALSE),"")</f>
        <v>367.94308471679699</v>
      </c>
      <c r="Z84" s="8">
        <f>IFERROR(VLOOKUP(B84,Reads_ps!B:F,5,FALSE),"")</f>
        <v>623.11584472656295</v>
      </c>
      <c r="AA84" s="8">
        <f t="shared" si="39"/>
        <v>0.38559467507603606</v>
      </c>
      <c r="AB84" s="122">
        <f t="shared" si="40"/>
        <v>992</v>
      </c>
      <c r="AC84" s="122" t="str">
        <f t="shared" si="27"/>
        <v>B2s</v>
      </c>
      <c r="AD84" s="8" t="s">
        <v>290</v>
      </c>
      <c r="AE84" s="8">
        <f>IFERROR(VLOOKUP(AD84,'Web-SKUS'!A:E,2,FALSE),"")</f>
        <v>2</v>
      </c>
      <c r="AF84" s="8">
        <f>_xlfn.NUMBERVALUE(IFERROR(VLOOKUP(AD84,'Web-SKUS'!A:E,4,FALSE),""))</f>
        <v>4</v>
      </c>
      <c r="AG84" s="8">
        <f>IFERROR(VLOOKUP(AD84,VM_Performance_Stats!A:G,7,FALSE),0)</f>
        <v>4</v>
      </c>
      <c r="AH84" s="8">
        <f>IFERROR(VLOOKUP(AD84,VM_Performance_Stats!A:I,8,FALSE),"")</f>
        <v>3200</v>
      </c>
      <c r="AI84" s="8">
        <f t="shared" si="28"/>
        <v>1</v>
      </c>
      <c r="AJ84" s="8">
        <f t="shared" si="29"/>
        <v>1</v>
      </c>
      <c r="AK84" s="8">
        <f>IFERROR(IF(VLOOKUP(AD84,VM_Performance_Stats!A:I,8,FALSE)&gt;AB84,1,0),0)</f>
        <v>1</v>
      </c>
      <c r="AL84" t="str">
        <f>IFERROR(VLOOKUP(AD84,'Web-SKUS'!A:G,7,FALSE),"")</f>
        <v>£31.2409/month</v>
      </c>
      <c r="AM84" s="116">
        <f t="shared" si="30"/>
        <v>31.2409</v>
      </c>
      <c r="AN84" t="str">
        <f>IFERROR(IF(C84=1,VLOOKUP(K84,'Web-SKUS'!A:G,7,FALSE),VLOOKUP(K84,'Web-SKUS'!A:G,6,FALSE)),"")</f>
        <v>£26.1157/month</v>
      </c>
      <c r="AO84" s="116">
        <f t="shared" si="31"/>
        <v>26.1157</v>
      </c>
      <c r="AP84" s="116">
        <f t="shared" si="32"/>
        <v>31.2409</v>
      </c>
      <c r="AQ84" s="115">
        <f t="shared" si="33"/>
        <v>-5.1251999999999995</v>
      </c>
      <c r="AR84" s="115">
        <f t="shared" si="34"/>
        <v>-61.502399999999994</v>
      </c>
      <c r="AS84" s="115" t="e">
        <f>VLOOKUP(B84,'Willie List'!B:M,12,FALSE)</f>
        <v>#N/A</v>
      </c>
      <c r="AT84" s="115" t="str">
        <f t="shared" si="35"/>
        <v>Standard_B2s</v>
      </c>
      <c r="AU84" s="115" t="str">
        <f t="shared" si="36"/>
        <v>B2s</v>
      </c>
      <c r="AV84" t="str">
        <f t="shared" si="37"/>
        <v>F2s v2</v>
      </c>
      <c r="AW84" s="8">
        <f t="shared" si="38"/>
        <v>0</v>
      </c>
    </row>
    <row r="85" spans="1:49" s="83" customFormat="1">
      <c r="A85" s="83" t="s">
        <v>348</v>
      </c>
      <c r="B85" s="238" t="s">
        <v>349</v>
      </c>
      <c r="C85" s="239">
        <f>IFERROR(IF(VLOOKUP(B85,'Willie List'!B:B,1,FALSE) &lt;&gt; "",1,0),0)</f>
        <v>1</v>
      </c>
      <c r="D85" s="239"/>
      <c r="E85" s="238" t="s">
        <v>101</v>
      </c>
      <c r="F85" s="238" t="s">
        <v>350</v>
      </c>
      <c r="G85" s="238" t="s">
        <v>152</v>
      </c>
      <c r="H85" s="238" t="s">
        <v>153</v>
      </c>
      <c r="I85" s="238" t="s">
        <v>276</v>
      </c>
      <c r="J85" s="238" t="s">
        <v>22</v>
      </c>
      <c r="K85" s="239" t="str">
        <f t="shared" si="20"/>
        <v>B2ms</v>
      </c>
      <c r="L85" s="239">
        <f>VLOOKUP(K85,'Web-SKUS'!A:E,2,FALSE)</f>
        <v>2</v>
      </c>
      <c r="M85" s="239" t="str">
        <f>VLOOKUP(K85,'Web-SKUS'!A:E,4,FALSE)</f>
        <v>8</v>
      </c>
      <c r="N85" s="238" t="s">
        <v>277</v>
      </c>
      <c r="O85" s="239">
        <v>2</v>
      </c>
      <c r="P85" s="238" t="s">
        <v>157</v>
      </c>
      <c r="Q85" s="238">
        <f>IFERROR(VLOOKUP(B85,PercentCPU!B:F,4,FALSE),"")</f>
        <v>5.0122002887995665</v>
      </c>
      <c r="R85" s="238">
        <f>IFERROR(VLOOKUP(B85,MemoryAvailable!B:F,3,FALSE),"")</f>
        <v>5670.674433946705</v>
      </c>
      <c r="S85" s="240">
        <f t="shared" si="21"/>
        <v>0.30777899976236511</v>
      </c>
      <c r="T85" s="238">
        <f t="shared" si="22"/>
        <v>1</v>
      </c>
      <c r="U85" s="239">
        <f t="shared" si="23"/>
        <v>2</v>
      </c>
      <c r="V85" s="239" t="str">
        <f t="shared" si="24"/>
        <v>F Series</v>
      </c>
      <c r="W85" s="8">
        <f>IFERROR(VLOOKUP(B85,Write_Bytes_ps!B:F,4,FALSE)/1024/1024,"")</f>
        <v>0.10969706632365576</v>
      </c>
      <c r="X85" s="8">
        <f>IFERROR(VLOOKUP(B85,Read_Bytes_ps!B:F,4,FALSE)/1024/1024,"")</f>
        <v>8.4977676801106905E-2</v>
      </c>
      <c r="Y85" s="8">
        <f>IFERROR(VLOOKUP(B85,Writes_ps!B:F,5,FALSE),"")</f>
        <v>448.90707397460898</v>
      </c>
      <c r="Z85" s="8">
        <f>IFERROR(VLOOKUP(B85,Reads_ps!B:F,5,FALSE),"")</f>
        <v>467.53677368164102</v>
      </c>
      <c r="AA85" s="241">
        <f t="shared" si="39"/>
        <v>0.19467474312476268</v>
      </c>
      <c r="AB85" s="242">
        <f t="shared" si="40"/>
        <v>917</v>
      </c>
      <c r="AC85" s="242" t="str">
        <f t="shared" si="27"/>
        <v>B2ms</v>
      </c>
      <c r="AD85" s="239"/>
      <c r="AE85" s="239" t="str">
        <f>IFERROR(VLOOKUP(AD85,'Web-SKUS'!A:E,2,FALSE),"")</f>
        <v/>
      </c>
      <c r="AF85" s="239">
        <f>_xlfn.NUMBERVALUE(IFERROR(VLOOKUP(AD85,'Web-SKUS'!A:E,4,FALSE),""))</f>
        <v>0</v>
      </c>
      <c r="AG85" s="239">
        <f>IFERROR(VLOOKUP(AD85,VM_Performance_Stats!A:G,7,FALSE),0)</f>
        <v>0</v>
      </c>
      <c r="AH85" s="239" t="str">
        <f>IFERROR(VLOOKUP(AD85,VM_Performance_Stats!A:I,8,FALSE),"")</f>
        <v/>
      </c>
      <c r="AI85" s="239">
        <f t="shared" si="28"/>
        <v>0</v>
      </c>
      <c r="AJ85" s="239">
        <f t="shared" si="29"/>
        <v>0</v>
      </c>
      <c r="AK85" s="239">
        <f>IFERROR(IF(VLOOKUP(AD85,VM_Performance_Stats!A:I,8,FALSE)&gt;AB85,1,0),0)</f>
        <v>0</v>
      </c>
      <c r="AL85" t="str">
        <f>IFERROR(VLOOKUP(AD85,'Web-SKUS'!A:G,7,FALSE),"")</f>
        <v/>
      </c>
      <c r="AM85" s="243" t="str">
        <f t="shared" si="30"/>
        <v/>
      </c>
      <c r="AN85" t="str">
        <f>IFERROR(IF(C85=1,VLOOKUP(K85,'Web-SKUS'!A:G,7,FALSE),VLOOKUP(K85,'Web-SKUS'!A:G,6,FALSE)),"")</f>
        <v>£30.5553/month</v>
      </c>
      <c r="AO85" s="243">
        <f t="shared" si="31"/>
        <v>30.555299999999999</v>
      </c>
      <c r="AP85" s="243">
        <f t="shared" si="32"/>
        <v>30.555299999999999</v>
      </c>
      <c r="AQ85" s="244">
        <f t="shared" si="33"/>
        <v>0</v>
      </c>
      <c r="AR85" s="237">
        <f t="shared" si="34"/>
        <v>0</v>
      </c>
      <c r="AS85" s="237" t="str">
        <f>VLOOKUP(B85,'Willie List'!B:M,12,FALSE)</f>
        <v>YES</v>
      </c>
      <c r="AT85" s="237" t="str">
        <f t="shared" si="35"/>
        <v>Standard_B2ms</v>
      </c>
      <c r="AU85" s="237" t="str">
        <f t="shared" si="36"/>
        <v>B2ms</v>
      </c>
      <c r="AV85" s="83">
        <f t="shared" si="37"/>
        <v>0</v>
      </c>
      <c r="AW85" s="96">
        <f t="shared" si="38"/>
        <v>0</v>
      </c>
    </row>
    <row r="86" spans="1:49">
      <c r="A86" t="s">
        <v>351</v>
      </c>
      <c r="B86" s="238" t="s">
        <v>352</v>
      </c>
      <c r="C86" s="239">
        <f>IFERROR(IF(VLOOKUP(B86,'Willie List'!B:B,1,FALSE) &lt;&gt; "",1,0),0)</f>
        <v>1</v>
      </c>
      <c r="D86" s="239"/>
      <c r="E86" s="238" t="s">
        <v>101</v>
      </c>
      <c r="F86" s="238" t="s">
        <v>350</v>
      </c>
      <c r="G86" s="238" t="s">
        <v>152</v>
      </c>
      <c r="H86" s="238" t="s">
        <v>153</v>
      </c>
      <c r="I86" s="238" t="s">
        <v>154</v>
      </c>
      <c r="J86" s="238" t="s">
        <v>353</v>
      </c>
      <c r="K86" s="239" t="s">
        <v>354</v>
      </c>
      <c r="L86" s="239">
        <f>VLOOKUP(K86,'Web-SKUS'!A:E,2,FALSE)</f>
        <v>1</v>
      </c>
      <c r="M86" s="239" t="str">
        <f>VLOOKUP(K86,'Web-SKUS'!A:E,4,FALSE)</f>
        <v>2</v>
      </c>
      <c r="N86" s="238" t="s">
        <v>277</v>
      </c>
      <c r="O86" s="239">
        <v>1</v>
      </c>
      <c r="P86" s="238" t="s">
        <v>157</v>
      </c>
      <c r="Q86" s="238">
        <f>IFERROR(VLOOKUP(B86,PercentCPU!B:F,4,FALSE),"")</f>
        <v>45.330526351739778</v>
      </c>
      <c r="R86" s="238">
        <f>IFERROR(VLOOKUP(B86,MemoryAvailable!B:F,3,FALSE),"")</f>
        <v>602.68990511843481</v>
      </c>
      <c r="S86" s="240">
        <f t="shared" si="21"/>
        <v>0.70571781976638925</v>
      </c>
      <c r="T86" s="238">
        <f t="shared" si="22"/>
        <v>1</v>
      </c>
      <c r="U86" s="239">
        <f t="shared" si="23"/>
        <v>1</v>
      </c>
      <c r="V86" s="239">
        <f t="shared" si="24"/>
        <v>0</v>
      </c>
      <c r="W86" s="8">
        <f>IFERROR(VLOOKUP(B86,Write_Bytes_ps!B:F,4,FALSE)/1024/1024,"")</f>
        <v>5.5874802324026654E-2</v>
      </c>
      <c r="X86" s="8">
        <f>IFERROR(VLOOKUP(B86,Read_Bytes_ps!B:F,4,FALSE)/1024/1024,"")</f>
        <v>8.5659848929023525E-4</v>
      </c>
      <c r="Y86" s="8">
        <f>IFERROR(VLOOKUP(B86,Writes_ps!B:F,5,FALSE),"")</f>
        <v>260.32658709451198</v>
      </c>
      <c r="Z86" s="8">
        <f>IFERROR(VLOOKUP(B86,Reads_ps!B:F,5,FALSE),"")</f>
        <v>86.176542007020004</v>
      </c>
      <c r="AA86" s="241">
        <f t="shared" si="39"/>
        <v>5.6731400813316887E-2</v>
      </c>
      <c r="AB86" s="242">
        <f t="shared" si="40"/>
        <v>347</v>
      </c>
      <c r="AC86" s="242" t="str">
        <f t="shared" si="27"/>
        <v>A1 v2</v>
      </c>
      <c r="AD86" s="239"/>
      <c r="AE86" s="239" t="str">
        <f>IFERROR(VLOOKUP(AD86,'Web-SKUS'!A:E,2,FALSE),"")</f>
        <v/>
      </c>
      <c r="AF86" s="239">
        <f>_xlfn.NUMBERVALUE(IFERROR(VLOOKUP(AD86,'Web-SKUS'!A:E,4,FALSE),""))</f>
        <v>0</v>
      </c>
      <c r="AG86" s="239">
        <f>IFERROR(VLOOKUP(AD86,VM_Performance_Stats!A:G,7,FALSE),0)</f>
        <v>0</v>
      </c>
      <c r="AH86" s="239" t="str">
        <f>IFERROR(VLOOKUP(AD86,VM_Performance_Stats!A:I,8,FALSE),"")</f>
        <v/>
      </c>
      <c r="AI86" s="239">
        <f t="shared" si="28"/>
        <v>0</v>
      </c>
      <c r="AJ86" s="239">
        <f t="shared" si="29"/>
        <v>0</v>
      </c>
      <c r="AK86" s="239">
        <f>IFERROR(IF(VLOOKUP(AD86,VM_Performance_Stats!A:I,8,FALSE)&gt;AB86,1,0),0)</f>
        <v>0</v>
      </c>
      <c r="AL86" t="str">
        <f>IFERROR(VLOOKUP(AD86,'Web-SKUS'!A:G,7,FALSE),"")</f>
        <v/>
      </c>
      <c r="AM86" s="243" t="str">
        <f t="shared" si="30"/>
        <v/>
      </c>
      <c r="AN86" t="str">
        <f>IFERROR(IF(C86=1,VLOOKUP(K86,'Web-SKUS'!A:G,7,FALSE),VLOOKUP(K86,'Web-SKUS'!A:G,6,FALSE)),"")</f>
        <v>£22.3071/month</v>
      </c>
      <c r="AO86" s="243">
        <f t="shared" si="31"/>
        <v>22.307099999999998</v>
      </c>
      <c r="AP86" s="243">
        <f t="shared" si="32"/>
        <v>22.307099999999998</v>
      </c>
      <c r="AQ86" s="244">
        <f t="shared" si="33"/>
        <v>0</v>
      </c>
      <c r="AR86" s="115">
        <f t="shared" si="34"/>
        <v>0</v>
      </c>
      <c r="AS86" s="115" t="str">
        <f>VLOOKUP(B86,'Willie List'!B:M,12,FALSE)</f>
        <v>NO</v>
      </c>
      <c r="AT86" s="115" t="str">
        <f t="shared" si="35"/>
        <v>Basic_A1</v>
      </c>
      <c r="AU86" s="115" t="e">
        <f t="shared" si="36"/>
        <v>#VALUE!</v>
      </c>
      <c r="AV86">
        <f t="shared" si="37"/>
        <v>0</v>
      </c>
      <c r="AW86" s="8" t="str">
        <f t="shared" si="38"/>
        <v/>
      </c>
    </row>
    <row r="87" spans="1:49">
      <c r="A87" t="s">
        <v>314</v>
      </c>
      <c r="B87" s="238" t="s">
        <v>355</v>
      </c>
      <c r="C87" s="239">
        <f>IFERROR(IF(VLOOKUP(B87,'Willie List'!B:B,1,FALSE) &lt;&gt; "",1,0),0)</f>
        <v>1</v>
      </c>
      <c r="D87" s="239"/>
      <c r="E87" s="238" t="s">
        <v>101</v>
      </c>
      <c r="F87" s="238" t="s">
        <v>316</v>
      </c>
      <c r="G87" s="238" t="s">
        <v>152</v>
      </c>
      <c r="H87" s="238" t="s">
        <v>153</v>
      </c>
      <c r="I87" s="238" t="s">
        <v>276</v>
      </c>
      <c r="J87" s="238" t="s">
        <v>25</v>
      </c>
      <c r="K87" s="239" t="str">
        <f t="shared" ref="K87:K118" si="41">IFERROR(REPLACE(REPLACE(J87,FIND("Standard_",J87,1),9,""),FIND("_",REPLACE(J87,FIND("Standard_",J87,1),9,""),1),1," "),REPLACE(J87,FIND("Standard_",J87,1),9,""))</f>
        <v>B4ms</v>
      </c>
      <c r="L87" s="239">
        <f>VLOOKUP(K87,'Web-SKUS'!A:E,2,FALSE)</f>
        <v>4</v>
      </c>
      <c r="M87" s="239" t="str">
        <f>VLOOKUP(K87,'Web-SKUS'!A:E,4,FALSE)</f>
        <v>16</v>
      </c>
      <c r="N87" s="238" t="s">
        <v>277</v>
      </c>
      <c r="O87" s="239">
        <v>1</v>
      </c>
      <c r="P87" s="238" t="s">
        <v>157</v>
      </c>
      <c r="Q87" s="238">
        <f>IFERROR(VLOOKUP(B87,PercentCPU!B:F,4,FALSE),"")</f>
        <v>5.1252161810346362</v>
      </c>
      <c r="R87" s="238">
        <f>IFERROR(VLOOKUP(B87,MemoryAvailable!B:F,3,FALSE),"")</f>
        <v>7672.1686253999505</v>
      </c>
      <c r="S87" s="240">
        <f t="shared" si="21"/>
        <v>0.5317279891723663</v>
      </c>
      <c r="T87" s="238">
        <f t="shared" si="22"/>
        <v>1</v>
      </c>
      <c r="U87" s="239">
        <f t="shared" si="23"/>
        <v>9</v>
      </c>
      <c r="V87" s="239">
        <f t="shared" si="24"/>
        <v>0</v>
      </c>
      <c r="W87" s="8">
        <f>IFERROR(VLOOKUP(B87,Write_Bytes_ps!B:F,4,FALSE)/1024/1024,"")</f>
        <v>0.24793558939488514</v>
      </c>
      <c r="X87" s="8">
        <f>IFERROR(VLOOKUP(B87,Read_Bytes_ps!B:F,4,FALSE)/1024/1024,"")</f>
        <v>0.25031585393269851</v>
      </c>
      <c r="Y87" s="8">
        <f>IFERROR(VLOOKUP(B87,Writes_ps!B:F,5,FALSE),"")</f>
        <v>485.43600463867199</v>
      </c>
      <c r="Z87" s="8">
        <f>IFERROR(VLOOKUP(B87,Reads_ps!B:F,5,FALSE),"")</f>
        <v>625.28649902343795</v>
      </c>
      <c r="AA87" s="241">
        <f t="shared" si="39"/>
        <v>0.49825144332758364</v>
      </c>
      <c r="AB87" s="242">
        <f t="shared" si="40"/>
        <v>1111</v>
      </c>
      <c r="AC87" s="242" t="str">
        <f t="shared" si="27"/>
        <v>B4ms</v>
      </c>
      <c r="AD87" s="239"/>
      <c r="AE87" s="239" t="str">
        <f>IFERROR(VLOOKUP(AD87,'Web-SKUS'!A:E,2,FALSE),"")</f>
        <v/>
      </c>
      <c r="AF87" s="239">
        <f>_xlfn.NUMBERVALUE(IFERROR(VLOOKUP(AD87,'Web-SKUS'!A:E,4,FALSE),""))</f>
        <v>0</v>
      </c>
      <c r="AG87" s="239">
        <f>IFERROR(VLOOKUP(AD87,VM_Performance_Stats!A:G,7,FALSE),0)</f>
        <v>0</v>
      </c>
      <c r="AH87" s="239" t="str">
        <f>IFERROR(VLOOKUP(AD87,VM_Performance_Stats!A:I,8,FALSE),"")</f>
        <v/>
      </c>
      <c r="AI87" s="239">
        <f t="shared" si="28"/>
        <v>0</v>
      </c>
      <c r="AJ87" s="239">
        <f t="shared" si="29"/>
        <v>0</v>
      </c>
      <c r="AK87" s="239">
        <f>IFERROR(IF(VLOOKUP(AD87,VM_Performance_Stats!A:I,8,FALSE)&gt;AB87,1,0),0)</f>
        <v>0</v>
      </c>
      <c r="AL87" t="str">
        <f>IFERROR(VLOOKUP(AD87,'Web-SKUS'!A:G,7,FALSE),"")</f>
        <v/>
      </c>
      <c r="AM87" s="243" t="str">
        <f t="shared" si="30"/>
        <v/>
      </c>
      <c r="AN87" t="str">
        <f>IFERROR(IF(C87=1,VLOOKUP(K87,'Web-SKUS'!A:G,7,FALSE),VLOOKUP(K87,'Web-SKUS'!A:G,6,FALSE)),"")</f>
        <v>£61.1161/month</v>
      </c>
      <c r="AO87" s="243">
        <f t="shared" si="31"/>
        <v>61.116100000000003</v>
      </c>
      <c r="AP87" s="243">
        <f t="shared" si="32"/>
        <v>61.116100000000003</v>
      </c>
      <c r="AQ87" s="244">
        <f t="shared" si="33"/>
        <v>0</v>
      </c>
      <c r="AR87" s="115">
        <f t="shared" si="34"/>
        <v>0</v>
      </c>
      <c r="AS87" s="115" t="str">
        <f>VLOOKUP(B87,'Willie List'!B:M,12,FALSE)</f>
        <v>YES</v>
      </c>
      <c r="AT87" s="115" t="str">
        <f t="shared" si="35"/>
        <v>Standard_B4ms</v>
      </c>
      <c r="AU87" s="115" t="str">
        <f t="shared" si="36"/>
        <v>B4ms</v>
      </c>
      <c r="AV87">
        <f t="shared" si="37"/>
        <v>0</v>
      </c>
      <c r="AW87" s="8">
        <f t="shared" si="38"/>
        <v>0</v>
      </c>
    </row>
    <row r="88" spans="1:49" s="101" customFormat="1">
      <c r="A88" s="101" t="s">
        <v>356</v>
      </c>
      <c r="B88" s="238" t="s">
        <v>357</v>
      </c>
      <c r="C88" s="239">
        <f>IFERROR(IF(VLOOKUP(B88,'Willie List'!B:B,1,FALSE) &lt;&gt; "",1,0),0)</f>
        <v>1</v>
      </c>
      <c r="D88" s="239"/>
      <c r="E88" s="238" t="s">
        <v>101</v>
      </c>
      <c r="F88" s="238" t="s">
        <v>316</v>
      </c>
      <c r="G88" s="238" t="s">
        <v>152</v>
      </c>
      <c r="H88" s="238" t="s">
        <v>153</v>
      </c>
      <c r="I88" s="238" t="s">
        <v>276</v>
      </c>
      <c r="J88" s="238" t="s">
        <v>79</v>
      </c>
      <c r="K88" s="239" t="str">
        <f t="shared" si="41"/>
        <v>F8s v2</v>
      </c>
      <c r="L88" s="239">
        <f>VLOOKUP(K88,'Web-SKUS'!A:E,2,FALSE)</f>
        <v>8</v>
      </c>
      <c r="M88" s="239" t="str">
        <f>VLOOKUP(K88,'Web-SKUS'!A:E,4,FALSE)</f>
        <v>16</v>
      </c>
      <c r="N88" s="238" t="s">
        <v>277</v>
      </c>
      <c r="O88" s="239">
        <v>2</v>
      </c>
      <c r="P88" s="238" t="s">
        <v>157</v>
      </c>
      <c r="Q88" s="238">
        <f>IFERROR(VLOOKUP(B88,PercentCPU!B:F,4,FALSE),"")</f>
        <v>68.718357587975575</v>
      </c>
      <c r="R88" s="238">
        <f>IFERROR(VLOOKUP(B88,MemoryAvailable!B:F,3,FALSE),"")</f>
        <v>4624.8764116468228</v>
      </c>
      <c r="S88" s="240">
        <f t="shared" si="21"/>
        <v>0.71771994557819685</v>
      </c>
      <c r="T88" s="238">
        <f t="shared" si="22"/>
        <v>6</v>
      </c>
      <c r="U88" s="239">
        <f t="shared" si="23"/>
        <v>11</v>
      </c>
      <c r="V88" s="239">
        <f t="shared" si="24"/>
        <v>0</v>
      </c>
      <c r="W88" s="8">
        <f>IFERROR(VLOOKUP(B88,Write_Bytes_ps!B:F,4,FALSE)/1024/1024,"")</f>
        <v>0.92492757001681347</v>
      </c>
      <c r="X88" s="8">
        <f>IFERROR(VLOOKUP(B88,Read_Bytes_ps!B:F,4,FALSE)/1024/1024,"")</f>
        <v>0.11617430369832843</v>
      </c>
      <c r="Y88" s="8">
        <f>IFERROR(VLOOKUP(B88,Writes_ps!B:F,5,FALSE),"")</f>
        <v>523.59124755859398</v>
      </c>
      <c r="Z88" s="8">
        <f>IFERROR(VLOOKUP(B88,Reads_ps!B:F,5,FALSE),"")</f>
        <v>1132.72265625</v>
      </c>
      <c r="AA88" s="241">
        <f t="shared" si="39"/>
        <v>1.0411018737151418</v>
      </c>
      <c r="AB88" s="242">
        <f t="shared" si="40"/>
        <v>1657</v>
      </c>
      <c r="AC88" s="242" t="str">
        <f t="shared" si="27"/>
        <v>F8s v2</v>
      </c>
      <c r="AD88" s="239"/>
      <c r="AE88" s="239" t="str">
        <f>IFERROR(VLOOKUP(AD88,'Web-SKUS'!A:E,2,FALSE),"")</f>
        <v/>
      </c>
      <c r="AF88" s="239">
        <f>_xlfn.NUMBERVALUE(IFERROR(VLOOKUP(AD88,'Web-SKUS'!A:E,4,FALSE),""))</f>
        <v>0</v>
      </c>
      <c r="AG88" s="239">
        <f>IFERROR(VLOOKUP(AD88,VM_Performance_Stats!A:G,7,FALSE),0)</f>
        <v>0</v>
      </c>
      <c r="AH88" s="239" t="str">
        <f>IFERROR(VLOOKUP(AD88,VM_Performance_Stats!A:I,8,FALSE),"")</f>
        <v/>
      </c>
      <c r="AI88" s="239">
        <f t="shared" si="28"/>
        <v>0</v>
      </c>
      <c r="AJ88" s="239">
        <f t="shared" si="29"/>
        <v>0</v>
      </c>
      <c r="AK88" s="239">
        <f>IFERROR(IF(VLOOKUP(AD88,VM_Performance_Stats!A:I,8,FALSE)&gt;AB88,1,0),0)</f>
        <v>0</v>
      </c>
      <c r="AL88" t="str">
        <f>IFERROR(VLOOKUP(AD88,'Web-SKUS'!A:G,7,FALSE),"")</f>
        <v/>
      </c>
      <c r="AM88" s="243" t="str">
        <f t="shared" si="30"/>
        <v/>
      </c>
      <c r="AN88" t="str">
        <f>IFERROR(IF(C88=1,VLOOKUP(K88,'Web-SKUS'!A:G,7,FALSE),VLOOKUP(K88,'Web-SKUS'!A:G,6,FALSE)),"")</f>
        <v>£125.0232/month</v>
      </c>
      <c r="AO88" s="243">
        <f t="shared" si="31"/>
        <v>125.0232</v>
      </c>
      <c r="AP88" s="243">
        <f t="shared" si="32"/>
        <v>125.0232</v>
      </c>
      <c r="AQ88" s="244">
        <f t="shared" si="33"/>
        <v>0</v>
      </c>
      <c r="AR88" s="225">
        <f t="shared" si="34"/>
        <v>0</v>
      </c>
      <c r="AS88" s="225" t="str">
        <f>VLOOKUP(B88,'Willie List'!B:M,12,FALSE)</f>
        <v>YES</v>
      </c>
      <c r="AT88" s="225" t="str">
        <f t="shared" si="35"/>
        <v>Standard_F8s_v2</v>
      </c>
      <c r="AU88" s="225" t="str">
        <f t="shared" si="36"/>
        <v>F8s v2</v>
      </c>
      <c r="AV88" s="101">
        <f t="shared" si="37"/>
        <v>0</v>
      </c>
      <c r="AW88" s="228">
        <f t="shared" si="38"/>
        <v>0</v>
      </c>
    </row>
    <row r="89" spans="1:49">
      <c r="A89" t="s">
        <v>358</v>
      </c>
      <c r="B89" s="238" t="s">
        <v>359</v>
      </c>
      <c r="C89" s="239">
        <f>IFERROR(IF(VLOOKUP(B89,'Willie List'!B:B,1,FALSE) &lt;&gt; "",1,0),0)</f>
        <v>1</v>
      </c>
      <c r="D89" s="239"/>
      <c r="E89" s="238" t="s">
        <v>101</v>
      </c>
      <c r="F89" s="238" t="s">
        <v>316</v>
      </c>
      <c r="G89" s="238" t="s">
        <v>152</v>
      </c>
      <c r="H89" s="238" t="s">
        <v>153</v>
      </c>
      <c r="I89" s="238" t="s">
        <v>276</v>
      </c>
      <c r="J89" s="238" t="s">
        <v>79</v>
      </c>
      <c r="K89" s="239" t="str">
        <f t="shared" si="41"/>
        <v>F8s v2</v>
      </c>
      <c r="L89" s="239">
        <f>VLOOKUP(K89,'Web-SKUS'!A:E,2,FALSE)</f>
        <v>8</v>
      </c>
      <c r="M89" s="239" t="str">
        <f>VLOOKUP(K89,'Web-SKUS'!A:E,4,FALSE)</f>
        <v>16</v>
      </c>
      <c r="N89" s="238" t="s">
        <v>277</v>
      </c>
      <c r="O89" s="239">
        <v>2</v>
      </c>
      <c r="P89" s="238" t="s">
        <v>157</v>
      </c>
      <c r="Q89" s="238">
        <f>IFERROR(VLOOKUP(B89,PercentCPU!B:F,4,FALSE),"")</f>
        <v>97.9026406691532</v>
      </c>
      <c r="R89" s="238">
        <f>IFERROR(VLOOKUP(B89,MemoryAvailable!B:F,3,FALSE),"")</f>
        <v>5884.9331217733152</v>
      </c>
      <c r="S89" s="240">
        <f t="shared" si="21"/>
        <v>0.64081218739176538</v>
      </c>
      <c r="T89" s="238">
        <f t="shared" si="22"/>
        <v>8</v>
      </c>
      <c r="U89" s="239">
        <f t="shared" si="23"/>
        <v>10</v>
      </c>
      <c r="V89" s="239">
        <f t="shared" si="24"/>
        <v>0</v>
      </c>
      <c r="W89" s="8">
        <f>IFERROR(VLOOKUP(B89,Write_Bytes_ps!B:F,4,FALSE)/1024/1024,"")</f>
        <v>0.94857015370955977</v>
      </c>
      <c r="X89" s="8">
        <f>IFERROR(VLOOKUP(B89,Read_Bytes_ps!B:F,4,FALSE)/1024/1024,"")</f>
        <v>0.1140825854480316</v>
      </c>
      <c r="Y89" s="8">
        <f>IFERROR(VLOOKUP(B89,Writes_ps!B:F,5,FALSE),"")</f>
        <v>511.631103515625</v>
      </c>
      <c r="Z89" s="8">
        <f>IFERROR(VLOOKUP(B89,Reads_ps!B:F,5,FALSE),"")</f>
        <v>793.58605957031295</v>
      </c>
      <c r="AA89" s="241">
        <f t="shared" si="39"/>
        <v>1.0626527391575913</v>
      </c>
      <c r="AB89" s="242">
        <f t="shared" si="40"/>
        <v>1306</v>
      </c>
      <c r="AC89" s="242" t="str">
        <f t="shared" si="27"/>
        <v>F8s v2</v>
      </c>
      <c r="AD89" s="239"/>
      <c r="AE89" s="239" t="str">
        <f>IFERROR(VLOOKUP(AD89,'Web-SKUS'!A:E,2,FALSE),"")</f>
        <v/>
      </c>
      <c r="AF89" s="239">
        <f>_xlfn.NUMBERVALUE(IFERROR(VLOOKUP(AD89,'Web-SKUS'!A:E,4,FALSE),""))</f>
        <v>0</v>
      </c>
      <c r="AG89" s="239">
        <f>IFERROR(VLOOKUP(AD89,VM_Performance_Stats!A:G,7,FALSE),0)</f>
        <v>0</v>
      </c>
      <c r="AH89" s="239" t="str">
        <f>IFERROR(VLOOKUP(AD89,VM_Performance_Stats!A:I,8,FALSE),"")</f>
        <v/>
      </c>
      <c r="AI89" s="239">
        <f t="shared" si="28"/>
        <v>0</v>
      </c>
      <c r="AJ89" s="239">
        <f t="shared" si="29"/>
        <v>0</v>
      </c>
      <c r="AK89" s="239">
        <f>IFERROR(IF(VLOOKUP(AD89,VM_Performance_Stats!A:I,8,FALSE)&gt;AB89,1,0),0)</f>
        <v>0</v>
      </c>
      <c r="AL89" t="str">
        <f>IFERROR(VLOOKUP(AD89,'Web-SKUS'!A:G,7,FALSE),"")</f>
        <v/>
      </c>
      <c r="AM89" s="243" t="str">
        <f t="shared" si="30"/>
        <v/>
      </c>
      <c r="AN89" t="str">
        <f>IFERROR(IF(C89=1,VLOOKUP(K89,'Web-SKUS'!A:G,7,FALSE),VLOOKUP(K89,'Web-SKUS'!A:G,6,FALSE)),"")</f>
        <v>£125.0232/month</v>
      </c>
      <c r="AO89" s="243">
        <f t="shared" si="31"/>
        <v>125.0232</v>
      </c>
      <c r="AP89" s="243">
        <f t="shared" si="32"/>
        <v>125.0232</v>
      </c>
      <c r="AQ89" s="244">
        <f t="shared" si="33"/>
        <v>0</v>
      </c>
      <c r="AR89" s="115">
        <f t="shared" si="34"/>
        <v>0</v>
      </c>
      <c r="AS89" s="115" t="str">
        <f>VLOOKUP(B89,'Willie List'!B:M,12,FALSE)</f>
        <v>YES</v>
      </c>
      <c r="AT89" s="115" t="str">
        <f t="shared" si="35"/>
        <v>Standard_F8s_v2</v>
      </c>
      <c r="AU89" s="115" t="str">
        <f t="shared" si="36"/>
        <v>F8s v2</v>
      </c>
      <c r="AV89">
        <f t="shared" si="37"/>
        <v>0</v>
      </c>
      <c r="AW89" s="8">
        <f t="shared" si="38"/>
        <v>0</v>
      </c>
    </row>
    <row r="90" spans="1:49">
      <c r="A90" t="s">
        <v>314</v>
      </c>
      <c r="B90" s="238" t="s">
        <v>360</v>
      </c>
      <c r="C90" s="239">
        <f>IFERROR(IF(VLOOKUP(B90,'Willie List'!B:B,1,FALSE) &lt;&gt; "",1,0),0)</f>
        <v>1</v>
      </c>
      <c r="D90" s="239"/>
      <c r="E90" s="238" t="s">
        <v>101</v>
      </c>
      <c r="F90" s="238" t="s">
        <v>316</v>
      </c>
      <c r="G90" s="238" t="s">
        <v>152</v>
      </c>
      <c r="H90" s="238" t="s">
        <v>153</v>
      </c>
      <c r="I90" s="238" t="s">
        <v>276</v>
      </c>
      <c r="J90" s="238" t="s">
        <v>79</v>
      </c>
      <c r="K90" s="239" t="str">
        <f t="shared" si="41"/>
        <v>F8s v2</v>
      </c>
      <c r="L90" s="239">
        <f>VLOOKUP(K90,'Web-SKUS'!A:E,2,FALSE)</f>
        <v>8</v>
      </c>
      <c r="M90" s="239" t="str">
        <f>VLOOKUP(K90,'Web-SKUS'!A:E,4,FALSE)</f>
        <v>16</v>
      </c>
      <c r="N90" s="238" t="s">
        <v>277</v>
      </c>
      <c r="O90" s="239">
        <v>2</v>
      </c>
      <c r="P90" s="238" t="s">
        <v>157</v>
      </c>
      <c r="Q90" s="238">
        <f>IFERROR(VLOOKUP(B90,PercentCPU!B:F,4,FALSE),"")</f>
        <v>93.014053998678918</v>
      </c>
      <c r="R90" s="238">
        <f>IFERROR(VLOOKUP(B90,MemoryAvailable!B:F,3,FALSE),"")</f>
        <v>5989.5500342619507</v>
      </c>
      <c r="S90" s="240">
        <f t="shared" si="21"/>
        <v>0.63442687779162898</v>
      </c>
      <c r="T90" s="238">
        <f t="shared" si="22"/>
        <v>8</v>
      </c>
      <c r="U90" s="239">
        <f t="shared" si="23"/>
        <v>10</v>
      </c>
      <c r="V90" s="239">
        <f t="shared" si="24"/>
        <v>0</v>
      </c>
      <c r="W90" s="8">
        <f>IFERROR(VLOOKUP(B90,Write_Bytes_ps!B:F,4,FALSE)/1024/1024,"")</f>
        <v>0.9078563392146608</v>
      </c>
      <c r="X90" s="8">
        <f>IFERROR(VLOOKUP(B90,Read_Bytes_ps!B:F,4,FALSE)/1024/1024,"")</f>
        <v>0.11164975436520204</v>
      </c>
      <c r="Y90" s="8">
        <f>IFERROR(VLOOKUP(B90,Writes_ps!B:F,5,FALSE),"")</f>
        <v>512.97857666015602</v>
      </c>
      <c r="Z90" s="8">
        <f>IFERROR(VLOOKUP(B90,Reads_ps!B:F,5,FALSE),"")</f>
        <v>723.23590087890602</v>
      </c>
      <c r="AA90" s="241">
        <f t="shared" si="39"/>
        <v>1.0195060935798628</v>
      </c>
      <c r="AB90" s="242">
        <f t="shared" si="40"/>
        <v>1237</v>
      </c>
      <c r="AC90" s="242" t="str">
        <f t="shared" si="27"/>
        <v>F8s v2</v>
      </c>
      <c r="AD90" s="239"/>
      <c r="AE90" s="239" t="str">
        <f>IFERROR(VLOOKUP(AD90,'Web-SKUS'!A:E,2,FALSE),"")</f>
        <v/>
      </c>
      <c r="AF90" s="239">
        <f>_xlfn.NUMBERVALUE(IFERROR(VLOOKUP(AD90,'Web-SKUS'!A:E,4,FALSE),""))</f>
        <v>0</v>
      </c>
      <c r="AG90" s="239">
        <f>IFERROR(VLOOKUP(AD90,VM_Performance_Stats!A:G,7,FALSE),0)</f>
        <v>0</v>
      </c>
      <c r="AH90" s="239" t="str">
        <f>IFERROR(VLOOKUP(AD90,VM_Performance_Stats!A:I,8,FALSE),"")</f>
        <v/>
      </c>
      <c r="AI90" s="239">
        <f t="shared" si="28"/>
        <v>0</v>
      </c>
      <c r="AJ90" s="239">
        <f t="shared" si="29"/>
        <v>0</v>
      </c>
      <c r="AK90" s="239">
        <f>IFERROR(IF(VLOOKUP(AD90,VM_Performance_Stats!A:I,8,FALSE)&gt;AB90,1,0),0)</f>
        <v>0</v>
      </c>
      <c r="AL90" t="str">
        <f>IFERROR(VLOOKUP(AD90,'Web-SKUS'!A:G,7,FALSE),"")</f>
        <v/>
      </c>
      <c r="AM90" s="243" t="str">
        <f t="shared" si="30"/>
        <v/>
      </c>
      <c r="AN90" t="str">
        <f>IFERROR(IF(C90=1,VLOOKUP(K90,'Web-SKUS'!A:G,7,FALSE),VLOOKUP(K90,'Web-SKUS'!A:G,6,FALSE)),"")</f>
        <v>£125.0232/month</v>
      </c>
      <c r="AO90" s="243">
        <f t="shared" si="31"/>
        <v>125.0232</v>
      </c>
      <c r="AP90" s="243">
        <f t="shared" si="32"/>
        <v>125.0232</v>
      </c>
      <c r="AQ90" s="244">
        <f t="shared" si="33"/>
        <v>0</v>
      </c>
      <c r="AR90" s="115">
        <f t="shared" si="34"/>
        <v>0</v>
      </c>
      <c r="AS90" s="115" t="str">
        <f>VLOOKUP(B90,'Willie List'!B:M,12,FALSE)</f>
        <v>YES</v>
      </c>
      <c r="AT90" s="115" t="str">
        <f t="shared" si="35"/>
        <v>Standard_F8s_v2</v>
      </c>
      <c r="AU90" s="115" t="str">
        <f t="shared" si="36"/>
        <v>F8s v2</v>
      </c>
      <c r="AV90">
        <f t="shared" si="37"/>
        <v>0</v>
      </c>
      <c r="AW90" s="8">
        <f t="shared" si="38"/>
        <v>0</v>
      </c>
    </row>
    <row r="91" spans="1:49">
      <c r="A91" t="s">
        <v>309</v>
      </c>
      <c r="B91" s="238" t="s">
        <v>361</v>
      </c>
      <c r="C91" s="239">
        <f>IFERROR(IF(VLOOKUP(B91,'Willie List'!B:B,1,FALSE) &lt;&gt; "",1,0),0)</f>
        <v>1</v>
      </c>
      <c r="D91" s="239"/>
      <c r="E91" s="238" t="s">
        <v>101</v>
      </c>
      <c r="F91" s="238" t="s">
        <v>316</v>
      </c>
      <c r="G91" s="238" t="s">
        <v>152</v>
      </c>
      <c r="H91" s="238" t="s">
        <v>153</v>
      </c>
      <c r="I91" s="238" t="s">
        <v>276</v>
      </c>
      <c r="J91" s="238" t="s">
        <v>79</v>
      </c>
      <c r="K91" s="239" t="str">
        <f t="shared" si="41"/>
        <v>F8s v2</v>
      </c>
      <c r="L91" s="239">
        <f>VLOOKUP(K91,'Web-SKUS'!A:E,2,FALSE)</f>
        <v>8</v>
      </c>
      <c r="M91" s="239" t="str">
        <f>VLOOKUP(K91,'Web-SKUS'!A:E,4,FALSE)</f>
        <v>16</v>
      </c>
      <c r="N91" s="238" t="s">
        <v>277</v>
      </c>
      <c r="O91" s="239">
        <v>2</v>
      </c>
      <c r="P91" s="238" t="s">
        <v>157</v>
      </c>
      <c r="Q91" s="238">
        <f>IFERROR(VLOOKUP(B91,PercentCPU!B:F,4,FALSE),"")</f>
        <v>86.368487714567962</v>
      </c>
      <c r="R91" s="238">
        <f>IFERROR(VLOOKUP(B91,MemoryAvailable!B:F,3,FALSE),"")</f>
        <v>6018.743222518463</v>
      </c>
      <c r="S91" s="240">
        <f t="shared" si="21"/>
        <v>0.63264506698495704</v>
      </c>
      <c r="T91" s="238">
        <f t="shared" si="22"/>
        <v>7</v>
      </c>
      <c r="U91" s="239">
        <f t="shared" si="23"/>
        <v>10</v>
      </c>
      <c r="V91" s="239">
        <f t="shared" si="24"/>
        <v>0</v>
      </c>
      <c r="W91" s="8">
        <f>IFERROR(VLOOKUP(B91,Write_Bytes_ps!B:F,4,FALSE)/1024/1024,"")</f>
        <v>0.8907435234609874</v>
      </c>
      <c r="X91" s="8">
        <f>IFERROR(VLOOKUP(B91,Read_Bytes_ps!B:F,4,FALSE)/1024/1024,"")</f>
        <v>0.1156971164198906</v>
      </c>
      <c r="Y91" s="8">
        <f>IFERROR(VLOOKUP(B91,Writes_ps!B:F,5,FALSE),"")</f>
        <v>524.79095458984398</v>
      </c>
      <c r="Z91" s="8">
        <f>IFERROR(VLOOKUP(B91,Reads_ps!B:F,5,FALSE),"")</f>
        <v>772.07165527343795</v>
      </c>
      <c r="AA91" s="241">
        <f t="shared" si="39"/>
        <v>1.0064406398808781</v>
      </c>
      <c r="AB91" s="242">
        <f t="shared" si="40"/>
        <v>1297</v>
      </c>
      <c r="AC91" s="242" t="str">
        <f t="shared" si="27"/>
        <v>F8s v2</v>
      </c>
      <c r="AD91" s="239"/>
      <c r="AE91" s="239" t="str">
        <f>IFERROR(VLOOKUP(AD91,'Web-SKUS'!A:E,2,FALSE),"")</f>
        <v/>
      </c>
      <c r="AF91" s="239">
        <f>_xlfn.NUMBERVALUE(IFERROR(VLOOKUP(AD91,'Web-SKUS'!A:E,4,FALSE),""))</f>
        <v>0</v>
      </c>
      <c r="AG91" s="239">
        <f>IFERROR(VLOOKUP(AD91,VM_Performance_Stats!A:G,7,FALSE),0)</f>
        <v>0</v>
      </c>
      <c r="AH91" s="239" t="str">
        <f>IFERROR(VLOOKUP(AD91,VM_Performance_Stats!A:I,8,FALSE),"")</f>
        <v/>
      </c>
      <c r="AI91" s="239">
        <f t="shared" si="28"/>
        <v>0</v>
      </c>
      <c r="AJ91" s="239">
        <f t="shared" si="29"/>
        <v>0</v>
      </c>
      <c r="AK91" s="239">
        <f>IFERROR(IF(VLOOKUP(AD91,VM_Performance_Stats!A:I,8,FALSE)&gt;AB91,1,0),0)</f>
        <v>0</v>
      </c>
      <c r="AL91" t="str">
        <f>IFERROR(VLOOKUP(AD91,'Web-SKUS'!A:G,7,FALSE),"")</f>
        <v/>
      </c>
      <c r="AM91" s="243" t="str">
        <f t="shared" si="30"/>
        <v/>
      </c>
      <c r="AN91" t="str">
        <f>IFERROR(IF(C91=1,VLOOKUP(K91,'Web-SKUS'!A:G,7,FALSE),VLOOKUP(K91,'Web-SKUS'!A:G,6,FALSE)),"")</f>
        <v>£125.0232/month</v>
      </c>
      <c r="AO91" s="243">
        <f t="shared" si="31"/>
        <v>125.0232</v>
      </c>
      <c r="AP91" s="243">
        <f t="shared" si="32"/>
        <v>125.0232</v>
      </c>
      <c r="AQ91" s="244">
        <f t="shared" si="33"/>
        <v>0</v>
      </c>
      <c r="AR91" s="115">
        <f t="shared" si="34"/>
        <v>0</v>
      </c>
      <c r="AS91" s="115" t="str">
        <f>VLOOKUP(B91,'Willie List'!B:M,12,FALSE)</f>
        <v>YES</v>
      </c>
      <c r="AT91" s="115" t="str">
        <f t="shared" si="35"/>
        <v>Standard_F8s_v2</v>
      </c>
      <c r="AU91" s="115" t="str">
        <f t="shared" si="36"/>
        <v>F8s v2</v>
      </c>
      <c r="AV91">
        <f t="shared" si="37"/>
        <v>0</v>
      </c>
      <c r="AW91" s="8">
        <f t="shared" si="38"/>
        <v>0</v>
      </c>
    </row>
    <row r="92" spans="1:49">
      <c r="B92" s="238" t="s">
        <v>362</v>
      </c>
      <c r="C92" s="239">
        <f>IFERROR(IF(VLOOKUP(B92,'Willie List'!B:B,1,FALSE) &lt;&gt; "",1,0),0)</f>
        <v>1</v>
      </c>
      <c r="D92" s="239"/>
      <c r="E92" s="238" t="s">
        <v>101</v>
      </c>
      <c r="F92" s="238" t="s">
        <v>316</v>
      </c>
      <c r="G92" s="238" t="s">
        <v>152</v>
      </c>
      <c r="H92" s="238" t="s">
        <v>153</v>
      </c>
      <c r="I92" s="238" t="s">
        <v>276</v>
      </c>
      <c r="J92" s="238" t="s">
        <v>79</v>
      </c>
      <c r="K92" s="239" t="str">
        <f t="shared" si="41"/>
        <v>F8s v2</v>
      </c>
      <c r="L92" s="239">
        <f>VLOOKUP(K92,'Web-SKUS'!A:E,2,FALSE)</f>
        <v>8</v>
      </c>
      <c r="M92" s="239" t="str">
        <f>VLOOKUP(K92,'Web-SKUS'!A:E,4,FALSE)</f>
        <v>16</v>
      </c>
      <c r="N92" s="238" t="s">
        <v>277</v>
      </c>
      <c r="O92" s="239">
        <v>2</v>
      </c>
      <c r="P92" s="238" t="s">
        <v>157</v>
      </c>
      <c r="Q92" s="238">
        <f>IFERROR(VLOOKUP(B92,PercentCPU!B:F,4,FALSE),"")</f>
        <v>92.467145974105037</v>
      </c>
      <c r="R92" s="238">
        <f>IFERROR(VLOOKUP(B92,MemoryAvailable!B:F,3,FALSE),"")</f>
        <v>5925.6586696262011</v>
      </c>
      <c r="S92" s="240">
        <f t="shared" si="21"/>
        <v>0.63832649721519763</v>
      </c>
      <c r="T92" s="238">
        <f t="shared" si="22"/>
        <v>8</v>
      </c>
      <c r="U92" s="239">
        <f t="shared" si="23"/>
        <v>10</v>
      </c>
      <c r="V92" s="239">
        <f t="shared" si="24"/>
        <v>0</v>
      </c>
      <c r="W92" s="8">
        <f>IFERROR(VLOOKUP(B92,Write_Bytes_ps!B:F,4,FALSE)/1024/1024,"")</f>
        <v>0.92432262963256073</v>
      </c>
      <c r="X92" s="8">
        <f>IFERROR(VLOOKUP(B92,Read_Bytes_ps!B:F,4,FALSE)/1024/1024,"")</f>
        <v>0.11703636511254238</v>
      </c>
      <c r="Y92" s="8">
        <f>IFERROR(VLOOKUP(B92,Writes_ps!B:F,5,FALSE),"")</f>
        <v>496.77069091796898</v>
      </c>
      <c r="Z92" s="8">
        <f>IFERROR(VLOOKUP(B92,Reads_ps!B:F,5,FALSE),"")</f>
        <v>713.095703125</v>
      </c>
      <c r="AA92" s="241">
        <f t="shared" si="39"/>
        <v>1.0413589947451032</v>
      </c>
      <c r="AB92" s="242">
        <f t="shared" si="40"/>
        <v>1210</v>
      </c>
      <c r="AC92" s="242" t="str">
        <f t="shared" si="27"/>
        <v>F8s v2</v>
      </c>
      <c r="AD92" s="239"/>
      <c r="AE92" s="239" t="str">
        <f>IFERROR(VLOOKUP(AD92,'Web-SKUS'!A:E,2,FALSE),"")</f>
        <v/>
      </c>
      <c r="AF92" s="239">
        <f>_xlfn.NUMBERVALUE(IFERROR(VLOOKUP(AD92,'Web-SKUS'!A:E,4,FALSE),""))</f>
        <v>0</v>
      </c>
      <c r="AG92" s="239">
        <f>IFERROR(VLOOKUP(AD92,VM_Performance_Stats!A:G,7,FALSE),0)</f>
        <v>0</v>
      </c>
      <c r="AH92" s="239" t="str">
        <f>IFERROR(VLOOKUP(AD92,VM_Performance_Stats!A:I,8,FALSE),"")</f>
        <v/>
      </c>
      <c r="AI92" s="239">
        <f t="shared" si="28"/>
        <v>0</v>
      </c>
      <c r="AJ92" s="239">
        <f t="shared" si="29"/>
        <v>0</v>
      </c>
      <c r="AK92" s="239">
        <f>IFERROR(IF(VLOOKUP(AD92,VM_Performance_Stats!A:I,8,FALSE)&gt;AB92,1,0),0)</f>
        <v>0</v>
      </c>
      <c r="AL92" t="str">
        <f>IFERROR(VLOOKUP(AD92,'Web-SKUS'!A:G,7,FALSE),"")</f>
        <v/>
      </c>
      <c r="AM92" s="243" t="str">
        <f t="shared" si="30"/>
        <v/>
      </c>
      <c r="AN92" t="str">
        <f>IFERROR(IF(C92=1,VLOOKUP(K92,'Web-SKUS'!A:G,7,FALSE),VLOOKUP(K92,'Web-SKUS'!A:G,6,FALSE)),"")</f>
        <v>£125.0232/month</v>
      </c>
      <c r="AO92" s="243">
        <f t="shared" si="31"/>
        <v>125.0232</v>
      </c>
      <c r="AP92" s="243">
        <f t="shared" si="32"/>
        <v>125.0232</v>
      </c>
      <c r="AQ92" s="244">
        <f t="shared" si="33"/>
        <v>0</v>
      </c>
      <c r="AR92" s="115">
        <f t="shared" si="34"/>
        <v>0</v>
      </c>
      <c r="AS92" s="115" t="str">
        <f>VLOOKUP(B92,'Willie List'!B:M,12,FALSE)</f>
        <v>YES</v>
      </c>
      <c r="AT92" s="115" t="str">
        <f t="shared" si="35"/>
        <v>Standard_F8s_v2</v>
      </c>
      <c r="AU92" s="115" t="str">
        <f t="shared" si="36"/>
        <v>F8s v2</v>
      </c>
      <c r="AV92">
        <f t="shared" si="37"/>
        <v>0</v>
      </c>
      <c r="AW92" s="8">
        <f t="shared" si="38"/>
        <v>0</v>
      </c>
    </row>
    <row r="93" spans="1:49">
      <c r="A93" t="s">
        <v>299</v>
      </c>
      <c r="B93" s="238" t="s">
        <v>363</v>
      </c>
      <c r="C93" s="239">
        <f>IFERROR(IF(VLOOKUP(B93,'Willie List'!B:B,1,FALSE) &lt;&gt; "",1,0),0)</f>
        <v>1</v>
      </c>
      <c r="D93" s="239"/>
      <c r="E93" s="238" t="s">
        <v>101</v>
      </c>
      <c r="F93" s="238" t="s">
        <v>316</v>
      </c>
      <c r="G93" s="238" t="s">
        <v>152</v>
      </c>
      <c r="H93" s="238" t="s">
        <v>153</v>
      </c>
      <c r="I93" s="238" t="s">
        <v>276</v>
      </c>
      <c r="J93" s="238" t="s">
        <v>79</v>
      </c>
      <c r="K93" s="239" t="str">
        <f t="shared" si="41"/>
        <v>F8s v2</v>
      </c>
      <c r="L93" s="239">
        <f>VLOOKUP(K93,'Web-SKUS'!A:E,2,FALSE)</f>
        <v>8</v>
      </c>
      <c r="M93" s="239" t="str">
        <f>VLOOKUP(K93,'Web-SKUS'!A:E,4,FALSE)</f>
        <v>16</v>
      </c>
      <c r="N93" s="238" t="s">
        <v>277</v>
      </c>
      <c r="O93" s="239">
        <v>2</v>
      </c>
      <c r="P93" s="238" t="s">
        <v>157</v>
      </c>
      <c r="Q93" s="238">
        <f>IFERROR(VLOOKUP(B93,PercentCPU!B:F,4,FALSE),"")</f>
        <v>98.79196933088366</v>
      </c>
      <c r="R93" s="238">
        <f>IFERROR(VLOOKUP(B93,MemoryAvailable!B:F,3,FALSE),"")</f>
        <v>6147.3151995820772</v>
      </c>
      <c r="S93" s="240">
        <f t="shared" si="21"/>
        <v>0.62479765627550798</v>
      </c>
      <c r="T93" s="238">
        <f t="shared" si="22"/>
        <v>8</v>
      </c>
      <c r="U93" s="239">
        <f t="shared" si="23"/>
        <v>10</v>
      </c>
      <c r="V93" s="239">
        <f t="shared" si="24"/>
        <v>0</v>
      </c>
      <c r="W93" s="8">
        <f>IFERROR(VLOOKUP(B93,Write_Bytes_ps!B:F,4,FALSE)/1024/1024,"")</f>
        <v>0.94775260603825418</v>
      </c>
      <c r="X93" s="8">
        <f>IFERROR(VLOOKUP(B93,Read_Bytes_ps!B:F,4,FALSE)/1024/1024,"")</f>
        <v>0.1040777026707235</v>
      </c>
      <c r="Y93" s="8">
        <f>IFERROR(VLOOKUP(B93,Writes_ps!B:F,5,FALSE),"")</f>
        <v>502.110107421875</v>
      </c>
      <c r="Z93" s="8">
        <f>IFERROR(VLOOKUP(B93,Reads_ps!B:F,5,FALSE),"")</f>
        <v>801.99475097656295</v>
      </c>
      <c r="AA93" s="241">
        <f t="shared" si="39"/>
        <v>1.0518303087089778</v>
      </c>
      <c r="AB93" s="242">
        <f t="shared" si="40"/>
        <v>1305</v>
      </c>
      <c r="AC93" s="242" t="str">
        <f t="shared" si="27"/>
        <v>F8s v2</v>
      </c>
      <c r="AD93" s="239"/>
      <c r="AE93" s="239" t="str">
        <f>IFERROR(VLOOKUP(AD93,'Web-SKUS'!A:E,2,FALSE),"")</f>
        <v/>
      </c>
      <c r="AF93" s="239">
        <f>_xlfn.NUMBERVALUE(IFERROR(VLOOKUP(AD93,'Web-SKUS'!A:E,4,FALSE),""))</f>
        <v>0</v>
      </c>
      <c r="AG93" s="239">
        <f>IFERROR(VLOOKUP(AD93,VM_Performance_Stats!A:G,7,FALSE),0)</f>
        <v>0</v>
      </c>
      <c r="AH93" s="239" t="str">
        <f>IFERROR(VLOOKUP(AD93,VM_Performance_Stats!A:I,8,FALSE),"")</f>
        <v/>
      </c>
      <c r="AI93" s="239">
        <f t="shared" si="28"/>
        <v>0</v>
      </c>
      <c r="AJ93" s="239">
        <f t="shared" si="29"/>
        <v>0</v>
      </c>
      <c r="AK93" s="239">
        <f>IFERROR(IF(VLOOKUP(AD93,VM_Performance_Stats!A:I,8,FALSE)&gt;AB93,1,0),0)</f>
        <v>0</v>
      </c>
      <c r="AL93" t="str">
        <f>IFERROR(VLOOKUP(AD93,'Web-SKUS'!A:G,7,FALSE),"")</f>
        <v/>
      </c>
      <c r="AM93" s="243" t="str">
        <f t="shared" si="30"/>
        <v/>
      </c>
      <c r="AN93" t="str">
        <f>IFERROR(IF(C93=1,VLOOKUP(K93,'Web-SKUS'!A:G,7,FALSE),VLOOKUP(K93,'Web-SKUS'!A:G,6,FALSE)),"")</f>
        <v>£125.0232/month</v>
      </c>
      <c r="AO93" s="243">
        <f t="shared" si="31"/>
        <v>125.0232</v>
      </c>
      <c r="AP93" s="243">
        <f t="shared" si="32"/>
        <v>125.0232</v>
      </c>
      <c r="AQ93" s="244">
        <f t="shared" si="33"/>
        <v>0</v>
      </c>
      <c r="AR93" s="115">
        <f t="shared" si="34"/>
        <v>0</v>
      </c>
      <c r="AS93" s="115" t="str">
        <f>VLOOKUP(B93,'Willie List'!B:M,12,FALSE)</f>
        <v>YES</v>
      </c>
      <c r="AT93" s="115" t="str">
        <f t="shared" si="35"/>
        <v>Standard_F8s_v2</v>
      </c>
      <c r="AU93" s="115" t="str">
        <f t="shared" si="36"/>
        <v>F8s v2</v>
      </c>
      <c r="AV93">
        <f t="shared" si="37"/>
        <v>0</v>
      </c>
      <c r="AW93" s="8">
        <f t="shared" si="38"/>
        <v>0</v>
      </c>
    </row>
    <row r="94" spans="1:49" s="83" customFormat="1">
      <c r="A94" s="83" t="s">
        <v>364</v>
      </c>
      <c r="B94" s="238" t="s">
        <v>365</v>
      </c>
      <c r="C94" s="239">
        <f>IFERROR(IF(VLOOKUP(B94,'Willie List'!B:B,1,FALSE) &lt;&gt; "",1,0),0)</f>
        <v>1</v>
      </c>
      <c r="D94" s="239"/>
      <c r="E94" s="238" t="s">
        <v>101</v>
      </c>
      <c r="F94" s="238" t="s">
        <v>330</v>
      </c>
      <c r="G94" s="238" t="s">
        <v>152</v>
      </c>
      <c r="H94" s="238" t="s">
        <v>153</v>
      </c>
      <c r="I94" s="238" t="s">
        <v>276</v>
      </c>
      <c r="J94" s="238" t="s">
        <v>56</v>
      </c>
      <c r="K94" s="239" t="str">
        <f t="shared" si="41"/>
        <v>D2ds v4</v>
      </c>
      <c r="L94" s="239">
        <f>VLOOKUP(K94,'Web-SKUS'!A:E,2,FALSE)</f>
        <v>2</v>
      </c>
      <c r="M94" s="239" t="str">
        <f>VLOOKUP(K94,'Web-SKUS'!A:E,4,FALSE)</f>
        <v>8</v>
      </c>
      <c r="N94" s="238" t="s">
        <v>277</v>
      </c>
      <c r="O94" s="239">
        <v>2</v>
      </c>
      <c r="P94" s="238" t="s">
        <v>157</v>
      </c>
      <c r="Q94" s="238">
        <f>IFERROR(VLOOKUP(B94,PercentCPU!B:F,4,FALSE),"")</f>
        <v>31.095038278092499</v>
      </c>
      <c r="R94" s="238">
        <f>IFERROR(VLOOKUP(B94,MemoryAvailable!B:F,3,FALSE),"")</f>
        <v>4330.8185030744226</v>
      </c>
      <c r="S94" s="240">
        <f t="shared" si="21"/>
        <v>0.47133563194892303</v>
      </c>
      <c r="T94" s="238">
        <f t="shared" si="22"/>
        <v>1</v>
      </c>
      <c r="U94" s="239">
        <f t="shared" si="23"/>
        <v>4</v>
      </c>
      <c r="V94" s="239" t="str">
        <f t="shared" si="24"/>
        <v>D Series</v>
      </c>
      <c r="W94" s="8">
        <f>IFERROR(VLOOKUP(B94,Write_Bytes_ps!B:F,4,FALSE)/1024/1024,"")</f>
        <v>0.91541604072772631</v>
      </c>
      <c r="X94" s="8">
        <f>IFERROR(VLOOKUP(B94,Read_Bytes_ps!B:F,4,FALSE)/1024/1024,"")</f>
        <v>8.730682197322634E-2</v>
      </c>
      <c r="Y94" s="8">
        <f>IFERROR(VLOOKUP(B94,Writes_ps!B:F,5,FALSE),"")</f>
        <v>542.041748046875</v>
      </c>
      <c r="Z94" s="8">
        <f>IFERROR(VLOOKUP(B94,Reads_ps!B:F,5,FALSE),"")</f>
        <v>1327.97534179688</v>
      </c>
      <c r="AA94" s="241">
        <f t="shared" si="39"/>
        <v>1.0027228627009526</v>
      </c>
      <c r="AB94" s="242">
        <f t="shared" si="40"/>
        <v>1871</v>
      </c>
      <c r="AC94" s="242" t="str">
        <f t="shared" si="27"/>
        <v>D2ds v4</v>
      </c>
      <c r="AD94" s="239"/>
      <c r="AE94" s="239" t="str">
        <f>IFERROR(VLOOKUP(AD94,'Web-SKUS'!A:E,2,FALSE),"")</f>
        <v/>
      </c>
      <c r="AF94" s="239">
        <f>_xlfn.NUMBERVALUE(IFERROR(VLOOKUP(AD94,'Web-SKUS'!A:E,4,FALSE),""))</f>
        <v>0</v>
      </c>
      <c r="AG94" s="239">
        <f>IFERROR(VLOOKUP(AD94,VM_Performance_Stats!A:G,7,FALSE),0)</f>
        <v>0</v>
      </c>
      <c r="AH94" s="239" t="str">
        <f>IFERROR(VLOOKUP(AD94,VM_Performance_Stats!A:I,8,FALSE),"")</f>
        <v/>
      </c>
      <c r="AI94" s="239">
        <f t="shared" si="28"/>
        <v>0</v>
      </c>
      <c r="AJ94" s="239">
        <f t="shared" si="29"/>
        <v>0</v>
      </c>
      <c r="AK94" s="239">
        <f>IFERROR(IF(VLOOKUP(AD94,VM_Performance_Stats!A:I,8,FALSE)&gt;AB94,1,0),0)</f>
        <v>0</v>
      </c>
      <c r="AL94" t="str">
        <f>IFERROR(VLOOKUP(AD94,'Web-SKUS'!A:G,7,FALSE),"")</f>
        <v/>
      </c>
      <c r="AM94" s="243" t="str">
        <f t="shared" si="30"/>
        <v/>
      </c>
      <c r="AN94" t="str">
        <f>IFERROR(IF(C94=1,VLOOKUP(K94,'Web-SKUS'!A:G,7,FALSE),VLOOKUP(K94,'Web-SKUS'!A:G,6,FALSE)),"")</f>
        <v>£43.6621/month</v>
      </c>
      <c r="AO94" s="243">
        <f t="shared" si="31"/>
        <v>43.662100000000002</v>
      </c>
      <c r="AP94" s="243">
        <f t="shared" si="32"/>
        <v>43.662100000000002</v>
      </c>
      <c r="AQ94" s="244">
        <f t="shared" si="33"/>
        <v>0</v>
      </c>
      <c r="AR94" s="237">
        <f t="shared" si="34"/>
        <v>0</v>
      </c>
      <c r="AS94" s="237" t="str">
        <f>VLOOKUP(B94,'Willie List'!B:M,12,FALSE)</f>
        <v>YES</v>
      </c>
      <c r="AT94" s="237" t="str">
        <f t="shared" si="35"/>
        <v>Standard_D2ds_v4</v>
      </c>
      <c r="AU94" s="237" t="str">
        <f t="shared" si="36"/>
        <v>D2ds v4</v>
      </c>
      <c r="AV94" s="83">
        <f t="shared" si="37"/>
        <v>0</v>
      </c>
      <c r="AW94" s="96">
        <f t="shared" si="38"/>
        <v>0</v>
      </c>
    </row>
    <row r="95" spans="1:49">
      <c r="A95" t="s">
        <v>314</v>
      </c>
      <c r="B95" s="238" t="s">
        <v>366</v>
      </c>
      <c r="C95" s="239">
        <f>IFERROR(IF(VLOOKUP(B95,'Willie List'!B:B,1,FALSE) &lt;&gt; "",1,0),0)</f>
        <v>1</v>
      </c>
      <c r="D95" s="239"/>
      <c r="E95" s="238" t="s">
        <v>101</v>
      </c>
      <c r="F95" s="238" t="s">
        <v>367</v>
      </c>
      <c r="G95" s="238" t="s">
        <v>152</v>
      </c>
      <c r="H95" s="238" t="s">
        <v>153</v>
      </c>
      <c r="I95" s="238" t="s">
        <v>154</v>
      </c>
      <c r="J95" s="238" t="s">
        <v>22</v>
      </c>
      <c r="K95" s="239" t="str">
        <f t="shared" si="41"/>
        <v>B2ms</v>
      </c>
      <c r="L95" s="239">
        <f>VLOOKUP(K95,'Web-SKUS'!A:E,2,FALSE)</f>
        <v>2</v>
      </c>
      <c r="M95" s="239" t="str">
        <f>VLOOKUP(K95,'Web-SKUS'!A:E,4,FALSE)</f>
        <v>8</v>
      </c>
      <c r="N95" s="238" t="s">
        <v>277</v>
      </c>
      <c r="O95" s="239">
        <v>2</v>
      </c>
      <c r="P95" s="238" t="s">
        <v>157</v>
      </c>
      <c r="Q95" s="238">
        <f>IFERROR(VLOOKUP(B95,PercentCPU!B:F,4,FALSE),"")</f>
        <v>99.990991490621425</v>
      </c>
      <c r="R95" s="238">
        <f>IFERROR(VLOOKUP(B95,MemoryAvailable!B:F,3,FALSE),"")</f>
        <v>6058.966067235533</v>
      </c>
      <c r="S95" s="240">
        <f t="shared" si="21"/>
        <v>0.26038011874566247</v>
      </c>
      <c r="T95" s="238">
        <f t="shared" si="22"/>
        <v>2</v>
      </c>
      <c r="U95" s="239">
        <f t="shared" si="23"/>
        <v>2</v>
      </c>
      <c r="V95" s="239">
        <f t="shared" si="24"/>
        <v>0</v>
      </c>
      <c r="W95" s="8">
        <f>IFERROR(VLOOKUP(B95,Write_Bytes_ps!B:F,4,FALSE)/1024/1024,"")</f>
        <v>0.71606491649319004</v>
      </c>
      <c r="X95" s="8">
        <f>IFERROR(VLOOKUP(B95,Read_Bytes_ps!B:F,4,FALSE)/1024/1024,"")</f>
        <v>1.2474578523049529</v>
      </c>
      <c r="Y95" s="8">
        <f>IFERROR(VLOOKUP(B95,Writes_ps!B:F,5,FALSE),"")</f>
        <v>963.81489071160195</v>
      </c>
      <c r="Z95" s="8">
        <f>IFERROR(VLOOKUP(B95,Reads_ps!B:F,5,FALSE),"")</f>
        <v>1769.00089199882</v>
      </c>
      <c r="AA95" s="241">
        <f t="shared" si="39"/>
        <v>1.9635227687981429</v>
      </c>
      <c r="AB95" s="242">
        <f t="shared" si="40"/>
        <v>2733</v>
      </c>
      <c r="AC95" s="242" t="str">
        <f t="shared" si="27"/>
        <v>B2ms</v>
      </c>
      <c r="AD95" s="239"/>
      <c r="AE95" s="239" t="str">
        <f>IFERROR(VLOOKUP(AD95,'Web-SKUS'!A:E,2,FALSE),"")</f>
        <v/>
      </c>
      <c r="AF95" s="239">
        <f>_xlfn.NUMBERVALUE(IFERROR(VLOOKUP(AD95,'Web-SKUS'!A:E,4,FALSE),""))</f>
        <v>0</v>
      </c>
      <c r="AG95" s="239">
        <f>IFERROR(VLOOKUP(AD95,VM_Performance_Stats!A:G,7,FALSE),0)</f>
        <v>0</v>
      </c>
      <c r="AH95" s="239" t="str">
        <f>IFERROR(VLOOKUP(AD95,VM_Performance_Stats!A:I,8,FALSE),"")</f>
        <v/>
      </c>
      <c r="AI95" s="239">
        <f t="shared" si="28"/>
        <v>0</v>
      </c>
      <c r="AJ95" s="239">
        <f t="shared" si="29"/>
        <v>0</v>
      </c>
      <c r="AK95" s="239">
        <f>IFERROR(IF(VLOOKUP(AD95,VM_Performance_Stats!A:I,8,FALSE)&gt;AB95,1,0),0)</f>
        <v>0</v>
      </c>
      <c r="AL95" t="str">
        <f>IFERROR(VLOOKUP(AD95,'Web-SKUS'!A:G,7,FALSE),"")</f>
        <v/>
      </c>
      <c r="AM95" s="243" t="str">
        <f t="shared" si="30"/>
        <v/>
      </c>
      <c r="AN95" t="str">
        <f>IFERROR(IF(C95=1,VLOOKUP(K95,'Web-SKUS'!A:G,7,FALSE),VLOOKUP(K95,'Web-SKUS'!A:G,6,FALSE)),"")</f>
        <v>£30.5553/month</v>
      </c>
      <c r="AO95" s="243">
        <f t="shared" si="31"/>
        <v>30.555299999999999</v>
      </c>
      <c r="AP95" s="243">
        <f t="shared" si="32"/>
        <v>30.555299999999999</v>
      </c>
      <c r="AQ95" s="244">
        <f t="shared" si="33"/>
        <v>0</v>
      </c>
      <c r="AR95" s="115">
        <f t="shared" si="34"/>
        <v>0</v>
      </c>
      <c r="AS95" s="115" t="str">
        <f>VLOOKUP(B95,'Willie List'!B:M,12,FALSE)</f>
        <v>YES</v>
      </c>
      <c r="AT95" s="115" t="str">
        <f t="shared" si="35"/>
        <v>Standard_B2ms</v>
      </c>
      <c r="AU95" s="115" t="str">
        <f t="shared" si="36"/>
        <v>B2ms</v>
      </c>
      <c r="AV95">
        <f t="shared" si="37"/>
        <v>0</v>
      </c>
      <c r="AW95" s="8">
        <f t="shared" si="38"/>
        <v>0</v>
      </c>
    </row>
    <row r="96" spans="1:49">
      <c r="B96" t="s">
        <v>368</v>
      </c>
      <c r="C96" s="8">
        <f>IFERROR(IF(VLOOKUP(B96,'Willie List'!B:B,1,FALSE) &lt;&gt; "",1,0),0)</f>
        <v>0</v>
      </c>
      <c r="D96" s="8"/>
      <c r="E96" t="s">
        <v>99</v>
      </c>
      <c r="F96" t="s">
        <v>369</v>
      </c>
      <c r="G96" t="s">
        <v>152</v>
      </c>
      <c r="H96" t="s">
        <v>153</v>
      </c>
      <c r="I96" t="s">
        <v>276</v>
      </c>
      <c r="J96" t="s">
        <v>58</v>
      </c>
      <c r="K96" s="8" t="str">
        <f t="shared" si="41"/>
        <v>D8ds v4</v>
      </c>
      <c r="L96" s="8">
        <f>VLOOKUP(K96,'Web-SKUS'!A:E,2,FALSE)</f>
        <v>8</v>
      </c>
      <c r="M96" s="8" t="str">
        <f>VLOOKUP(K96,'Web-SKUS'!A:E,4,FALSE)</f>
        <v>32</v>
      </c>
      <c r="N96" t="s">
        <v>277</v>
      </c>
      <c r="O96" s="8">
        <v>4</v>
      </c>
      <c r="P96" t="s">
        <v>157</v>
      </c>
      <c r="Q96">
        <f>IFERROR(VLOOKUP(B96,PercentCPU!B:F,4,FALSE),"")</f>
        <v>5.8540283993763076</v>
      </c>
      <c r="R96">
        <f>IFERROR(VLOOKUP(B96,MemoryAvailable!B:F,3,FALSE),"")</f>
        <v>19417.531839705985</v>
      </c>
      <c r="S96" s="2">
        <f t="shared" si="21"/>
        <v>0.40742395508709761</v>
      </c>
      <c r="T96">
        <f t="shared" si="22"/>
        <v>1</v>
      </c>
      <c r="U96" s="8">
        <f t="shared" si="23"/>
        <v>13</v>
      </c>
      <c r="V96" s="8">
        <f t="shared" si="24"/>
        <v>0</v>
      </c>
      <c r="W96" s="8">
        <f>IFERROR(VLOOKUP(B96,Write_Bytes_ps!B:F,4,FALSE)/1024/1024,"")</f>
        <v>0.27398236203290555</v>
      </c>
      <c r="X96" s="8">
        <f>IFERROR(VLOOKUP(B96,Read_Bytes_ps!B:F,4,FALSE)/1024/1024,"")</f>
        <v>14.015196961671192</v>
      </c>
      <c r="Y96" s="8">
        <f>IFERROR(VLOOKUP(B96,Writes_ps!B:F,5,FALSE),"")</f>
        <v>910.04144287109398</v>
      </c>
      <c r="Z96" s="8">
        <f>IFERROR(VLOOKUP(B96,Reads_ps!B:F,5,FALSE),"")</f>
        <v>2934.84765625</v>
      </c>
      <c r="AA96" s="8">
        <f t="shared" si="39"/>
        <v>14.289179323704097</v>
      </c>
      <c r="AB96" s="122">
        <f t="shared" si="40"/>
        <v>3845</v>
      </c>
      <c r="AC96" s="122" t="str">
        <f t="shared" si="27"/>
        <v>D8ds v4</v>
      </c>
      <c r="AD96" s="8" t="s">
        <v>370</v>
      </c>
      <c r="AE96" s="8">
        <f>IFERROR(VLOOKUP(AD96,'Web-SKUS'!A:E,2,FALSE),"")</f>
        <v>2</v>
      </c>
      <c r="AF96" s="8">
        <f>_xlfn.NUMBERVALUE(IFERROR(VLOOKUP(AD96,'Web-SKUS'!A:E,4,FALSE),""))</f>
        <v>16</v>
      </c>
      <c r="AG96" s="8">
        <f>IFERROR(VLOOKUP(AD96,VM_Performance_Stats!A:G,7,FALSE),0)</f>
        <v>4</v>
      </c>
      <c r="AH96" s="8">
        <f>IFERROR(VLOOKUP(AD96,VM_Performance_Stats!A:I,8,FALSE),"")</f>
        <v>3200</v>
      </c>
      <c r="AI96" s="8">
        <f t="shared" si="28"/>
        <v>1</v>
      </c>
      <c r="AJ96" s="8">
        <f t="shared" si="29"/>
        <v>1</v>
      </c>
      <c r="AK96" s="8">
        <f>IFERROR(IF(VLOOKUP(AD96,VM_Performance_Stats!A:I,8,FALSE)&gt;AB96,1,0),0)</f>
        <v>0</v>
      </c>
      <c r="AL96" t="str">
        <f>IFERROR(VLOOKUP(AD96,'Web-SKUS'!A:G,7,FALSE),"")</f>
        <v>£55.5230/month</v>
      </c>
      <c r="AM96" s="116">
        <f t="shared" si="30"/>
        <v>55.523000000000003</v>
      </c>
      <c r="AN96" t="str">
        <f>IFERROR(IF(C96=1,VLOOKUP(K96,'Web-SKUS'!A:G,7,FALSE),VLOOKUP(K96,'Web-SKUS'!A:G,6,FALSE)),"")</f>
        <v>£295.9772/month</v>
      </c>
      <c r="AO96" s="116">
        <f t="shared" si="31"/>
        <v>295.97719999999998</v>
      </c>
      <c r="AP96" s="116">
        <f t="shared" si="32"/>
        <v>55.523000000000003</v>
      </c>
      <c r="AQ96" s="115">
        <f t="shared" si="33"/>
        <v>240.45419999999999</v>
      </c>
      <c r="AR96" s="115">
        <f t="shared" si="34"/>
        <v>2885.4503999999997</v>
      </c>
      <c r="AS96" s="115" t="e">
        <f>VLOOKUP(B96,'Willie List'!B:M,12,FALSE)</f>
        <v>#N/A</v>
      </c>
      <c r="AT96" s="115" t="str">
        <f t="shared" si="35"/>
        <v>Standard_D8ds_v4</v>
      </c>
      <c r="AU96" s="115" t="str">
        <f t="shared" si="36"/>
        <v>D8ds v4</v>
      </c>
      <c r="AV96" t="str">
        <f t="shared" si="37"/>
        <v>E2ds v4</v>
      </c>
      <c r="AW96" s="8">
        <f t="shared" si="38"/>
        <v>0</v>
      </c>
    </row>
    <row r="97" spans="1:49">
      <c r="A97" t="s">
        <v>314</v>
      </c>
      <c r="B97" s="238" t="s">
        <v>371</v>
      </c>
      <c r="C97" s="239">
        <f>IFERROR(IF(VLOOKUP(B97,'Willie List'!B:B,1,FALSE) &lt;&gt; "",1,0),0)</f>
        <v>1</v>
      </c>
      <c r="D97" s="239"/>
      <c r="E97" s="238" t="s">
        <v>101</v>
      </c>
      <c r="F97" s="238" t="s">
        <v>372</v>
      </c>
      <c r="G97" s="238" t="s">
        <v>152</v>
      </c>
      <c r="H97" s="238" t="s">
        <v>153</v>
      </c>
      <c r="I97" s="238" t="s">
        <v>154</v>
      </c>
      <c r="J97" s="238" t="s">
        <v>79</v>
      </c>
      <c r="K97" s="239" t="str">
        <f t="shared" si="41"/>
        <v>F8s v2</v>
      </c>
      <c r="L97" s="239">
        <f>VLOOKUP(K97,'Web-SKUS'!A:E,2,FALSE)</f>
        <v>8</v>
      </c>
      <c r="M97" s="239" t="str">
        <f>VLOOKUP(K97,'Web-SKUS'!A:E,4,FALSE)</f>
        <v>16</v>
      </c>
      <c r="N97" s="238" t="s">
        <v>277</v>
      </c>
      <c r="O97" s="238">
        <v>4</v>
      </c>
      <c r="P97" s="238" t="s">
        <v>157</v>
      </c>
      <c r="Q97" s="238" t="str">
        <f>IFERROR(VLOOKUP(B97,PercentCPU!B:F,4,FALSE),"")</f>
        <v/>
      </c>
      <c r="R97" s="238" t="str">
        <f>IFERROR(VLOOKUP(B97,MemoryAvailable!B:F,3,FALSE),"")</f>
        <v/>
      </c>
      <c r="S97" s="240" t="str">
        <f t="shared" si="21"/>
        <v/>
      </c>
      <c r="T97" s="238" t="str">
        <f t="shared" si="22"/>
        <v/>
      </c>
      <c r="U97" s="239">
        <f t="shared" si="23"/>
        <v>0</v>
      </c>
      <c r="V97" s="239" t="str">
        <f t="shared" si="24"/>
        <v/>
      </c>
      <c r="W97" s="8" t="str">
        <f>IFERROR(VLOOKUP(B97,Write_Bytes_ps!B:F,4,FALSE)/1024/1024,"")</f>
        <v/>
      </c>
      <c r="X97" s="8" t="str">
        <f>IFERROR(VLOOKUP(B97,Read_Bytes_ps!B:F,4,FALSE)/1024/1024,"")</f>
        <v/>
      </c>
      <c r="Y97" s="8" t="str">
        <f>IFERROR(VLOOKUP(B97,Writes_ps!B:F,5,FALSE),"")</f>
        <v/>
      </c>
      <c r="Z97" s="8" t="str">
        <f>IFERROR(VLOOKUP(B97,Reads_ps!B:F,5,FALSE),"")</f>
        <v/>
      </c>
      <c r="AA97" s="241">
        <f t="shared" si="39"/>
        <v>0</v>
      </c>
      <c r="AB97" s="242">
        <f t="shared" si="40"/>
        <v>0</v>
      </c>
      <c r="AC97" s="242" t="str">
        <f t="shared" si="27"/>
        <v>F8s v2</v>
      </c>
      <c r="AD97" s="239"/>
      <c r="AE97" s="239" t="str">
        <f>IFERROR(VLOOKUP(AD97,'Web-SKUS'!A:E,2,FALSE),"")</f>
        <v/>
      </c>
      <c r="AF97" s="239">
        <f>_xlfn.NUMBERVALUE(IFERROR(VLOOKUP(AD97,'Web-SKUS'!A:E,4,FALSE),""))</f>
        <v>0</v>
      </c>
      <c r="AG97" s="239">
        <f>IFERROR(VLOOKUP(AD97,VM_Performance_Stats!A:G,7,FALSE),0)</f>
        <v>0</v>
      </c>
      <c r="AH97" s="239" t="str">
        <f>IFERROR(VLOOKUP(AD97,VM_Performance_Stats!A:I,8,FALSE),"")</f>
        <v/>
      </c>
      <c r="AI97" s="239">
        <f t="shared" si="28"/>
        <v>1</v>
      </c>
      <c r="AJ97" s="239">
        <f t="shared" si="29"/>
        <v>0</v>
      </c>
      <c r="AK97" s="239">
        <f>IFERROR(IF(VLOOKUP(AD97,VM_Performance_Stats!A:I,8,FALSE)&gt;AB97,1,0),0)</f>
        <v>0</v>
      </c>
      <c r="AL97" t="str">
        <f>IFERROR(VLOOKUP(AD97,'Web-SKUS'!A:G,7,FALSE),"")</f>
        <v/>
      </c>
      <c r="AM97" s="243" t="str">
        <f t="shared" si="30"/>
        <v/>
      </c>
      <c r="AN97" t="str">
        <f>IFERROR(IF(C97=1,VLOOKUP(K97,'Web-SKUS'!A:G,7,FALSE),VLOOKUP(K97,'Web-SKUS'!A:G,6,FALSE)),"")</f>
        <v>£125.0232/month</v>
      </c>
      <c r="AO97" s="243">
        <f t="shared" si="31"/>
        <v>125.0232</v>
      </c>
      <c r="AP97" s="243">
        <f t="shared" si="32"/>
        <v>125.0232</v>
      </c>
      <c r="AQ97" s="244">
        <f t="shared" si="33"/>
        <v>0</v>
      </c>
      <c r="AR97" s="115">
        <f t="shared" si="34"/>
        <v>0</v>
      </c>
      <c r="AS97" s="115" t="str">
        <f>VLOOKUP(B97,'Willie List'!B:M,12,FALSE)</f>
        <v>YES</v>
      </c>
      <c r="AT97" s="115" t="str">
        <f t="shared" si="35"/>
        <v>Standard_F8s_v2</v>
      </c>
      <c r="AU97" s="115" t="str">
        <f t="shared" si="36"/>
        <v>F8s v2</v>
      </c>
      <c r="AV97">
        <f t="shared" si="37"/>
        <v>0</v>
      </c>
      <c r="AW97" s="8">
        <f t="shared" si="38"/>
        <v>0</v>
      </c>
    </row>
    <row r="98" spans="1:49">
      <c r="B98" s="238" t="s">
        <v>373</v>
      </c>
      <c r="C98" s="239">
        <f>IFERROR(IF(VLOOKUP(B98,'Willie List'!B:B,1,FALSE) &lt;&gt; "",1,0),0)</f>
        <v>1</v>
      </c>
      <c r="D98" s="239"/>
      <c r="E98" s="238" t="s">
        <v>101</v>
      </c>
      <c r="F98" s="238" t="s">
        <v>350</v>
      </c>
      <c r="G98" s="238" t="s">
        <v>152</v>
      </c>
      <c r="H98" s="238" t="s">
        <v>153</v>
      </c>
      <c r="I98" s="238" t="s">
        <v>276</v>
      </c>
      <c r="J98" s="238" t="s">
        <v>22</v>
      </c>
      <c r="K98" s="239" t="str">
        <f t="shared" si="41"/>
        <v>B2ms</v>
      </c>
      <c r="L98" s="239">
        <f>VLOOKUP(K98,'Web-SKUS'!A:E,2,FALSE)</f>
        <v>2</v>
      </c>
      <c r="M98" s="239" t="str">
        <f>VLOOKUP(K98,'Web-SKUS'!A:E,4,FALSE)</f>
        <v>8</v>
      </c>
      <c r="N98" s="238" t="s">
        <v>277</v>
      </c>
      <c r="O98" s="239">
        <v>1</v>
      </c>
      <c r="P98" s="238" t="s">
        <v>157</v>
      </c>
      <c r="Q98" s="238">
        <f>IFERROR(VLOOKUP(B98,PercentCPU!B:F,4,FALSE),"")</f>
        <v>33.490450018058155</v>
      </c>
      <c r="R98" s="238">
        <f>IFERROR(VLOOKUP(B98,MemoryAvailable!B:F,3,FALSE),"")</f>
        <v>3017.2100967925603</v>
      </c>
      <c r="S98" s="240">
        <f t="shared" si="21"/>
        <v>0.63168822060637697</v>
      </c>
      <c r="T98" s="238">
        <f t="shared" si="22"/>
        <v>1</v>
      </c>
      <c r="U98" s="239">
        <f t="shared" si="23"/>
        <v>5</v>
      </c>
      <c r="V98" s="239">
        <f t="shared" si="24"/>
        <v>0</v>
      </c>
      <c r="W98" s="8">
        <f>IFERROR(VLOOKUP(B98,Write_Bytes_ps!B:F,4,FALSE)/1024/1024,"")</f>
        <v>0.20969866814103871</v>
      </c>
      <c r="X98" s="8">
        <f>IFERROR(VLOOKUP(B98,Read_Bytes_ps!B:F,4,FALSE)/1024/1024,"")</f>
        <v>0.11898488648497936</v>
      </c>
      <c r="Y98" s="8">
        <f>IFERROR(VLOOKUP(B98,Writes_ps!B:F,5,FALSE),"")</f>
        <v>136.58982849121099</v>
      </c>
      <c r="Z98" s="8">
        <f>IFERROR(VLOOKUP(B98,Reads_ps!B:F,5,FALSE),"")</f>
        <v>370.09918212890602</v>
      </c>
      <c r="AA98" s="241">
        <f t="shared" si="39"/>
        <v>0.32868355462601806</v>
      </c>
      <c r="AB98" s="242">
        <f t="shared" si="40"/>
        <v>507</v>
      </c>
      <c r="AC98" s="242" t="str">
        <f t="shared" si="27"/>
        <v>B2ms</v>
      </c>
      <c r="AD98" s="239"/>
      <c r="AE98" s="239" t="str">
        <f>IFERROR(VLOOKUP(AD98,'Web-SKUS'!A:E,2,FALSE),"")</f>
        <v/>
      </c>
      <c r="AF98" s="239">
        <f>_xlfn.NUMBERVALUE(IFERROR(VLOOKUP(AD98,'Web-SKUS'!A:E,4,FALSE),""))</f>
        <v>0</v>
      </c>
      <c r="AG98" s="239">
        <f>IFERROR(VLOOKUP(AD98,VM_Performance_Stats!A:G,7,FALSE),0)</f>
        <v>0</v>
      </c>
      <c r="AH98" s="239" t="str">
        <f>IFERROR(VLOOKUP(AD98,VM_Performance_Stats!A:I,8,FALSE),"")</f>
        <v/>
      </c>
      <c r="AI98" s="239">
        <f t="shared" si="28"/>
        <v>0</v>
      </c>
      <c r="AJ98" s="239">
        <f t="shared" si="29"/>
        <v>0</v>
      </c>
      <c r="AK98" s="239">
        <f>IFERROR(IF(VLOOKUP(AD98,VM_Performance_Stats!A:I,8,FALSE)&gt;AB98,1,0),0)</f>
        <v>0</v>
      </c>
      <c r="AL98" t="str">
        <f>IFERROR(VLOOKUP(AD98,'Web-SKUS'!A:G,7,FALSE),"")</f>
        <v/>
      </c>
      <c r="AM98" s="243" t="str">
        <f t="shared" si="30"/>
        <v/>
      </c>
      <c r="AN98" t="str">
        <f>IFERROR(IF(C98=1,VLOOKUP(K98,'Web-SKUS'!A:G,7,FALSE),VLOOKUP(K98,'Web-SKUS'!A:G,6,FALSE)),"")</f>
        <v>£30.5553/month</v>
      </c>
      <c r="AO98" s="243">
        <f t="shared" si="31"/>
        <v>30.555299999999999</v>
      </c>
      <c r="AP98" s="243">
        <f t="shared" si="32"/>
        <v>30.555299999999999</v>
      </c>
      <c r="AQ98" s="244">
        <f t="shared" si="33"/>
        <v>0</v>
      </c>
      <c r="AR98" s="115">
        <f t="shared" si="34"/>
        <v>0</v>
      </c>
      <c r="AS98" s="115" t="str">
        <f>VLOOKUP(B98,'Willie List'!B:M,12,FALSE)</f>
        <v>YES</v>
      </c>
      <c r="AT98" s="115" t="str">
        <f t="shared" si="35"/>
        <v>Standard_B2ms</v>
      </c>
      <c r="AU98" s="115" t="str">
        <f t="shared" si="36"/>
        <v>B2ms</v>
      </c>
      <c r="AV98">
        <f t="shared" si="37"/>
        <v>0</v>
      </c>
      <c r="AW98" s="8">
        <f t="shared" si="38"/>
        <v>0</v>
      </c>
    </row>
    <row r="99" spans="1:49">
      <c r="B99" s="238" t="s">
        <v>374</v>
      </c>
      <c r="C99" s="239">
        <f>IFERROR(IF(VLOOKUP(B99,'Willie List'!B:B,1,FALSE) &lt;&gt; "",1,0),0)</f>
        <v>1</v>
      </c>
      <c r="D99" s="239"/>
      <c r="E99" s="238" t="s">
        <v>101</v>
      </c>
      <c r="F99" s="238" t="s">
        <v>375</v>
      </c>
      <c r="G99" s="238" t="s">
        <v>152</v>
      </c>
      <c r="H99" s="238" t="s">
        <v>153</v>
      </c>
      <c r="I99" s="238" t="s">
        <v>276</v>
      </c>
      <c r="J99" s="238" t="s">
        <v>25</v>
      </c>
      <c r="K99" s="239" t="str">
        <f t="shared" si="41"/>
        <v>B4ms</v>
      </c>
      <c r="L99" s="239">
        <f>VLOOKUP(K99,'Web-SKUS'!A:E,2,FALSE)</f>
        <v>4</v>
      </c>
      <c r="M99" s="239" t="str">
        <f>VLOOKUP(K99,'Web-SKUS'!A:E,4,FALSE)</f>
        <v>16</v>
      </c>
      <c r="N99" s="238" t="s">
        <v>277</v>
      </c>
      <c r="O99" s="239">
        <v>2</v>
      </c>
      <c r="P99" s="238" t="s">
        <v>157</v>
      </c>
      <c r="Q99" s="238">
        <f>IFERROR(VLOOKUP(B99,PercentCPU!B:F,4,FALSE),"")</f>
        <v>13.873477450586023</v>
      </c>
      <c r="R99" s="238">
        <f>IFERROR(VLOOKUP(B99,MemoryAvailable!B:F,3,FALSE),"")</f>
        <v>9392.5804261024168</v>
      </c>
      <c r="S99" s="240">
        <f t="shared" si="21"/>
        <v>0.42672238610214741</v>
      </c>
      <c r="T99" s="238">
        <f t="shared" si="22"/>
        <v>1</v>
      </c>
      <c r="U99" s="239">
        <f t="shared" si="23"/>
        <v>7</v>
      </c>
      <c r="V99" s="239">
        <f t="shared" si="24"/>
        <v>0</v>
      </c>
      <c r="W99" s="8">
        <f>IFERROR(VLOOKUP(B99,Write_Bytes_ps!B:F,4,FALSE)/1024/1024,"")</f>
        <v>0.20202595471510226</v>
      </c>
      <c r="X99" s="8">
        <f>IFERROR(VLOOKUP(B99,Read_Bytes_ps!B:F,4,FALSE)/1024/1024,"")</f>
        <v>0.10950399741749309</v>
      </c>
      <c r="Y99" s="8">
        <f>IFERROR(VLOOKUP(B99,Writes_ps!B:F,5,FALSE),"")</f>
        <v>688.80657958984398</v>
      </c>
      <c r="Z99" s="8">
        <f>IFERROR(VLOOKUP(B99,Reads_ps!B:F,5,FALSE),"")</f>
        <v>2327.02612304688</v>
      </c>
      <c r="AA99" s="241">
        <f t="shared" si="39"/>
        <v>0.31152995213259538</v>
      </c>
      <c r="AB99" s="242">
        <f t="shared" si="40"/>
        <v>3016</v>
      </c>
      <c r="AC99" s="242" t="str">
        <f t="shared" si="27"/>
        <v>B4ms</v>
      </c>
      <c r="AD99" s="239"/>
      <c r="AE99" s="239" t="str">
        <f>IFERROR(VLOOKUP(AD99,'Web-SKUS'!A:E,2,FALSE),"")</f>
        <v/>
      </c>
      <c r="AF99" s="239">
        <f>_xlfn.NUMBERVALUE(IFERROR(VLOOKUP(AD99,'Web-SKUS'!A:E,4,FALSE),""))</f>
        <v>0</v>
      </c>
      <c r="AG99" s="239">
        <f>IFERROR(VLOOKUP(AD99,VM_Performance_Stats!A:G,7,FALSE),0)</f>
        <v>0</v>
      </c>
      <c r="AH99" s="239" t="str">
        <f>IFERROR(VLOOKUP(AD99,VM_Performance_Stats!A:I,8,FALSE),"")</f>
        <v/>
      </c>
      <c r="AI99" s="239">
        <f t="shared" si="28"/>
        <v>0</v>
      </c>
      <c r="AJ99" s="239">
        <f t="shared" si="29"/>
        <v>0</v>
      </c>
      <c r="AK99" s="239">
        <f>IFERROR(IF(VLOOKUP(AD99,VM_Performance_Stats!A:I,8,FALSE)&gt;AB99,1,0),0)</f>
        <v>0</v>
      </c>
      <c r="AL99" t="str">
        <f>IFERROR(VLOOKUP(AD99,'Web-SKUS'!A:G,7,FALSE),"")</f>
        <v/>
      </c>
      <c r="AM99" s="243" t="str">
        <f t="shared" si="30"/>
        <v/>
      </c>
      <c r="AN99" t="str">
        <f>IFERROR(IF(C99=1,VLOOKUP(K99,'Web-SKUS'!A:G,7,FALSE),VLOOKUP(K99,'Web-SKUS'!A:G,6,FALSE)),"")</f>
        <v>£61.1161/month</v>
      </c>
      <c r="AO99" s="243">
        <f t="shared" si="31"/>
        <v>61.116100000000003</v>
      </c>
      <c r="AP99" s="243">
        <f t="shared" si="32"/>
        <v>61.116100000000003</v>
      </c>
      <c r="AQ99" s="244">
        <f t="shared" si="33"/>
        <v>0</v>
      </c>
      <c r="AR99" s="115">
        <f t="shared" si="34"/>
        <v>0</v>
      </c>
      <c r="AS99" s="115" t="str">
        <f>VLOOKUP(B99,'Willie List'!B:M,12,FALSE)</f>
        <v>NO</v>
      </c>
      <c r="AT99" s="115" t="str">
        <f t="shared" si="35"/>
        <v>Standard_B4ms</v>
      </c>
      <c r="AU99" s="115" t="str">
        <f t="shared" si="36"/>
        <v>B4ms</v>
      </c>
      <c r="AV99">
        <f t="shared" si="37"/>
        <v>0</v>
      </c>
      <c r="AW99" s="8">
        <f t="shared" si="38"/>
        <v>0</v>
      </c>
    </row>
    <row r="100" spans="1:49" s="238" customFormat="1">
      <c r="A100" s="238" t="s">
        <v>376</v>
      </c>
      <c r="B100" s="238" t="s">
        <v>377</v>
      </c>
      <c r="C100" s="239">
        <f>IFERROR(IF(VLOOKUP(B100,'Willie List'!B:B,1,FALSE) &lt;&gt; "",1,0),0)</f>
        <v>1</v>
      </c>
      <c r="D100" s="239"/>
      <c r="E100" s="238" t="s">
        <v>101</v>
      </c>
      <c r="F100" s="238" t="s">
        <v>375</v>
      </c>
      <c r="G100" s="238" t="s">
        <v>152</v>
      </c>
      <c r="H100" s="238" t="s">
        <v>153</v>
      </c>
      <c r="I100" s="238" t="s">
        <v>276</v>
      </c>
      <c r="J100" s="238" t="s">
        <v>22</v>
      </c>
      <c r="K100" s="239" t="str">
        <f t="shared" si="41"/>
        <v>B2ms</v>
      </c>
      <c r="L100" s="239">
        <f>VLOOKUP(K100,'Web-SKUS'!A:E,2,FALSE)</f>
        <v>2</v>
      </c>
      <c r="M100" s="239" t="str">
        <f>VLOOKUP(K100,'Web-SKUS'!A:E,4,FALSE)</f>
        <v>8</v>
      </c>
      <c r="N100" s="238" t="s">
        <v>277</v>
      </c>
      <c r="O100" s="239">
        <v>2</v>
      </c>
      <c r="P100" s="238" t="s">
        <v>157</v>
      </c>
      <c r="Q100" s="238">
        <f>IFERROR(VLOOKUP(B100,PercentCPU!B:F,4,FALSE),"")</f>
        <v>4.5717673020732121</v>
      </c>
      <c r="R100" s="238">
        <f>IFERROR(VLOOKUP(B100,MemoryAvailable!B:F,3,FALSE),"")</f>
        <v>4749.9459497667403</v>
      </c>
      <c r="S100" s="240">
        <f t="shared" si="21"/>
        <v>0.4201726135538647</v>
      </c>
      <c r="T100" s="238">
        <f t="shared" si="22"/>
        <v>1</v>
      </c>
      <c r="U100" s="239">
        <f t="shared" si="23"/>
        <v>3</v>
      </c>
      <c r="V100" s="239">
        <f t="shared" si="24"/>
        <v>0</v>
      </c>
      <c r="W100" s="8">
        <f>IFERROR(VLOOKUP(B100,Write_Bytes_ps!B:F,4,FALSE)/1024/1024,"")</f>
        <v>0.1039770180268117</v>
      </c>
      <c r="X100" s="8">
        <f>IFERROR(VLOOKUP(B100,Read_Bytes_ps!B:F,4,FALSE)/1024/1024,"")</f>
        <v>8.2522267167652513E-2</v>
      </c>
      <c r="Y100" s="8">
        <f>IFERROR(VLOOKUP(B100,Writes_ps!B:F,5,FALSE),"")</f>
        <v>482.58172607421898</v>
      </c>
      <c r="Z100" s="8">
        <f>IFERROR(VLOOKUP(B100,Reads_ps!B:F,5,FALSE),"")</f>
        <v>502.81158447265602</v>
      </c>
      <c r="AA100" s="241">
        <f t="shared" si="39"/>
        <v>0.18649928519446421</v>
      </c>
      <c r="AB100" s="242">
        <f t="shared" si="40"/>
        <v>986</v>
      </c>
      <c r="AC100" s="242" t="str">
        <f t="shared" si="27"/>
        <v>B2ms</v>
      </c>
      <c r="AD100" s="239"/>
      <c r="AE100" s="239" t="str">
        <f>IFERROR(VLOOKUP(AD100,'Web-SKUS'!A:E,2,FALSE),"")</f>
        <v/>
      </c>
      <c r="AF100" s="239">
        <f>_xlfn.NUMBERVALUE(IFERROR(VLOOKUP(AD100,'Web-SKUS'!A:E,4,FALSE),""))</f>
        <v>0</v>
      </c>
      <c r="AG100" s="239">
        <f>IFERROR(VLOOKUP(AD100,VM_Performance_Stats!A:G,7,FALSE),0)</f>
        <v>0</v>
      </c>
      <c r="AH100" s="239" t="str">
        <f>IFERROR(VLOOKUP(AD100,VM_Performance_Stats!A:I,8,FALSE),"")</f>
        <v/>
      </c>
      <c r="AI100" s="239">
        <f t="shared" si="28"/>
        <v>0</v>
      </c>
      <c r="AJ100" s="239">
        <f t="shared" si="29"/>
        <v>0</v>
      </c>
      <c r="AK100" s="239">
        <f>IFERROR(IF(VLOOKUP(AD100,VM_Performance_Stats!A:I,8,FALSE)&gt;AB100,1,0),0)</f>
        <v>0</v>
      </c>
      <c r="AL100" t="str">
        <f>IFERROR(VLOOKUP(AD100,'Web-SKUS'!A:G,7,FALSE),"")</f>
        <v/>
      </c>
      <c r="AM100" s="243" t="str">
        <f t="shared" si="30"/>
        <v/>
      </c>
      <c r="AN100" t="str">
        <f>IFERROR(IF(C100=1,VLOOKUP(K100,'Web-SKUS'!A:G,7,FALSE),VLOOKUP(K100,'Web-SKUS'!A:G,6,FALSE)),"")</f>
        <v>£30.5553/month</v>
      </c>
      <c r="AO100" s="243">
        <f t="shared" si="31"/>
        <v>30.555299999999999</v>
      </c>
      <c r="AP100" s="243">
        <f t="shared" si="32"/>
        <v>30.555299999999999</v>
      </c>
      <c r="AQ100" s="244">
        <f t="shared" si="33"/>
        <v>0</v>
      </c>
      <c r="AR100" s="244">
        <f t="shared" si="34"/>
        <v>0</v>
      </c>
      <c r="AS100" s="244" t="str">
        <f>VLOOKUP(B100,'Willie List'!B:M,12,FALSE)</f>
        <v>NO</v>
      </c>
      <c r="AT100" s="244" t="str">
        <f t="shared" si="35"/>
        <v>Standard_B2ms</v>
      </c>
      <c r="AU100" s="244" t="str">
        <f t="shared" si="36"/>
        <v>B2ms</v>
      </c>
      <c r="AV100" s="238">
        <f t="shared" si="37"/>
        <v>0</v>
      </c>
      <c r="AW100" s="239">
        <f t="shared" si="38"/>
        <v>0</v>
      </c>
    </row>
    <row r="101" spans="1:49" s="238" customFormat="1">
      <c r="A101" s="238" t="s">
        <v>376</v>
      </c>
      <c r="B101" s="238" t="s">
        <v>378</v>
      </c>
      <c r="C101" s="239">
        <f>IFERROR(IF(VLOOKUP(B101,'Willie List'!B:B,1,FALSE) &lt;&gt; "",1,0),0)</f>
        <v>1</v>
      </c>
      <c r="D101" s="239">
        <v>1</v>
      </c>
      <c r="E101" s="238" t="s">
        <v>101</v>
      </c>
      <c r="F101" s="238" t="s">
        <v>375</v>
      </c>
      <c r="G101" s="238" t="s">
        <v>152</v>
      </c>
      <c r="H101" s="238" t="s">
        <v>153</v>
      </c>
      <c r="I101" s="238" t="s">
        <v>276</v>
      </c>
      <c r="J101" s="238" t="s">
        <v>379</v>
      </c>
      <c r="K101" s="239" t="str">
        <f t="shared" si="41"/>
        <v>DS11 v2</v>
      </c>
      <c r="L101" s="239">
        <f>VLOOKUP(K101,'Web-SKUS'!A:E,2,FALSE)</f>
        <v>2</v>
      </c>
      <c r="M101" s="239" t="str">
        <f>VLOOKUP(K101,'Web-SKUS'!A:E,4,FALSE)</f>
        <v>14</v>
      </c>
      <c r="N101" s="238" t="s">
        <v>277</v>
      </c>
      <c r="O101" s="239">
        <v>2</v>
      </c>
      <c r="P101" s="238" t="s">
        <v>157</v>
      </c>
      <c r="Q101" s="238">
        <f>IFERROR(VLOOKUP(B101,PercentCPU!B:F,4,FALSE),"")</f>
        <v>12.254259141012842</v>
      </c>
      <c r="R101" s="238">
        <f>IFERROR(VLOOKUP(B101,MemoryAvailable!B:F,3,FALSE),"")</f>
        <v>2734.7424392312041</v>
      </c>
      <c r="S101" s="240">
        <f t="shared" si="21"/>
        <v>0.80923950619201979</v>
      </c>
      <c r="T101" s="238">
        <f t="shared" si="22"/>
        <v>1</v>
      </c>
      <c r="U101" s="239">
        <f t="shared" si="23"/>
        <v>11</v>
      </c>
      <c r="V101" s="239">
        <f t="shared" si="24"/>
        <v>0</v>
      </c>
      <c r="W101" s="8">
        <f>IFERROR(VLOOKUP(B101,Write_Bytes_ps!B:F,4,FALSE)/1024/1024,"")</f>
        <v>0.79586634423887515</v>
      </c>
      <c r="X101" s="8">
        <f>IFERROR(VLOOKUP(B101,Read_Bytes_ps!B:F,4,FALSE)/1024/1024,"")</f>
        <v>0.72532696222023174</v>
      </c>
      <c r="Y101" s="8">
        <f>IFERROR(VLOOKUP(B101,Writes_ps!B:F,5,FALSE),"")</f>
        <v>1723.67175292969</v>
      </c>
      <c r="Z101" s="8">
        <f>IFERROR(VLOOKUP(B101,Reads_ps!B:F,5,FALSE),"")</f>
        <v>3026.16772460938</v>
      </c>
      <c r="AA101" s="241">
        <f t="shared" si="39"/>
        <v>1.5211933064591068</v>
      </c>
      <c r="AB101" s="242">
        <f t="shared" si="40"/>
        <v>4750</v>
      </c>
      <c r="AC101" s="242" t="str">
        <f t="shared" si="27"/>
        <v>DS11 v2</v>
      </c>
      <c r="AD101" s="239"/>
      <c r="AE101" s="239" t="str">
        <f>IFERROR(VLOOKUP(AD101,'Web-SKUS'!A:E,2,FALSE),"")</f>
        <v/>
      </c>
      <c r="AF101" s="239">
        <f>_xlfn.NUMBERVALUE(IFERROR(VLOOKUP(AD101,'Web-SKUS'!A:E,4,FALSE),""))</f>
        <v>0</v>
      </c>
      <c r="AG101" s="239">
        <f>IFERROR(VLOOKUP(AD101,VM_Performance_Stats!A:G,7,FALSE),0)</f>
        <v>0</v>
      </c>
      <c r="AH101" s="239" t="str">
        <f>IFERROR(VLOOKUP(AD101,VM_Performance_Stats!A:I,8,FALSE),"")</f>
        <v/>
      </c>
      <c r="AI101" s="239">
        <f t="shared" si="28"/>
        <v>0</v>
      </c>
      <c r="AJ101" s="239">
        <f t="shared" si="29"/>
        <v>0</v>
      </c>
      <c r="AK101" s="239">
        <f>IFERROR(IF(VLOOKUP(AD101,VM_Performance_Stats!A:I,8,FALSE)&gt;AB101,1,0),0)</f>
        <v>0</v>
      </c>
      <c r="AL101" t="str">
        <f>IFERROR(VLOOKUP(AD101,'Web-SKUS'!A:G,7,FALSE),"")</f>
        <v/>
      </c>
      <c r="AM101" s="243" t="str">
        <f t="shared" si="30"/>
        <v/>
      </c>
      <c r="AN101" t="str">
        <f>IFERROR(IF(C101=1,VLOOKUP(K101,'Web-SKUS'!A:G,7,FALSE),VLOOKUP(K101,'Web-SKUS'!A:G,6,FALSE)),"")</f>
        <v>£67.0138/month</v>
      </c>
      <c r="AO101" s="243">
        <f t="shared" si="31"/>
        <v>67.013800000000003</v>
      </c>
      <c r="AP101" s="243">
        <f t="shared" si="32"/>
        <v>67.013800000000003</v>
      </c>
      <c r="AQ101" s="244">
        <f t="shared" si="33"/>
        <v>0</v>
      </c>
      <c r="AR101" s="244">
        <f t="shared" si="34"/>
        <v>0</v>
      </c>
      <c r="AS101" s="244" t="str">
        <f>VLOOKUP(B101,'Willie List'!B:M,12,FALSE)</f>
        <v>NO</v>
      </c>
      <c r="AT101" s="244" t="str">
        <f t="shared" si="35"/>
        <v>Standard_DS11_v2</v>
      </c>
      <c r="AU101" s="244" t="str">
        <f t="shared" si="36"/>
        <v>DS11 v2</v>
      </c>
      <c r="AV101" s="238">
        <f t="shared" si="37"/>
        <v>0</v>
      </c>
      <c r="AW101" s="239">
        <f t="shared" si="38"/>
        <v>0</v>
      </c>
    </row>
    <row r="102" spans="1:49">
      <c r="B102" s="238" t="s">
        <v>380</v>
      </c>
      <c r="C102" s="239">
        <f>IFERROR(IF(VLOOKUP(B102,'Willie List'!B:B,1,FALSE) &lt;&gt; "",1,0),0)</f>
        <v>1</v>
      </c>
      <c r="D102" s="239"/>
      <c r="E102" s="238" t="s">
        <v>101</v>
      </c>
      <c r="F102" s="238" t="s">
        <v>350</v>
      </c>
      <c r="G102" s="238" t="s">
        <v>152</v>
      </c>
      <c r="H102" s="238" t="s">
        <v>153</v>
      </c>
      <c r="I102" s="238" t="s">
        <v>276</v>
      </c>
      <c r="J102" s="238" t="s">
        <v>22</v>
      </c>
      <c r="K102" s="239" t="str">
        <f t="shared" si="41"/>
        <v>B2ms</v>
      </c>
      <c r="L102" s="239">
        <f>VLOOKUP(K102,'Web-SKUS'!A:E,2,FALSE)</f>
        <v>2</v>
      </c>
      <c r="M102" s="239" t="str">
        <f>VLOOKUP(K102,'Web-SKUS'!A:E,4,FALSE)</f>
        <v>8</v>
      </c>
      <c r="N102" s="238" t="s">
        <v>277</v>
      </c>
      <c r="O102" s="239">
        <v>2</v>
      </c>
      <c r="P102" s="238" t="s">
        <v>157</v>
      </c>
      <c r="Q102" s="238">
        <f>IFERROR(VLOOKUP(B102,PercentCPU!B:F,4,FALSE),"")</f>
        <v>9.0566839023739156</v>
      </c>
      <c r="R102" s="238">
        <f>IFERROR(VLOOKUP(B102,MemoryAvailable!B:F,3,FALSE),"")</f>
        <v>4557.5343498856964</v>
      </c>
      <c r="S102" s="240">
        <f t="shared" si="21"/>
        <v>0.4436603576799687</v>
      </c>
      <c r="T102" s="238">
        <f t="shared" si="22"/>
        <v>1</v>
      </c>
      <c r="U102" s="239">
        <f t="shared" si="23"/>
        <v>4</v>
      </c>
      <c r="V102" s="239" t="str">
        <f t="shared" si="24"/>
        <v>D Series</v>
      </c>
      <c r="W102" s="8">
        <f>IFERROR(VLOOKUP(B102,Write_Bytes_ps!B:F,4,FALSE)/1024/1024,"")</f>
        <v>0.13410394731797101</v>
      </c>
      <c r="X102" s="8">
        <f>IFERROR(VLOOKUP(B102,Read_Bytes_ps!B:F,4,FALSE)/1024/1024,"")</f>
        <v>0.10605438001059746</v>
      </c>
      <c r="Y102" s="8">
        <f>IFERROR(VLOOKUP(B102,Writes_ps!B:F,5,FALSE),"")</f>
        <v>125.729248046875</v>
      </c>
      <c r="Z102" s="8">
        <f>IFERROR(VLOOKUP(B102,Reads_ps!B:F,5,FALSE),"")</f>
        <v>475.58407592773398</v>
      </c>
      <c r="AA102" s="241">
        <f t="shared" si="39"/>
        <v>0.24015832732856845</v>
      </c>
      <c r="AB102" s="242">
        <f t="shared" si="40"/>
        <v>602</v>
      </c>
      <c r="AC102" s="242" t="str">
        <f t="shared" si="27"/>
        <v>B2ms</v>
      </c>
      <c r="AD102" s="239"/>
      <c r="AE102" s="239" t="str">
        <f>IFERROR(VLOOKUP(AD102,'Web-SKUS'!A:E,2,FALSE),"")</f>
        <v/>
      </c>
      <c r="AF102" s="239">
        <f>_xlfn.NUMBERVALUE(IFERROR(VLOOKUP(AD102,'Web-SKUS'!A:E,4,FALSE),""))</f>
        <v>0</v>
      </c>
      <c r="AG102" s="239">
        <f>IFERROR(VLOOKUP(AD102,VM_Performance_Stats!A:G,7,FALSE),0)</f>
        <v>0</v>
      </c>
      <c r="AH102" s="239" t="str">
        <f>IFERROR(VLOOKUP(AD102,VM_Performance_Stats!A:I,8,FALSE),"")</f>
        <v/>
      </c>
      <c r="AI102" s="239">
        <f t="shared" si="28"/>
        <v>0</v>
      </c>
      <c r="AJ102" s="239">
        <f t="shared" si="29"/>
        <v>0</v>
      </c>
      <c r="AK102" s="239">
        <f>IFERROR(IF(VLOOKUP(AD102,VM_Performance_Stats!A:I,8,FALSE)&gt;AB102,1,0),0)</f>
        <v>0</v>
      </c>
      <c r="AL102" t="str">
        <f>IFERROR(VLOOKUP(AD102,'Web-SKUS'!A:G,7,FALSE),"")</f>
        <v/>
      </c>
      <c r="AM102" s="243" t="str">
        <f t="shared" si="30"/>
        <v/>
      </c>
      <c r="AN102" t="str">
        <f>IFERROR(IF(C102=1,VLOOKUP(K102,'Web-SKUS'!A:G,7,FALSE),VLOOKUP(K102,'Web-SKUS'!A:G,6,FALSE)),"")</f>
        <v>£30.5553/month</v>
      </c>
      <c r="AO102" s="243">
        <f t="shared" si="31"/>
        <v>30.555299999999999</v>
      </c>
      <c r="AP102" s="243">
        <f t="shared" si="32"/>
        <v>30.555299999999999</v>
      </c>
      <c r="AQ102" s="244">
        <f t="shared" si="33"/>
        <v>0</v>
      </c>
      <c r="AR102" s="115">
        <f t="shared" si="34"/>
        <v>0</v>
      </c>
      <c r="AS102" s="115" t="str">
        <f>VLOOKUP(B102,'Willie List'!B:M,12,FALSE)</f>
        <v>YES</v>
      </c>
      <c r="AT102" s="115" t="str">
        <f t="shared" si="35"/>
        <v>Standard_B2ms</v>
      </c>
      <c r="AU102" s="115" t="str">
        <f t="shared" si="36"/>
        <v>B2ms</v>
      </c>
      <c r="AV102">
        <f t="shared" si="37"/>
        <v>0</v>
      </c>
      <c r="AW102" s="8">
        <f t="shared" si="38"/>
        <v>0</v>
      </c>
    </row>
    <row r="103" spans="1:49">
      <c r="B103" t="s">
        <v>381</v>
      </c>
      <c r="C103" s="8">
        <f>IFERROR(IF(VLOOKUP(B103,'Willie List'!B:B,1,FALSE) &lt;&gt; "",1,0),0)</f>
        <v>0</v>
      </c>
      <c r="D103" s="8"/>
      <c r="E103" t="s">
        <v>95</v>
      </c>
      <c r="F103" t="s">
        <v>382</v>
      </c>
      <c r="G103" t="s">
        <v>152</v>
      </c>
      <c r="H103" t="s">
        <v>153</v>
      </c>
      <c r="I103" t="s">
        <v>276</v>
      </c>
      <c r="J103" t="s">
        <v>383</v>
      </c>
      <c r="K103" s="8" t="str">
        <f t="shared" si="41"/>
        <v>A4m v2</v>
      </c>
      <c r="L103" s="8">
        <f>VLOOKUP(K103,'Web-SKUS'!A:E,2,FALSE)</f>
        <v>4</v>
      </c>
      <c r="M103" s="8" t="str">
        <f>VLOOKUP(K103,'Web-SKUS'!A:E,4,FALSE)</f>
        <v>32</v>
      </c>
      <c r="N103" t="s">
        <v>277</v>
      </c>
      <c r="O103">
        <v>2</v>
      </c>
      <c r="P103" t="s">
        <v>157</v>
      </c>
      <c r="Q103" t="str">
        <f>IFERROR(VLOOKUP(B103,PercentCPU!B:F,4,FALSE),"")</f>
        <v/>
      </c>
      <c r="R103" t="str">
        <f>IFERROR(VLOOKUP(B103,MemoryAvailable!B:F,3,FALSE),"")</f>
        <v/>
      </c>
      <c r="S103" s="2" t="str">
        <f t="shared" si="21"/>
        <v/>
      </c>
      <c r="T103" t="str">
        <f t="shared" si="22"/>
        <v/>
      </c>
      <c r="U103" s="8">
        <f t="shared" si="23"/>
        <v>0</v>
      </c>
      <c r="V103" s="8" t="str">
        <f t="shared" si="24"/>
        <v/>
      </c>
      <c r="W103" s="8" t="str">
        <f>IFERROR(VLOOKUP(B103,Write_Bytes_ps!B:F,4,FALSE)/1024/1024,"")</f>
        <v/>
      </c>
      <c r="X103" s="8" t="str">
        <f>IFERROR(VLOOKUP(B103,Read_Bytes_ps!B:F,4,FALSE)/1024/1024,"")</f>
        <v/>
      </c>
      <c r="Y103" s="8" t="str">
        <f>IFERROR(VLOOKUP(B103,Writes_ps!B:F,5,FALSE),"")</f>
        <v/>
      </c>
      <c r="Z103" s="8" t="str">
        <f>IFERROR(VLOOKUP(B103,Reads_ps!B:F,5,FALSE),"")</f>
        <v/>
      </c>
      <c r="AA103" s="8">
        <f t="shared" si="39"/>
        <v>0</v>
      </c>
      <c r="AB103" s="122">
        <f t="shared" si="40"/>
        <v>0</v>
      </c>
      <c r="AC103" s="122" t="str">
        <f t="shared" si="27"/>
        <v>A4m v2</v>
      </c>
      <c r="AE103" s="8" t="str">
        <f>IFERROR(VLOOKUP(AD103,'Web-SKUS'!A:E,2,FALSE),"")</f>
        <v/>
      </c>
      <c r="AF103" s="8">
        <f>_xlfn.NUMBERVALUE(IFERROR(VLOOKUP(AD103,'Web-SKUS'!A:E,4,FALSE),""))</f>
        <v>0</v>
      </c>
      <c r="AG103" s="8">
        <f>IFERROR(VLOOKUP(AD103,VM_Performance_Stats!A:G,7,FALSE),0)</f>
        <v>0</v>
      </c>
      <c r="AH103" s="8" t="str">
        <f>IFERROR(VLOOKUP(AD103,VM_Performance_Stats!A:I,8,FALSE),"")</f>
        <v/>
      </c>
      <c r="AI103" s="8">
        <f t="shared" si="28"/>
        <v>1</v>
      </c>
      <c r="AJ103" s="8">
        <f t="shared" si="29"/>
        <v>0</v>
      </c>
      <c r="AK103" s="8">
        <f>IFERROR(IF(VLOOKUP(AD103,VM_Performance_Stats!A:I,8,FALSE)&gt;AB103,1,0),0)</f>
        <v>0</v>
      </c>
      <c r="AL103" t="str">
        <f>IFERROR(VLOOKUP(AD103,'Web-SKUS'!A:G,7,FALSE),"")</f>
        <v/>
      </c>
      <c r="AM103" s="116" t="str">
        <f t="shared" si="30"/>
        <v/>
      </c>
      <c r="AN103" t="str">
        <f>IFERROR(IF(C103=1,VLOOKUP(K103,'Web-SKUS'!A:G,7,FALSE),VLOOKUP(K103,'Web-SKUS'!A:G,6,FALSE)),"")</f>
        <v>£141.4597/month</v>
      </c>
      <c r="AO103" s="116">
        <f t="shared" si="31"/>
        <v>141.4597</v>
      </c>
      <c r="AP103" s="116">
        <f t="shared" si="32"/>
        <v>141.4597</v>
      </c>
      <c r="AQ103" s="115">
        <f t="shared" si="33"/>
        <v>0</v>
      </c>
      <c r="AR103" s="115">
        <f t="shared" si="34"/>
        <v>0</v>
      </c>
      <c r="AS103" s="115" t="e">
        <f>VLOOKUP(B103,'Willie List'!B:M,12,FALSE)</f>
        <v>#N/A</v>
      </c>
      <c r="AT103" s="115" t="str">
        <f t="shared" si="35"/>
        <v>Standard_A4m_v2</v>
      </c>
      <c r="AU103" s="115" t="str">
        <f t="shared" si="36"/>
        <v>A4m v2</v>
      </c>
      <c r="AV103">
        <f t="shared" si="37"/>
        <v>0</v>
      </c>
      <c r="AW103" s="8">
        <f t="shared" si="38"/>
        <v>0</v>
      </c>
    </row>
    <row r="104" spans="1:49">
      <c r="B104" t="s">
        <v>384</v>
      </c>
      <c r="C104" s="8">
        <f>IFERROR(IF(VLOOKUP(B104,'Willie List'!B:B,1,FALSE) &lt;&gt; "",1,0),0)</f>
        <v>0</v>
      </c>
      <c r="D104" s="8"/>
      <c r="E104" t="s">
        <v>95</v>
      </c>
      <c r="F104" t="s">
        <v>385</v>
      </c>
      <c r="G104" t="s">
        <v>152</v>
      </c>
      <c r="H104" t="s">
        <v>153</v>
      </c>
      <c r="I104" t="s">
        <v>154</v>
      </c>
      <c r="J104" t="s">
        <v>22</v>
      </c>
      <c r="K104" s="8" t="str">
        <f t="shared" si="41"/>
        <v>B2ms</v>
      </c>
      <c r="L104" s="8">
        <f>VLOOKUP(K104,'Web-SKUS'!A:E,2,FALSE)</f>
        <v>2</v>
      </c>
      <c r="M104" s="8" t="str">
        <f>VLOOKUP(K104,'Web-SKUS'!A:E,4,FALSE)</f>
        <v>8</v>
      </c>
      <c r="N104" t="s">
        <v>277</v>
      </c>
      <c r="O104" s="8">
        <v>1</v>
      </c>
      <c r="P104" t="s">
        <v>157</v>
      </c>
      <c r="Q104">
        <f>IFERROR(VLOOKUP(B104,PercentCPU!B:F,4,FALSE),"")</f>
        <v>8.5287735848466149</v>
      </c>
      <c r="R104">
        <f>IFERROR(VLOOKUP(B104,MemoryAvailable!B:F,3,FALSE),"")</f>
        <v>6330.2859800213091</v>
      </c>
      <c r="S104" s="2">
        <f t="shared" si="21"/>
        <v>0.22726001220443004</v>
      </c>
      <c r="T104">
        <f t="shared" si="22"/>
        <v>1</v>
      </c>
      <c r="U104" s="8">
        <f t="shared" si="23"/>
        <v>2</v>
      </c>
      <c r="V104" s="8" t="str">
        <f t="shared" si="24"/>
        <v>F Series</v>
      </c>
      <c r="W104" s="8">
        <f>IFERROR(VLOOKUP(B104,Write_Bytes_ps!B:F,4,FALSE)/1024/1024,"")</f>
        <v>0</v>
      </c>
      <c r="X104" s="8">
        <f>IFERROR(VLOOKUP(B104,Read_Bytes_ps!B:F,4,FALSE)/1024/1024,"")</f>
        <v>0</v>
      </c>
      <c r="Y104" s="8">
        <f>IFERROR(VLOOKUP(B104,Writes_ps!B:F,5,FALSE),"")</f>
        <v>0.100005036646999</v>
      </c>
      <c r="Z104" s="8">
        <f>IFERROR(VLOOKUP(B104,Reads_ps!B:F,5,FALSE),"")</f>
        <v>0</v>
      </c>
      <c r="AA104" s="8">
        <f t="shared" si="39"/>
        <v>0</v>
      </c>
      <c r="AB104" s="122">
        <f t="shared" si="40"/>
        <v>1</v>
      </c>
      <c r="AC104" s="122" t="str">
        <f t="shared" si="27"/>
        <v>B2ms</v>
      </c>
      <c r="AD104" s="8" t="s">
        <v>290</v>
      </c>
      <c r="AE104" s="8">
        <f>IFERROR(VLOOKUP(AD104,'Web-SKUS'!A:E,2,FALSE),"")</f>
        <v>2</v>
      </c>
      <c r="AF104" s="8">
        <f>_xlfn.NUMBERVALUE(IFERROR(VLOOKUP(AD104,'Web-SKUS'!A:E,4,FALSE),""))</f>
        <v>4</v>
      </c>
      <c r="AG104" s="8">
        <f>IFERROR(VLOOKUP(AD104,VM_Performance_Stats!A:G,7,FALSE),0)</f>
        <v>4</v>
      </c>
      <c r="AH104" s="8">
        <f>IFERROR(VLOOKUP(AD104,VM_Performance_Stats!A:I,8,FALSE),"")</f>
        <v>3200</v>
      </c>
      <c r="AI104" s="8">
        <f t="shared" si="28"/>
        <v>1</v>
      </c>
      <c r="AJ104" s="8">
        <f t="shared" si="29"/>
        <v>1</v>
      </c>
      <c r="AK104" s="8">
        <f>IFERROR(IF(VLOOKUP(AD104,VM_Performance_Stats!A:I,8,FALSE)&gt;AB104,1,0),0)</f>
        <v>1</v>
      </c>
      <c r="AL104" t="str">
        <f>IFERROR(VLOOKUP(AD104,'Web-SKUS'!A:G,7,FALSE),"")</f>
        <v>£31.2409/month</v>
      </c>
      <c r="AM104" s="116">
        <f t="shared" si="30"/>
        <v>31.2409</v>
      </c>
      <c r="AN104" t="str">
        <f>IFERROR(IF(C104=1,VLOOKUP(K104,'Web-SKUS'!A:G,7,FALSE),VLOOKUP(K104,'Web-SKUS'!A:G,6,FALSE)),"")</f>
        <v>£52.2313/month</v>
      </c>
      <c r="AO104" s="116">
        <f t="shared" si="31"/>
        <v>52.231299999999997</v>
      </c>
      <c r="AP104" s="116">
        <f t="shared" si="32"/>
        <v>31.2409</v>
      </c>
      <c r="AQ104" s="115">
        <f t="shared" si="33"/>
        <v>20.990399999999998</v>
      </c>
      <c r="AR104" s="115">
        <f t="shared" si="34"/>
        <v>251.88479999999998</v>
      </c>
      <c r="AS104" s="115" t="e">
        <f>VLOOKUP(B104,'Willie List'!B:M,12,FALSE)</f>
        <v>#N/A</v>
      </c>
      <c r="AT104" s="115" t="str">
        <f t="shared" si="35"/>
        <v>Standard_B2ms</v>
      </c>
      <c r="AU104" s="115" t="str">
        <f t="shared" si="36"/>
        <v>B2ms</v>
      </c>
      <c r="AV104" t="str">
        <f t="shared" si="37"/>
        <v>F2s v2</v>
      </c>
      <c r="AW104" s="8">
        <f t="shared" si="38"/>
        <v>0</v>
      </c>
    </row>
    <row r="105" spans="1:49">
      <c r="B105" t="s">
        <v>386</v>
      </c>
      <c r="C105" s="8">
        <f>IFERROR(IF(VLOOKUP(B105,'Willie List'!B:B,1,FALSE) &lt;&gt; "",1,0),0)</f>
        <v>0</v>
      </c>
      <c r="D105" s="8"/>
      <c r="E105" t="s">
        <v>97</v>
      </c>
      <c r="F105" t="s">
        <v>387</v>
      </c>
      <c r="G105" t="s">
        <v>152</v>
      </c>
      <c r="H105" t="s">
        <v>153</v>
      </c>
      <c r="I105" t="s">
        <v>154</v>
      </c>
      <c r="J105" t="s">
        <v>22</v>
      </c>
      <c r="K105" s="8" t="str">
        <f t="shared" si="41"/>
        <v>B2ms</v>
      </c>
      <c r="L105" s="8">
        <f>VLOOKUP(K105,'Web-SKUS'!A:E,2,FALSE)</f>
        <v>2</v>
      </c>
      <c r="M105" s="8" t="str">
        <f>VLOOKUP(K105,'Web-SKUS'!A:E,4,FALSE)</f>
        <v>8</v>
      </c>
      <c r="N105" t="s">
        <v>277</v>
      </c>
      <c r="O105" s="8">
        <v>1</v>
      </c>
      <c r="P105" t="s">
        <v>157</v>
      </c>
      <c r="Q105">
        <f>IFERROR(VLOOKUP(B105,PercentCPU!B:F,4,FALSE),"")</f>
        <v>8.6643042957064225</v>
      </c>
      <c r="R105">
        <f>IFERROR(VLOOKUP(B105,MemoryAvailable!B:F,3,FALSE),"")</f>
        <v>6431.818509941435</v>
      </c>
      <c r="S105" s="2">
        <f t="shared" si="21"/>
        <v>0.21486590454816468</v>
      </c>
      <c r="T105">
        <f t="shared" si="22"/>
        <v>1</v>
      </c>
      <c r="U105" s="8">
        <f t="shared" si="23"/>
        <v>2</v>
      </c>
      <c r="V105" s="8" t="str">
        <f t="shared" si="24"/>
        <v>F Series</v>
      </c>
      <c r="W105" s="8">
        <f>IFERROR(VLOOKUP(B105,Write_Bytes_ps!B:F,4,FALSE)/1024/1024,"")</f>
        <v>0</v>
      </c>
      <c r="X105" s="8">
        <f>IFERROR(VLOOKUP(B105,Read_Bytes_ps!B:F,4,FALSE)/1024/1024,"")</f>
        <v>0</v>
      </c>
      <c r="Y105" s="8">
        <f>IFERROR(VLOOKUP(B105,Writes_ps!B:F,5,FALSE),"")</f>
        <v>0.13333428003561101</v>
      </c>
      <c r="Z105" s="8">
        <f>IFERROR(VLOOKUP(B105,Reads_ps!B:F,5,FALSE),"")</f>
        <v>0.133332500967419</v>
      </c>
      <c r="AA105" s="8">
        <f t="shared" si="39"/>
        <v>0</v>
      </c>
      <c r="AB105" s="122">
        <f t="shared" si="40"/>
        <v>1</v>
      </c>
      <c r="AC105" s="122" t="str">
        <f t="shared" si="27"/>
        <v>B2ms</v>
      </c>
      <c r="AD105" s="8" t="s">
        <v>290</v>
      </c>
      <c r="AE105" s="8">
        <f>IFERROR(VLOOKUP(AD105,'Web-SKUS'!A:E,2,FALSE),"")</f>
        <v>2</v>
      </c>
      <c r="AF105" s="8">
        <f>_xlfn.NUMBERVALUE(IFERROR(VLOOKUP(AD105,'Web-SKUS'!A:E,4,FALSE),""))</f>
        <v>4</v>
      </c>
      <c r="AG105" s="8">
        <f>IFERROR(VLOOKUP(AD105,VM_Performance_Stats!A:G,7,FALSE),0)</f>
        <v>4</v>
      </c>
      <c r="AH105" s="8">
        <f>IFERROR(VLOOKUP(AD105,VM_Performance_Stats!A:I,8,FALSE),"")</f>
        <v>3200</v>
      </c>
      <c r="AI105" s="8">
        <f t="shared" si="28"/>
        <v>1</v>
      </c>
      <c r="AJ105" s="8">
        <f t="shared" si="29"/>
        <v>1</v>
      </c>
      <c r="AK105" s="8">
        <f>IFERROR(IF(VLOOKUP(AD105,VM_Performance_Stats!A:I,8,FALSE)&gt;AB105,1,0),0)</f>
        <v>1</v>
      </c>
      <c r="AL105" t="str">
        <f>IFERROR(VLOOKUP(AD105,'Web-SKUS'!A:G,7,FALSE),"")</f>
        <v>£31.2409/month</v>
      </c>
      <c r="AM105" s="116">
        <f t="shared" si="30"/>
        <v>31.2409</v>
      </c>
      <c r="AN105" t="str">
        <f>IFERROR(IF(C105=1,VLOOKUP(K105,'Web-SKUS'!A:G,7,FALSE),VLOOKUP(K105,'Web-SKUS'!A:G,6,FALSE)),"")</f>
        <v>£52.2313/month</v>
      </c>
      <c r="AO105" s="116">
        <f t="shared" si="31"/>
        <v>52.231299999999997</v>
      </c>
      <c r="AP105" s="116">
        <f t="shared" si="32"/>
        <v>31.2409</v>
      </c>
      <c r="AQ105" s="115">
        <f t="shared" si="33"/>
        <v>20.990399999999998</v>
      </c>
      <c r="AR105" s="115">
        <f t="shared" si="34"/>
        <v>251.88479999999998</v>
      </c>
      <c r="AS105" s="115" t="e">
        <f>VLOOKUP(B105,'Willie List'!B:M,12,FALSE)</f>
        <v>#N/A</v>
      </c>
      <c r="AT105" s="115" t="str">
        <f t="shared" si="35"/>
        <v>Standard_B2ms</v>
      </c>
      <c r="AU105" s="115" t="str">
        <f t="shared" si="36"/>
        <v>B2ms</v>
      </c>
      <c r="AV105" t="str">
        <f t="shared" si="37"/>
        <v>F2s v2</v>
      </c>
      <c r="AW105" s="8">
        <f t="shared" si="38"/>
        <v>0</v>
      </c>
    </row>
    <row r="106" spans="1:49">
      <c r="A106" t="s">
        <v>309</v>
      </c>
      <c r="B106" s="238" t="s">
        <v>388</v>
      </c>
      <c r="C106" s="239">
        <f>IFERROR(IF(VLOOKUP(B106,'Willie List'!B:B,1,FALSE) &lt;&gt; "",1,0),0)</f>
        <v>1</v>
      </c>
      <c r="D106" s="239"/>
      <c r="E106" s="238" t="s">
        <v>101</v>
      </c>
      <c r="F106" s="238" t="s">
        <v>389</v>
      </c>
      <c r="G106" s="238" t="s">
        <v>297</v>
      </c>
      <c r="H106" s="238" t="s">
        <v>153</v>
      </c>
      <c r="I106" s="238" t="s">
        <v>276</v>
      </c>
      <c r="J106" s="238" t="s">
        <v>57</v>
      </c>
      <c r="K106" s="239" t="str">
        <f t="shared" si="41"/>
        <v>D4ds v4</v>
      </c>
      <c r="L106" s="239">
        <f>VLOOKUP(K106,'Web-SKUS'!A:E,2,FALSE)</f>
        <v>4</v>
      </c>
      <c r="M106" s="239" t="str">
        <f>VLOOKUP(K106,'Web-SKUS'!A:E,4,FALSE)</f>
        <v>16</v>
      </c>
      <c r="N106" s="238" t="s">
        <v>277</v>
      </c>
      <c r="O106" s="239">
        <v>2</v>
      </c>
      <c r="P106" s="238" t="s">
        <v>157</v>
      </c>
      <c r="Q106" s="238">
        <f>IFERROR(VLOOKUP(B106,PercentCPU!B:F,4,FALSE),"")</f>
        <v>42.003888716965015</v>
      </c>
      <c r="R106" s="238">
        <f>IFERROR(VLOOKUP(B106,MemoryAvailable!B:F,3,FALSE),"")</f>
        <v>8189.4503017729157</v>
      </c>
      <c r="S106" s="240">
        <f t="shared" si="21"/>
        <v>0.50015562122968049</v>
      </c>
      <c r="T106" s="238">
        <f t="shared" si="22"/>
        <v>2</v>
      </c>
      <c r="U106" s="239">
        <f t="shared" si="23"/>
        <v>8</v>
      </c>
      <c r="V106" s="239" t="str">
        <f t="shared" si="24"/>
        <v>D Series</v>
      </c>
      <c r="W106" s="8">
        <f>IFERROR(VLOOKUP(B106,Write_Bytes_ps!B:F,4,FALSE)/1024/1024,"")</f>
        <v>0.84649420716067336</v>
      </c>
      <c r="X106" s="8">
        <f>IFERROR(VLOOKUP(B106,Read_Bytes_ps!B:F,4,FALSE)/1024/1024,"")</f>
        <v>0.51152554055645172</v>
      </c>
      <c r="Y106" s="8">
        <f>IFERROR(VLOOKUP(B106,Writes_ps!B:F,5,FALSE),"")</f>
        <v>486.31607055664102</v>
      </c>
      <c r="Z106" s="8">
        <f>IFERROR(VLOOKUP(B106,Reads_ps!B:F,5,FALSE),"")</f>
        <v>468.74649047851602</v>
      </c>
      <c r="AA106" s="241">
        <f t="shared" si="39"/>
        <v>1.3580197477171252</v>
      </c>
      <c r="AB106" s="242">
        <f t="shared" si="40"/>
        <v>956</v>
      </c>
      <c r="AC106" s="242" t="str">
        <f t="shared" si="27"/>
        <v>D4ds v4</v>
      </c>
      <c r="AD106" s="239"/>
      <c r="AE106" s="239" t="str">
        <f>IFERROR(VLOOKUP(AD106,'Web-SKUS'!A:E,2,FALSE),"")</f>
        <v/>
      </c>
      <c r="AF106" s="239">
        <f>_xlfn.NUMBERVALUE(IFERROR(VLOOKUP(AD106,'Web-SKUS'!A:E,4,FALSE),""))</f>
        <v>0</v>
      </c>
      <c r="AG106" s="239">
        <f>IFERROR(VLOOKUP(AD106,VM_Performance_Stats!A:G,7,FALSE),0)</f>
        <v>0</v>
      </c>
      <c r="AH106" s="239" t="str">
        <f>IFERROR(VLOOKUP(AD106,VM_Performance_Stats!A:I,8,FALSE),"")</f>
        <v/>
      </c>
      <c r="AI106" s="239">
        <f t="shared" si="28"/>
        <v>0</v>
      </c>
      <c r="AJ106" s="239">
        <f t="shared" si="29"/>
        <v>0</v>
      </c>
      <c r="AK106" s="239">
        <f>IFERROR(IF(VLOOKUP(AD106,VM_Performance_Stats!A:I,8,FALSE)&gt;AB106,1,0),0)</f>
        <v>0</v>
      </c>
      <c r="AL106" t="str">
        <f>IFERROR(VLOOKUP(AD106,'Web-SKUS'!A:G,7,FALSE),"")</f>
        <v/>
      </c>
      <c r="AM106" s="243" t="str">
        <f t="shared" si="30"/>
        <v/>
      </c>
      <c r="AN106" t="str">
        <f>IFERROR(IF(C106=1,VLOOKUP(K106,'Web-SKUS'!A:G,7,FALSE),VLOOKUP(K106,'Web-SKUS'!A:G,6,FALSE)),"")</f>
        <v>£87.3242/month</v>
      </c>
      <c r="AO106" s="243">
        <f t="shared" si="31"/>
        <v>87.324200000000005</v>
      </c>
      <c r="AP106" s="243">
        <f t="shared" si="32"/>
        <v>87.324200000000005</v>
      </c>
      <c r="AQ106" s="244">
        <f t="shared" si="33"/>
        <v>0</v>
      </c>
      <c r="AR106" s="115">
        <f t="shared" si="34"/>
        <v>0</v>
      </c>
      <c r="AS106" s="115" t="str">
        <f>VLOOKUP(B106,'Willie List'!B:M,12,FALSE)</f>
        <v>YES</v>
      </c>
      <c r="AT106" s="115" t="str">
        <f t="shared" si="35"/>
        <v>Standard_D4ds_v4</v>
      </c>
      <c r="AU106" s="115" t="str">
        <f t="shared" si="36"/>
        <v>D4ds v4</v>
      </c>
      <c r="AV106">
        <f t="shared" si="37"/>
        <v>0</v>
      </c>
      <c r="AW106" s="8">
        <f t="shared" si="38"/>
        <v>0</v>
      </c>
    </row>
    <row r="107" spans="1:49">
      <c r="B107" t="s">
        <v>390</v>
      </c>
      <c r="C107" s="8">
        <f>IFERROR(IF(VLOOKUP(B107,'Willie List'!B:B,1,FALSE) &lt;&gt; "",1,0),0)</f>
        <v>0</v>
      </c>
      <c r="D107" s="8"/>
      <c r="E107" t="s">
        <v>101</v>
      </c>
      <c r="F107" t="s">
        <v>287</v>
      </c>
      <c r="G107" t="s">
        <v>152</v>
      </c>
      <c r="H107" t="s">
        <v>153</v>
      </c>
      <c r="I107" t="s">
        <v>276</v>
      </c>
      <c r="J107" t="s">
        <v>289</v>
      </c>
      <c r="K107" s="8" t="str">
        <f t="shared" si="41"/>
        <v>D4s v4</v>
      </c>
      <c r="L107" s="8">
        <f>VLOOKUP(K107,'Web-SKUS'!A:E,2,FALSE)</f>
        <v>4</v>
      </c>
      <c r="M107" s="8" t="str">
        <f>VLOOKUP(K107,'Web-SKUS'!A:E,4,FALSE)</f>
        <v>16</v>
      </c>
      <c r="N107" t="s">
        <v>277</v>
      </c>
      <c r="O107" s="8">
        <v>1</v>
      </c>
      <c r="P107" t="s">
        <v>157</v>
      </c>
      <c r="Q107">
        <f>IFERROR(VLOOKUP(B107,PercentCPU!B:F,4,FALSE),"")</f>
        <v>7.9515227407320221</v>
      </c>
      <c r="R107">
        <f>IFERROR(VLOOKUP(B107,MemoryAvailable!B:F,3,FALSE),"")</f>
        <v>11145.645906970169</v>
      </c>
      <c r="S107" s="2">
        <f t="shared" si="21"/>
        <v>0.31972376056090279</v>
      </c>
      <c r="T107">
        <f t="shared" si="22"/>
        <v>1</v>
      </c>
      <c r="U107" s="8">
        <f t="shared" si="23"/>
        <v>5</v>
      </c>
      <c r="V107" s="8">
        <f t="shared" si="24"/>
        <v>0</v>
      </c>
      <c r="W107" s="8">
        <f>IFERROR(VLOOKUP(B107,Write_Bytes_ps!B:F,4,FALSE)/1024/1024,"")</f>
        <v>0.1701174389385133</v>
      </c>
      <c r="X107" s="8">
        <f>IFERROR(VLOOKUP(B107,Read_Bytes_ps!B:F,4,FALSE)/1024/1024,"")</f>
        <v>0.16505540804011004</v>
      </c>
      <c r="Y107" s="8">
        <f>IFERROR(VLOOKUP(B107,Writes_ps!B:F,5,FALSE),"")</f>
        <v>119.791938781738</v>
      </c>
      <c r="Z107" s="8">
        <f>IFERROR(VLOOKUP(B107,Reads_ps!B:F,5,FALSE),"")</f>
        <v>752.37847900390602</v>
      </c>
      <c r="AA107" s="8">
        <f t="shared" si="39"/>
        <v>0.33517284697862337</v>
      </c>
      <c r="AB107" s="122">
        <f t="shared" si="40"/>
        <v>873</v>
      </c>
      <c r="AC107" s="122" t="str">
        <f t="shared" si="27"/>
        <v>D4s v4</v>
      </c>
      <c r="AE107" s="8" t="str">
        <f>IFERROR(VLOOKUP(AD107,'Web-SKUS'!A:E,2,FALSE),"")</f>
        <v/>
      </c>
      <c r="AF107" s="8">
        <f>_xlfn.NUMBERVALUE(IFERROR(VLOOKUP(AD107,'Web-SKUS'!A:E,4,FALSE),""))</f>
        <v>0</v>
      </c>
      <c r="AG107" s="8">
        <f>IFERROR(VLOOKUP(AD107,VM_Performance_Stats!A:G,7,FALSE),0)</f>
        <v>0</v>
      </c>
      <c r="AH107" s="8" t="str">
        <f>IFERROR(VLOOKUP(AD107,VM_Performance_Stats!A:I,8,FALSE),"")</f>
        <v/>
      </c>
      <c r="AI107" s="8">
        <f t="shared" si="28"/>
        <v>0</v>
      </c>
      <c r="AJ107" s="8">
        <f t="shared" si="29"/>
        <v>0</v>
      </c>
      <c r="AK107" s="8">
        <f>IFERROR(IF(VLOOKUP(AD107,VM_Performance_Stats!A:I,8,FALSE)&gt;AB107,1,0),0)</f>
        <v>0</v>
      </c>
      <c r="AL107" t="str">
        <f>IFERROR(VLOOKUP(AD107,'Web-SKUS'!A:G,7,FALSE),"")</f>
        <v/>
      </c>
      <c r="AM107" s="116" t="str">
        <f t="shared" si="30"/>
        <v/>
      </c>
      <c r="AN107" t="str">
        <f>IFERROR(IF(C107=1,VLOOKUP(K107,'Web-SKUS'!A:G,7,FALSE),VLOOKUP(K107,'Web-SKUS'!A:G,6,FALSE)),"")</f>
        <v>£125.1374/month</v>
      </c>
      <c r="AO107" s="116">
        <f t="shared" si="31"/>
        <v>125.1374</v>
      </c>
      <c r="AP107" s="116">
        <f t="shared" si="32"/>
        <v>125.1374</v>
      </c>
      <c r="AQ107" s="115">
        <f t="shared" si="33"/>
        <v>0</v>
      </c>
      <c r="AR107" s="115">
        <f t="shared" si="34"/>
        <v>0</v>
      </c>
      <c r="AS107" s="115" t="e">
        <f>VLOOKUP(B107,'Willie List'!B:M,12,FALSE)</f>
        <v>#N/A</v>
      </c>
      <c r="AT107" s="115" t="str">
        <f t="shared" si="35"/>
        <v>Standard_D4s_v4</v>
      </c>
      <c r="AU107" s="115" t="str">
        <f t="shared" si="36"/>
        <v>D4s v4</v>
      </c>
      <c r="AV107">
        <f t="shared" si="37"/>
        <v>0</v>
      </c>
      <c r="AW107" s="8">
        <f t="shared" si="38"/>
        <v>0</v>
      </c>
    </row>
    <row r="108" spans="1:49">
      <c r="B108" t="s">
        <v>391</v>
      </c>
      <c r="C108" s="8">
        <f>IFERROR(IF(VLOOKUP(B108,'Willie List'!B:B,1,FALSE) &lt;&gt; "",1,0),0)</f>
        <v>0</v>
      </c>
      <c r="D108" s="8"/>
      <c r="E108" t="s">
        <v>97</v>
      </c>
      <c r="F108" t="s">
        <v>294</v>
      </c>
      <c r="G108" t="s">
        <v>152</v>
      </c>
      <c r="H108" t="s">
        <v>153</v>
      </c>
      <c r="I108" t="s">
        <v>276</v>
      </c>
      <c r="J108" t="s">
        <v>57</v>
      </c>
      <c r="K108" s="8" t="str">
        <f t="shared" si="41"/>
        <v>D4ds v4</v>
      </c>
      <c r="L108" s="8">
        <f>VLOOKUP(K108,'Web-SKUS'!A:E,2,FALSE)</f>
        <v>4</v>
      </c>
      <c r="M108" s="8" t="str">
        <f>VLOOKUP(K108,'Web-SKUS'!A:E,4,FALSE)</f>
        <v>16</v>
      </c>
      <c r="N108" t="s">
        <v>277</v>
      </c>
      <c r="O108" s="8">
        <v>1</v>
      </c>
      <c r="P108" t="s">
        <v>157</v>
      </c>
      <c r="Q108">
        <f>IFERROR(VLOOKUP(B108,PercentCPU!B:F,4,FALSE),"")</f>
        <v>2.1555984972270061</v>
      </c>
      <c r="R108">
        <f>IFERROR(VLOOKUP(B108,MemoryAvailable!B:F,3,FALSE),"")</f>
        <v>11745.424052570836</v>
      </c>
      <c r="S108" s="2">
        <f t="shared" si="21"/>
        <v>0.28311620772883084</v>
      </c>
      <c r="T108">
        <f t="shared" si="22"/>
        <v>1</v>
      </c>
      <c r="U108" s="8">
        <f t="shared" si="23"/>
        <v>5</v>
      </c>
      <c r="V108" s="8">
        <f t="shared" si="24"/>
        <v>0</v>
      </c>
      <c r="W108" s="8">
        <f>IFERROR(VLOOKUP(B108,Write_Bytes_ps!B:F,4,FALSE)/1024/1024,"")</f>
        <v>0.16043247017319365</v>
      </c>
      <c r="X108" s="8">
        <f>IFERROR(VLOOKUP(B108,Read_Bytes_ps!B:F,4,FALSE)/1024/1024,"")</f>
        <v>0.26472047211205313</v>
      </c>
      <c r="Y108" s="8">
        <f>IFERROR(VLOOKUP(B108,Writes_ps!B:F,5,FALSE),"")</f>
        <v>239.49566650390599</v>
      </c>
      <c r="Z108" s="8">
        <f>IFERROR(VLOOKUP(B108,Reads_ps!B:F,5,FALSE),"")</f>
        <v>43.1093940734863</v>
      </c>
      <c r="AA108" s="8">
        <f t="shared" si="39"/>
        <v>0.4251529422852468</v>
      </c>
      <c r="AB108" s="122">
        <f t="shared" si="40"/>
        <v>283</v>
      </c>
      <c r="AC108" s="122" t="str">
        <f t="shared" si="27"/>
        <v>D4ds v4</v>
      </c>
      <c r="AE108" s="8" t="str">
        <f>IFERROR(VLOOKUP(AD108,'Web-SKUS'!A:E,2,FALSE),"")</f>
        <v/>
      </c>
      <c r="AF108" s="8">
        <f>_xlfn.NUMBERVALUE(IFERROR(VLOOKUP(AD108,'Web-SKUS'!A:E,4,FALSE),""))</f>
        <v>0</v>
      </c>
      <c r="AG108" s="8">
        <f>IFERROR(VLOOKUP(AD108,VM_Performance_Stats!A:G,7,FALSE),0)</f>
        <v>0</v>
      </c>
      <c r="AH108" s="8" t="str">
        <f>IFERROR(VLOOKUP(AD108,VM_Performance_Stats!A:I,8,FALSE),"")</f>
        <v/>
      </c>
      <c r="AI108" s="8">
        <f t="shared" si="28"/>
        <v>0</v>
      </c>
      <c r="AJ108" s="8">
        <f t="shared" si="29"/>
        <v>0</v>
      </c>
      <c r="AK108" s="8">
        <f>IFERROR(IF(VLOOKUP(AD108,VM_Performance_Stats!A:I,8,FALSE)&gt;AB108,1,0),0)</f>
        <v>0</v>
      </c>
      <c r="AL108" t="str">
        <f>IFERROR(VLOOKUP(AD108,'Web-SKUS'!A:G,7,FALSE),"")</f>
        <v/>
      </c>
      <c r="AM108" s="116" t="str">
        <f t="shared" si="30"/>
        <v/>
      </c>
      <c r="AN108" t="str">
        <f>IFERROR(IF(C108=1,VLOOKUP(K108,'Web-SKUS'!A:G,7,FALSE),VLOOKUP(K108,'Web-SKUS'!A:G,6,FALSE)),"")</f>
        <v>£147.9886/month</v>
      </c>
      <c r="AO108" s="116">
        <f t="shared" si="31"/>
        <v>147.98859999999999</v>
      </c>
      <c r="AP108" s="116">
        <f t="shared" si="32"/>
        <v>147.98859999999999</v>
      </c>
      <c r="AQ108" s="115">
        <f t="shared" si="33"/>
        <v>0</v>
      </c>
      <c r="AR108" s="115">
        <f t="shared" si="34"/>
        <v>0</v>
      </c>
      <c r="AS108" s="115" t="e">
        <f>VLOOKUP(B108,'Willie List'!B:M,12,FALSE)</f>
        <v>#N/A</v>
      </c>
      <c r="AT108" s="115" t="str">
        <f t="shared" si="35"/>
        <v>Standard_D4ds_v4</v>
      </c>
      <c r="AU108" s="115" t="str">
        <f t="shared" si="36"/>
        <v>D4ds v4</v>
      </c>
      <c r="AV108">
        <f t="shared" si="37"/>
        <v>0</v>
      </c>
      <c r="AW108" s="8">
        <f t="shared" si="38"/>
        <v>0</v>
      </c>
    </row>
    <row r="109" spans="1:49">
      <c r="A109" t="s">
        <v>309</v>
      </c>
      <c r="B109" s="238" t="s">
        <v>392</v>
      </c>
      <c r="C109" s="239">
        <f>IFERROR(IF(VLOOKUP(B109,'Willie List'!B:B,1,FALSE) &lt;&gt; "",1,0),0)</f>
        <v>1</v>
      </c>
      <c r="D109" s="239"/>
      <c r="E109" s="238" t="s">
        <v>101</v>
      </c>
      <c r="F109" s="238" t="s">
        <v>389</v>
      </c>
      <c r="G109" s="238" t="s">
        <v>297</v>
      </c>
      <c r="H109" s="238" t="s">
        <v>153</v>
      </c>
      <c r="I109" s="238" t="s">
        <v>276</v>
      </c>
      <c r="J109" s="238" t="s">
        <v>57</v>
      </c>
      <c r="K109" s="239" t="str">
        <f t="shared" si="41"/>
        <v>D4ds v4</v>
      </c>
      <c r="L109" s="239">
        <f>VLOOKUP(K109,'Web-SKUS'!A:E,2,FALSE)</f>
        <v>4</v>
      </c>
      <c r="M109" s="239" t="str">
        <f>VLOOKUP(K109,'Web-SKUS'!A:E,4,FALSE)</f>
        <v>16</v>
      </c>
      <c r="N109" s="238" t="s">
        <v>277</v>
      </c>
      <c r="O109" s="239">
        <v>2</v>
      </c>
      <c r="P109" s="238" t="s">
        <v>157</v>
      </c>
      <c r="Q109" s="238">
        <f>IFERROR(VLOOKUP(B109,PercentCPU!B:F,4,FALSE),"")</f>
        <v>61.123054335079289</v>
      </c>
      <c r="R109" s="238">
        <f>IFERROR(VLOOKUP(B109,MemoryAvailable!B:F,3,FALSE),"")</f>
        <v>8098.2832296380093</v>
      </c>
      <c r="S109" s="240">
        <f t="shared" si="21"/>
        <v>0.50572001772228947</v>
      </c>
      <c r="T109" s="238">
        <f t="shared" si="22"/>
        <v>3</v>
      </c>
      <c r="U109" s="239">
        <f t="shared" si="23"/>
        <v>8</v>
      </c>
      <c r="V109" s="239">
        <f t="shared" si="24"/>
        <v>0</v>
      </c>
      <c r="W109" s="8">
        <f>IFERROR(VLOOKUP(B109,Write_Bytes_ps!B:F,4,FALSE)/1024/1024,"")</f>
        <v>1.5738651265363048</v>
      </c>
      <c r="X109" s="8">
        <f>IFERROR(VLOOKUP(B109,Read_Bytes_ps!B:F,4,FALSE)/1024/1024,"")</f>
        <v>0.51143387174272581</v>
      </c>
      <c r="Y109" s="8">
        <f>IFERROR(VLOOKUP(B109,Writes_ps!B:F,5,FALSE),"")</f>
        <v>492.44857788085898</v>
      </c>
      <c r="Z109" s="8">
        <f>IFERROR(VLOOKUP(B109,Reads_ps!B:F,5,FALSE),"")</f>
        <v>510.08407592773398</v>
      </c>
      <c r="AA109" s="241">
        <f t="shared" si="39"/>
        <v>2.0852989982790309</v>
      </c>
      <c r="AB109" s="242">
        <f t="shared" si="40"/>
        <v>1003</v>
      </c>
      <c r="AC109" s="242" t="str">
        <f t="shared" si="27"/>
        <v>D4ds v4</v>
      </c>
      <c r="AD109" s="239"/>
      <c r="AE109" s="239" t="str">
        <f>IFERROR(VLOOKUP(AD109,'Web-SKUS'!A:E,2,FALSE),"")</f>
        <v/>
      </c>
      <c r="AF109" s="239">
        <f>_xlfn.NUMBERVALUE(IFERROR(VLOOKUP(AD109,'Web-SKUS'!A:E,4,FALSE),""))</f>
        <v>0</v>
      </c>
      <c r="AG109" s="239">
        <f>IFERROR(VLOOKUP(AD109,VM_Performance_Stats!A:G,7,FALSE),0)</f>
        <v>0</v>
      </c>
      <c r="AH109" s="239" t="str">
        <f>IFERROR(VLOOKUP(AD109,VM_Performance_Stats!A:I,8,FALSE),"")</f>
        <v/>
      </c>
      <c r="AI109" s="239">
        <f t="shared" si="28"/>
        <v>0</v>
      </c>
      <c r="AJ109" s="239">
        <f t="shared" si="29"/>
        <v>0</v>
      </c>
      <c r="AK109" s="239">
        <f>IFERROR(IF(VLOOKUP(AD109,VM_Performance_Stats!A:I,8,FALSE)&gt;AB109,1,0),0)</f>
        <v>0</v>
      </c>
      <c r="AL109" t="str">
        <f>IFERROR(VLOOKUP(AD109,'Web-SKUS'!A:G,7,FALSE),"")</f>
        <v/>
      </c>
      <c r="AM109" s="243" t="str">
        <f t="shared" si="30"/>
        <v/>
      </c>
      <c r="AN109" t="str">
        <f>IFERROR(IF(C109=1,VLOOKUP(K109,'Web-SKUS'!A:G,7,FALSE),VLOOKUP(K109,'Web-SKUS'!A:G,6,FALSE)),"")</f>
        <v>£87.3242/month</v>
      </c>
      <c r="AO109" s="243">
        <f t="shared" si="31"/>
        <v>87.324200000000005</v>
      </c>
      <c r="AP109" s="243">
        <f t="shared" si="32"/>
        <v>87.324200000000005</v>
      </c>
      <c r="AQ109" s="244">
        <f t="shared" si="33"/>
        <v>0</v>
      </c>
      <c r="AR109" s="115">
        <f t="shared" si="34"/>
        <v>0</v>
      </c>
      <c r="AS109" s="115" t="str">
        <f>VLOOKUP(B109,'Willie List'!B:M,12,FALSE)</f>
        <v>YES</v>
      </c>
      <c r="AT109" s="115" t="str">
        <f t="shared" si="35"/>
        <v>Standard_D4ds_v4</v>
      </c>
      <c r="AU109" s="115" t="str">
        <f t="shared" si="36"/>
        <v>D4ds v4</v>
      </c>
      <c r="AV109">
        <f t="shared" si="37"/>
        <v>0</v>
      </c>
      <c r="AW109" s="8">
        <f t="shared" si="38"/>
        <v>0</v>
      </c>
    </row>
    <row r="110" spans="1:49" s="238" customFormat="1">
      <c r="A110" s="238" t="s">
        <v>393</v>
      </c>
      <c r="B110" s="238" t="s">
        <v>394</v>
      </c>
      <c r="C110" s="239">
        <f>IFERROR(IF(VLOOKUP(B110,'Willie List'!B:B,1,FALSE) &lt;&gt; "",1,0),0)</f>
        <v>1</v>
      </c>
      <c r="D110" s="239"/>
      <c r="E110" s="238" t="s">
        <v>101</v>
      </c>
      <c r="F110" s="238" t="s">
        <v>389</v>
      </c>
      <c r="G110" s="238" t="s">
        <v>297</v>
      </c>
      <c r="H110" s="238" t="s">
        <v>153</v>
      </c>
      <c r="I110" s="238" t="s">
        <v>276</v>
      </c>
      <c r="J110" s="238" t="s">
        <v>57</v>
      </c>
      <c r="K110" s="239" t="str">
        <f t="shared" si="41"/>
        <v>D4ds v4</v>
      </c>
      <c r="L110" s="239">
        <f>VLOOKUP(K110,'Web-SKUS'!A:E,2,FALSE)</f>
        <v>4</v>
      </c>
      <c r="M110" s="239" t="str">
        <f>VLOOKUP(K110,'Web-SKUS'!A:E,4,FALSE)</f>
        <v>16</v>
      </c>
      <c r="N110" s="238" t="s">
        <v>277</v>
      </c>
      <c r="O110" s="238">
        <v>2</v>
      </c>
      <c r="P110" s="238" t="s">
        <v>157</v>
      </c>
      <c r="Q110" s="238" t="str">
        <f>IFERROR(VLOOKUP(B110,PercentCPU!B:F,4,FALSE),"")</f>
        <v/>
      </c>
      <c r="R110" s="238" t="str">
        <f>IFERROR(VLOOKUP(B110,MemoryAvailable!B:F,3,FALSE),"")</f>
        <v/>
      </c>
      <c r="S110" s="240" t="str">
        <f t="shared" si="21"/>
        <v/>
      </c>
      <c r="T110" s="238" t="str">
        <f t="shared" si="22"/>
        <v/>
      </c>
      <c r="U110" s="239">
        <f t="shared" si="23"/>
        <v>0</v>
      </c>
      <c r="V110" s="239" t="str">
        <f t="shared" si="24"/>
        <v/>
      </c>
      <c r="W110" s="8" t="str">
        <f>IFERROR(VLOOKUP(B110,Write_Bytes_ps!B:F,4,FALSE)/1024/1024,"")</f>
        <v/>
      </c>
      <c r="X110" s="8" t="str">
        <f>IFERROR(VLOOKUP(B110,Read_Bytes_ps!B:F,4,FALSE)/1024/1024,"")</f>
        <v/>
      </c>
      <c r="Y110" s="8" t="str">
        <f>IFERROR(VLOOKUP(B110,Writes_ps!B:F,5,FALSE),"")</f>
        <v/>
      </c>
      <c r="Z110" s="8" t="str">
        <f>IFERROR(VLOOKUP(B110,Reads_ps!B:F,5,FALSE),"")</f>
        <v/>
      </c>
      <c r="AA110" s="241">
        <f t="shared" si="39"/>
        <v>0</v>
      </c>
      <c r="AB110" s="242">
        <f t="shared" si="40"/>
        <v>0</v>
      </c>
      <c r="AC110" s="242" t="str">
        <f t="shared" si="27"/>
        <v>D4ds v4</v>
      </c>
      <c r="AD110" s="239"/>
      <c r="AE110" s="239" t="str">
        <f>IFERROR(VLOOKUP(AD110,'Web-SKUS'!A:E,2,FALSE),"")</f>
        <v/>
      </c>
      <c r="AF110" s="239">
        <f>_xlfn.NUMBERVALUE(IFERROR(VLOOKUP(AD110,'Web-SKUS'!A:E,4,FALSE),""))</f>
        <v>0</v>
      </c>
      <c r="AG110" s="239">
        <f>IFERROR(VLOOKUP(AD110,VM_Performance_Stats!A:G,7,FALSE),0)</f>
        <v>0</v>
      </c>
      <c r="AH110" s="239" t="str">
        <f>IFERROR(VLOOKUP(AD110,VM_Performance_Stats!A:I,8,FALSE),"")</f>
        <v/>
      </c>
      <c r="AI110" s="239">
        <f t="shared" si="28"/>
        <v>1</v>
      </c>
      <c r="AJ110" s="239">
        <f t="shared" si="29"/>
        <v>0</v>
      </c>
      <c r="AK110" s="239">
        <f>IFERROR(IF(VLOOKUP(AD110,VM_Performance_Stats!A:I,8,FALSE)&gt;AB110,1,0),0)</f>
        <v>0</v>
      </c>
      <c r="AL110" t="str">
        <f>IFERROR(VLOOKUP(AD110,'Web-SKUS'!A:G,7,FALSE),"")</f>
        <v/>
      </c>
      <c r="AM110" s="243" t="str">
        <f t="shared" si="30"/>
        <v/>
      </c>
      <c r="AN110" t="str">
        <f>IFERROR(IF(C110=1,VLOOKUP(K110,'Web-SKUS'!A:G,7,FALSE),VLOOKUP(K110,'Web-SKUS'!A:G,6,FALSE)),"")</f>
        <v>£87.3242/month</v>
      </c>
      <c r="AO110" s="243">
        <f t="shared" si="31"/>
        <v>87.324200000000005</v>
      </c>
      <c r="AP110" s="243">
        <f t="shared" si="32"/>
        <v>87.324200000000005</v>
      </c>
      <c r="AQ110" s="244">
        <f t="shared" si="33"/>
        <v>0</v>
      </c>
      <c r="AR110" s="244">
        <f t="shared" si="34"/>
        <v>0</v>
      </c>
      <c r="AS110" s="244" t="str">
        <f>VLOOKUP(B110,'Willie List'!B:M,12,FALSE)</f>
        <v>YES</v>
      </c>
      <c r="AT110" s="244" t="str">
        <f t="shared" si="35"/>
        <v>Standard_D4ds_v4</v>
      </c>
      <c r="AU110" s="244" t="str">
        <f t="shared" si="36"/>
        <v>D4ds v4</v>
      </c>
      <c r="AV110" s="238">
        <f t="shared" si="37"/>
        <v>0</v>
      </c>
      <c r="AW110" s="239">
        <f t="shared" si="38"/>
        <v>0</v>
      </c>
    </row>
    <row r="111" spans="1:49" s="238" customFormat="1">
      <c r="A111" s="238" t="s">
        <v>395</v>
      </c>
      <c r="B111" s="238" t="s">
        <v>396</v>
      </c>
      <c r="C111" s="239">
        <f>IFERROR(IF(VLOOKUP(B111,'Willie List'!B:B,1,FALSE) &lt;&gt; "",1,0),0)</f>
        <v>1</v>
      </c>
      <c r="D111" s="239"/>
      <c r="E111" s="238" t="s">
        <v>101</v>
      </c>
      <c r="F111" s="238" t="s">
        <v>389</v>
      </c>
      <c r="G111" s="238" t="s">
        <v>297</v>
      </c>
      <c r="H111" s="238" t="s">
        <v>153</v>
      </c>
      <c r="I111" s="238" t="s">
        <v>276</v>
      </c>
      <c r="J111" s="238" t="s">
        <v>57</v>
      </c>
      <c r="K111" s="239" t="str">
        <f t="shared" si="41"/>
        <v>D4ds v4</v>
      </c>
      <c r="L111" s="239">
        <f>VLOOKUP(K111,'Web-SKUS'!A:E,2,FALSE)</f>
        <v>4</v>
      </c>
      <c r="M111" s="239" t="str">
        <f>VLOOKUP(K111,'Web-SKUS'!A:E,4,FALSE)</f>
        <v>16</v>
      </c>
      <c r="N111" s="238" t="s">
        <v>277</v>
      </c>
      <c r="O111" s="239">
        <v>2</v>
      </c>
      <c r="P111" s="238" t="s">
        <v>157</v>
      </c>
      <c r="Q111" s="238">
        <f>IFERROR(VLOOKUP(B111,PercentCPU!B:F,4,FALSE),"")</f>
        <v>39.64024844181494</v>
      </c>
      <c r="R111" s="238">
        <f>IFERROR(VLOOKUP(B111,MemoryAvailable!B:F,3,FALSE),"")</f>
        <v>8405.5798259885414</v>
      </c>
      <c r="S111" s="240">
        <f t="shared" si="21"/>
        <v>0.48696412194894156</v>
      </c>
      <c r="T111" s="238">
        <f t="shared" si="22"/>
        <v>2</v>
      </c>
      <c r="U111" s="239">
        <f t="shared" si="23"/>
        <v>8</v>
      </c>
      <c r="V111" s="239" t="str">
        <f t="shared" si="24"/>
        <v>D Series</v>
      </c>
      <c r="W111" s="8">
        <f>IFERROR(VLOOKUP(B111,Write_Bytes_ps!B:F,4,FALSE)/1024/1024,"")</f>
        <v>0.83886071338312185</v>
      </c>
      <c r="X111" s="8">
        <f>IFERROR(VLOOKUP(B111,Read_Bytes_ps!B:F,4,FALSE)/1024/1024,"")</f>
        <v>0.51167396138780941</v>
      </c>
      <c r="Y111" s="8">
        <f>IFERROR(VLOOKUP(B111,Writes_ps!B:F,5,FALSE),"")</f>
        <v>477.38058471679699</v>
      </c>
      <c r="Z111" s="8">
        <f>IFERROR(VLOOKUP(B111,Reads_ps!B:F,5,FALSE),"")</f>
        <v>632.96026611328102</v>
      </c>
      <c r="AA111" s="241">
        <f t="shared" si="39"/>
        <v>1.3505346747709313</v>
      </c>
      <c r="AB111" s="242">
        <f t="shared" si="40"/>
        <v>1111</v>
      </c>
      <c r="AC111" s="242" t="str">
        <f t="shared" si="27"/>
        <v>D4ds v4</v>
      </c>
      <c r="AD111" s="239"/>
      <c r="AE111" s="239" t="str">
        <f>IFERROR(VLOOKUP(AD111,'Web-SKUS'!A:E,2,FALSE),"")</f>
        <v/>
      </c>
      <c r="AF111" s="239">
        <f>_xlfn.NUMBERVALUE(IFERROR(VLOOKUP(AD111,'Web-SKUS'!A:E,4,FALSE),""))</f>
        <v>0</v>
      </c>
      <c r="AG111" s="239">
        <f>IFERROR(VLOOKUP(AD111,VM_Performance_Stats!A:G,7,FALSE),0)</f>
        <v>0</v>
      </c>
      <c r="AH111" s="239" t="str">
        <f>IFERROR(VLOOKUP(AD111,VM_Performance_Stats!A:I,8,FALSE),"")</f>
        <v/>
      </c>
      <c r="AI111" s="239">
        <f t="shared" si="28"/>
        <v>0</v>
      </c>
      <c r="AJ111" s="239">
        <f t="shared" si="29"/>
        <v>0</v>
      </c>
      <c r="AK111" s="239">
        <f>IFERROR(IF(VLOOKUP(AD111,VM_Performance_Stats!A:I,8,FALSE)&gt;AB111,1,0),0)</f>
        <v>0</v>
      </c>
      <c r="AL111" t="str">
        <f>IFERROR(VLOOKUP(AD111,'Web-SKUS'!A:G,7,FALSE),"")</f>
        <v/>
      </c>
      <c r="AM111" s="243" t="str">
        <f t="shared" si="30"/>
        <v/>
      </c>
      <c r="AN111" t="str">
        <f>IFERROR(IF(C111=1,VLOOKUP(K111,'Web-SKUS'!A:G,7,FALSE),VLOOKUP(K111,'Web-SKUS'!A:G,6,FALSE)),"")</f>
        <v>£87.3242/month</v>
      </c>
      <c r="AO111" s="243">
        <f t="shared" si="31"/>
        <v>87.324200000000005</v>
      </c>
      <c r="AP111" s="243">
        <f t="shared" si="32"/>
        <v>87.324200000000005</v>
      </c>
      <c r="AQ111" s="244">
        <f t="shared" si="33"/>
        <v>0</v>
      </c>
      <c r="AR111" s="244">
        <f t="shared" si="34"/>
        <v>0</v>
      </c>
      <c r="AS111" s="244" t="str">
        <f>VLOOKUP(B111,'Willie List'!B:M,12,FALSE)</f>
        <v>YES</v>
      </c>
      <c r="AT111" s="244" t="str">
        <f t="shared" si="35"/>
        <v>Standard_D4ds_v4</v>
      </c>
      <c r="AU111" s="244" t="str">
        <f t="shared" si="36"/>
        <v>D4ds v4</v>
      </c>
      <c r="AV111" s="238">
        <f t="shared" si="37"/>
        <v>0</v>
      </c>
      <c r="AW111" s="239">
        <f t="shared" si="38"/>
        <v>0</v>
      </c>
    </row>
    <row r="112" spans="1:49">
      <c r="B112" s="238" t="s">
        <v>397</v>
      </c>
      <c r="C112" s="239">
        <f>IFERROR(IF(VLOOKUP(B112,'Willie List'!B:B,1,FALSE) &lt;&gt; "",1,0),0)</f>
        <v>1</v>
      </c>
      <c r="D112" s="239"/>
      <c r="E112" s="238" t="s">
        <v>101</v>
      </c>
      <c r="F112" s="238" t="s">
        <v>389</v>
      </c>
      <c r="G112" s="238" t="s">
        <v>297</v>
      </c>
      <c r="H112" s="238" t="s">
        <v>153</v>
      </c>
      <c r="I112" s="238" t="s">
        <v>276</v>
      </c>
      <c r="J112" s="238" t="s">
        <v>57</v>
      </c>
      <c r="K112" s="239" t="str">
        <f t="shared" si="41"/>
        <v>D4ds v4</v>
      </c>
      <c r="L112" s="239">
        <f>VLOOKUP(K112,'Web-SKUS'!A:E,2,FALSE)</f>
        <v>4</v>
      </c>
      <c r="M112" s="239" t="str">
        <f>VLOOKUP(K112,'Web-SKUS'!A:E,4,FALSE)</f>
        <v>16</v>
      </c>
      <c r="N112" s="238" t="s">
        <v>277</v>
      </c>
      <c r="O112" s="239">
        <v>2</v>
      </c>
      <c r="P112" s="238" t="s">
        <v>157</v>
      </c>
      <c r="Q112" s="238">
        <f>IFERROR(VLOOKUP(B112,PercentCPU!B:F,4,FALSE),"")</f>
        <v>38.429496387453348</v>
      </c>
      <c r="R112" s="238">
        <f>IFERROR(VLOOKUP(B112,MemoryAvailable!B:F,3,FALSE),"")</f>
        <v>8269.7841584158414</v>
      </c>
      <c r="S112" s="240">
        <f t="shared" si="21"/>
        <v>0.49525243173731437</v>
      </c>
      <c r="T112" s="238">
        <f t="shared" si="22"/>
        <v>2</v>
      </c>
      <c r="U112" s="239">
        <f t="shared" si="23"/>
        <v>8</v>
      </c>
      <c r="V112" s="239" t="str">
        <f t="shared" si="24"/>
        <v>D Series</v>
      </c>
      <c r="W112" s="8">
        <f>IFERROR(VLOOKUP(B112,Write_Bytes_ps!B:F,4,FALSE)/1024/1024,"")</f>
        <v>0.85357903900243393</v>
      </c>
      <c r="X112" s="8">
        <f>IFERROR(VLOOKUP(B112,Read_Bytes_ps!B:F,4,FALSE)/1024/1024,"")</f>
        <v>0.51188820427630954</v>
      </c>
      <c r="Y112" s="8">
        <f>IFERROR(VLOOKUP(B112,Writes_ps!B:F,5,FALSE),"")</f>
        <v>534.07958984375</v>
      </c>
      <c r="Z112" s="8">
        <f>IFERROR(VLOOKUP(B112,Reads_ps!B:F,5,FALSE),"")</f>
        <v>782.58587646484398</v>
      </c>
      <c r="AA112" s="241">
        <f t="shared" si="39"/>
        <v>1.3654672432787436</v>
      </c>
      <c r="AB112" s="242">
        <f t="shared" si="40"/>
        <v>1317</v>
      </c>
      <c r="AC112" s="242" t="str">
        <f t="shared" si="27"/>
        <v>D4ds v4</v>
      </c>
      <c r="AD112" s="239"/>
      <c r="AE112" s="239" t="str">
        <f>IFERROR(VLOOKUP(AD112,'Web-SKUS'!A:E,2,FALSE),"")</f>
        <v/>
      </c>
      <c r="AF112" s="239">
        <f>_xlfn.NUMBERVALUE(IFERROR(VLOOKUP(AD112,'Web-SKUS'!A:E,4,FALSE),""))</f>
        <v>0</v>
      </c>
      <c r="AG112" s="239">
        <f>IFERROR(VLOOKUP(AD112,VM_Performance_Stats!A:G,7,FALSE),0)</f>
        <v>0</v>
      </c>
      <c r="AH112" s="239" t="str">
        <f>IFERROR(VLOOKUP(AD112,VM_Performance_Stats!A:I,8,FALSE),"")</f>
        <v/>
      </c>
      <c r="AI112" s="239">
        <f t="shared" si="28"/>
        <v>0</v>
      </c>
      <c r="AJ112" s="239">
        <f t="shared" si="29"/>
        <v>0</v>
      </c>
      <c r="AK112" s="239">
        <f>IFERROR(IF(VLOOKUP(AD112,VM_Performance_Stats!A:I,8,FALSE)&gt;AB112,1,0),0)</f>
        <v>0</v>
      </c>
      <c r="AL112" t="str">
        <f>IFERROR(VLOOKUP(AD112,'Web-SKUS'!A:G,7,FALSE),"")</f>
        <v/>
      </c>
      <c r="AM112" s="243" t="str">
        <f t="shared" si="30"/>
        <v/>
      </c>
      <c r="AN112" t="str">
        <f>IFERROR(IF(C112=1,VLOOKUP(K112,'Web-SKUS'!A:G,7,FALSE),VLOOKUP(K112,'Web-SKUS'!A:G,6,FALSE)),"")</f>
        <v>£87.3242/month</v>
      </c>
      <c r="AO112" s="243">
        <f t="shared" si="31"/>
        <v>87.324200000000005</v>
      </c>
      <c r="AP112" s="243">
        <f t="shared" si="32"/>
        <v>87.324200000000005</v>
      </c>
      <c r="AQ112" s="244">
        <f t="shared" si="33"/>
        <v>0</v>
      </c>
      <c r="AR112" s="115">
        <f t="shared" si="34"/>
        <v>0</v>
      </c>
      <c r="AS112" s="115" t="str">
        <f>VLOOKUP(B112,'Willie List'!B:M,12,FALSE)</f>
        <v>YES</v>
      </c>
      <c r="AT112" s="115" t="str">
        <f t="shared" si="35"/>
        <v>Standard_D4ds_v4</v>
      </c>
      <c r="AU112" s="115" t="str">
        <f t="shared" si="36"/>
        <v>D4ds v4</v>
      </c>
      <c r="AV112">
        <f t="shared" si="37"/>
        <v>0</v>
      </c>
      <c r="AW112" s="8">
        <f t="shared" si="38"/>
        <v>0</v>
      </c>
    </row>
    <row r="113" spans="1:49" s="238" customFormat="1">
      <c r="A113" s="238" t="s">
        <v>398</v>
      </c>
      <c r="B113" s="238" t="s">
        <v>399</v>
      </c>
      <c r="C113" s="239">
        <f>IFERROR(IF(VLOOKUP(B113,'Willie List'!B:B,1,FALSE) &lt;&gt; "",1,0),0)</f>
        <v>1</v>
      </c>
      <c r="D113" s="239"/>
      <c r="E113" s="238" t="s">
        <v>101</v>
      </c>
      <c r="F113" s="238" t="s">
        <v>400</v>
      </c>
      <c r="G113" s="238" t="s">
        <v>297</v>
      </c>
      <c r="H113" s="238" t="s">
        <v>153</v>
      </c>
      <c r="I113" s="238" t="s">
        <v>154</v>
      </c>
      <c r="J113" s="238" t="s">
        <v>22</v>
      </c>
      <c r="K113" s="239" t="str">
        <f t="shared" si="41"/>
        <v>B2ms</v>
      </c>
      <c r="L113" s="239">
        <f>VLOOKUP(K113,'Web-SKUS'!A:E,2,FALSE)</f>
        <v>2</v>
      </c>
      <c r="M113" s="239" t="str">
        <f>VLOOKUP(K113,'Web-SKUS'!A:E,4,FALSE)</f>
        <v>8</v>
      </c>
      <c r="N113" s="238" t="s">
        <v>277</v>
      </c>
      <c r="O113" s="239">
        <v>2</v>
      </c>
      <c r="P113" s="238" t="s">
        <v>157</v>
      </c>
      <c r="Q113" s="238">
        <f>IFERROR(VLOOKUP(B113,PercentCPU!B:F,4,FALSE),"")</f>
        <v>9.6942447461196384</v>
      </c>
      <c r="R113" s="238">
        <f>IFERROR(VLOOKUP(B113,MemoryAvailable!B:F,3,FALSE),"")</f>
        <v>6971.8127306969081</v>
      </c>
      <c r="S113" s="240">
        <f t="shared" si="21"/>
        <v>0.14894864127235008</v>
      </c>
      <c r="T113" s="238">
        <f t="shared" si="22"/>
        <v>1</v>
      </c>
      <c r="U113" s="239">
        <f t="shared" si="23"/>
        <v>1</v>
      </c>
      <c r="V113" s="239">
        <f t="shared" si="24"/>
        <v>0</v>
      </c>
      <c r="W113" s="8">
        <f>IFERROR(VLOOKUP(B113,Write_Bytes_ps!B:F,4,FALSE)/1024/1024,"")</f>
        <v>0.30616423185949571</v>
      </c>
      <c r="X113" s="8">
        <f>IFERROR(VLOOKUP(B113,Read_Bytes_ps!B:F,4,FALSE)/1024/1024,"")</f>
        <v>6.5102468343201963E-5</v>
      </c>
      <c r="Y113" s="8">
        <f>IFERROR(VLOOKUP(B113,Writes_ps!B:F,5,FALSE),"")</f>
        <v>335.83971823773101</v>
      </c>
      <c r="Z113" s="8">
        <f>IFERROR(VLOOKUP(B113,Reads_ps!B:F,5,FALSE),"")</f>
        <v>3111.16812998875</v>
      </c>
      <c r="AA113" s="241">
        <f t="shared" si="39"/>
        <v>0.30622933432783889</v>
      </c>
      <c r="AB113" s="242">
        <f t="shared" si="40"/>
        <v>3448</v>
      </c>
      <c r="AC113" s="242" t="str">
        <f t="shared" si="27"/>
        <v>B2ms</v>
      </c>
      <c r="AD113" s="239"/>
      <c r="AE113" s="239" t="str">
        <f>IFERROR(VLOOKUP(AD113,'Web-SKUS'!A:E,2,FALSE),"")</f>
        <v/>
      </c>
      <c r="AF113" s="239">
        <f>_xlfn.NUMBERVALUE(IFERROR(VLOOKUP(AD113,'Web-SKUS'!A:E,4,FALSE),""))</f>
        <v>0</v>
      </c>
      <c r="AG113" s="239">
        <f>IFERROR(VLOOKUP(AD113,VM_Performance_Stats!A:G,7,FALSE),0)</f>
        <v>0</v>
      </c>
      <c r="AH113" s="239" t="str">
        <f>IFERROR(VLOOKUP(AD113,VM_Performance_Stats!A:I,8,FALSE),"")</f>
        <v/>
      </c>
      <c r="AI113" s="239">
        <f t="shared" si="28"/>
        <v>0</v>
      </c>
      <c r="AJ113" s="239">
        <f t="shared" si="29"/>
        <v>0</v>
      </c>
      <c r="AK113" s="239">
        <f>IFERROR(IF(VLOOKUP(AD113,VM_Performance_Stats!A:I,8,FALSE)&gt;AB113,1,0),0)</f>
        <v>0</v>
      </c>
      <c r="AL113" t="str">
        <f>IFERROR(VLOOKUP(AD113,'Web-SKUS'!A:G,7,FALSE),"")</f>
        <v/>
      </c>
      <c r="AM113" s="243" t="str">
        <f t="shared" si="30"/>
        <v/>
      </c>
      <c r="AN113" t="str">
        <f>IFERROR(IF(C113=1,VLOOKUP(K113,'Web-SKUS'!A:G,7,FALSE),VLOOKUP(K113,'Web-SKUS'!A:G,6,FALSE)),"")</f>
        <v>£30.5553/month</v>
      </c>
      <c r="AO113" s="243">
        <f t="shared" si="31"/>
        <v>30.555299999999999</v>
      </c>
      <c r="AP113" s="243">
        <f t="shared" si="32"/>
        <v>30.555299999999999</v>
      </c>
      <c r="AQ113" s="244">
        <f t="shared" si="33"/>
        <v>0</v>
      </c>
      <c r="AR113" s="244">
        <f t="shared" si="34"/>
        <v>0</v>
      </c>
      <c r="AS113" s="244" t="str">
        <f>VLOOKUP(B113,'Willie List'!B:M,12,FALSE)</f>
        <v>YES</v>
      </c>
      <c r="AT113" s="244" t="str">
        <f t="shared" si="35"/>
        <v>Standard_B2ms</v>
      </c>
      <c r="AU113" s="244" t="str">
        <f t="shared" si="36"/>
        <v>B2ms</v>
      </c>
      <c r="AV113" s="238">
        <f t="shared" si="37"/>
        <v>0</v>
      </c>
      <c r="AW113" s="239">
        <f t="shared" si="38"/>
        <v>0</v>
      </c>
    </row>
    <row r="114" spans="1:49" s="101" customFormat="1">
      <c r="A114" s="101" t="s">
        <v>401</v>
      </c>
      <c r="B114" s="238" t="s">
        <v>402</v>
      </c>
      <c r="C114" s="239">
        <f>IFERROR(IF(VLOOKUP(B114,'Willie List'!B:B,1,FALSE) &lt;&gt; "",1,0),0)</f>
        <v>1</v>
      </c>
      <c r="D114" s="239">
        <v>1</v>
      </c>
      <c r="E114" s="238" t="s">
        <v>97</v>
      </c>
      <c r="F114" s="238" t="s">
        <v>313</v>
      </c>
      <c r="G114" s="238" t="s">
        <v>152</v>
      </c>
      <c r="H114" s="238" t="s">
        <v>153</v>
      </c>
      <c r="I114" s="238" t="s">
        <v>154</v>
      </c>
      <c r="J114" s="238" t="s">
        <v>25</v>
      </c>
      <c r="K114" s="239" t="str">
        <f t="shared" si="41"/>
        <v>B4ms</v>
      </c>
      <c r="L114" s="239">
        <f>VLOOKUP(K114,'Web-SKUS'!A:E,2,FALSE)</f>
        <v>4</v>
      </c>
      <c r="M114" s="239" t="str">
        <f>VLOOKUP(K114,'Web-SKUS'!A:E,4,FALSE)</f>
        <v>16</v>
      </c>
      <c r="N114" s="238" t="s">
        <v>277</v>
      </c>
      <c r="O114" s="238">
        <v>2</v>
      </c>
      <c r="P114" s="238" t="s">
        <v>157</v>
      </c>
      <c r="Q114" s="238">
        <v>3</v>
      </c>
      <c r="R114" s="238">
        <f>4*1024</f>
        <v>4096</v>
      </c>
      <c r="S114" s="240">
        <f t="shared" si="21"/>
        <v>0.75</v>
      </c>
      <c r="T114" s="238">
        <f t="shared" si="22"/>
        <v>1</v>
      </c>
      <c r="U114" s="239">
        <f t="shared" si="23"/>
        <v>12</v>
      </c>
      <c r="V114" s="239">
        <f t="shared" si="24"/>
        <v>0</v>
      </c>
      <c r="W114" s="8" t="str">
        <f>IFERROR(VLOOKUP(B114,Write_Bytes_ps!B:F,4,FALSE)/1024/1024,"")</f>
        <v/>
      </c>
      <c r="X114" s="8" t="str">
        <f>IFERROR(VLOOKUP(B114,Read_Bytes_ps!B:F,4,FALSE)/1024/1024,"")</f>
        <v/>
      </c>
      <c r="Y114" s="8" t="str">
        <f>IFERROR(VLOOKUP(B114,Writes_ps!B:F,5,FALSE),"")</f>
        <v/>
      </c>
      <c r="Z114" s="8" t="str">
        <f>IFERROR(VLOOKUP(B114,Reads_ps!B:F,5,FALSE),"")</f>
        <v/>
      </c>
      <c r="AA114" s="241">
        <f t="shared" si="39"/>
        <v>0</v>
      </c>
      <c r="AB114" s="242">
        <v>10</v>
      </c>
      <c r="AC114" s="242" t="str">
        <f t="shared" si="27"/>
        <v>B4ms</v>
      </c>
      <c r="AD114" s="239"/>
      <c r="AE114" s="239" t="str">
        <f>IFERROR(VLOOKUP(AD114,'Web-SKUS'!A:E,2,FALSE),"")</f>
        <v/>
      </c>
      <c r="AF114" s="239">
        <f>_xlfn.NUMBERVALUE(IFERROR(VLOOKUP(AD114,'Web-SKUS'!A:E,4,FALSE),""))</f>
        <v>0</v>
      </c>
      <c r="AG114" s="239">
        <f>IFERROR(VLOOKUP(AD114,VM_Performance_Stats!A:G,7,FALSE),0)</f>
        <v>0</v>
      </c>
      <c r="AH114" s="239" t="str">
        <f>IFERROR(VLOOKUP(AD114,VM_Performance_Stats!A:I,8,FALSE),"")</f>
        <v/>
      </c>
      <c r="AI114" s="239">
        <f t="shared" si="28"/>
        <v>0</v>
      </c>
      <c r="AJ114" s="239">
        <f t="shared" si="29"/>
        <v>0</v>
      </c>
      <c r="AK114" s="239">
        <f>IFERROR(IF(VLOOKUP(AD114,VM_Performance_Stats!A:I,8,FALSE)&gt;AB114,1,0),0)</f>
        <v>0</v>
      </c>
      <c r="AL114" t="str">
        <f>IFERROR(VLOOKUP(AD114,'Web-SKUS'!A:G,7,FALSE),"")</f>
        <v/>
      </c>
      <c r="AM114" s="243" t="str">
        <f t="shared" si="30"/>
        <v/>
      </c>
      <c r="AN114" t="str">
        <f>IFERROR(IF(C114=1,VLOOKUP(K114,'Web-SKUS'!A:G,7,FALSE),VLOOKUP(K114,'Web-SKUS'!A:G,6,FALSE)),"")</f>
        <v>£61.1161/month</v>
      </c>
      <c r="AO114" s="243">
        <f t="shared" si="31"/>
        <v>61.116100000000003</v>
      </c>
      <c r="AP114" s="243">
        <f t="shared" si="32"/>
        <v>61.116100000000003</v>
      </c>
      <c r="AQ114" s="244">
        <f t="shared" si="33"/>
        <v>0</v>
      </c>
      <c r="AR114" s="225">
        <f t="shared" si="34"/>
        <v>0</v>
      </c>
      <c r="AS114" s="225" t="str">
        <f>VLOOKUP(B114,'Willie List'!B:M,12,FALSE)</f>
        <v>NO</v>
      </c>
      <c r="AT114" s="225" t="str">
        <f t="shared" si="35"/>
        <v>Standard_B4ms</v>
      </c>
      <c r="AU114" s="225" t="str">
        <f t="shared" si="36"/>
        <v>B4ms</v>
      </c>
      <c r="AV114" s="101">
        <f t="shared" si="37"/>
        <v>0</v>
      </c>
      <c r="AW114" s="228">
        <f t="shared" si="38"/>
        <v>0</v>
      </c>
    </row>
    <row r="115" spans="1:49">
      <c r="B115" s="238" t="s">
        <v>403</v>
      </c>
      <c r="C115" s="239">
        <f>IFERROR(IF(VLOOKUP(B115,'Willie List'!B:B,1,FALSE) &lt;&gt; "",1,0),0)</f>
        <v>1</v>
      </c>
      <c r="D115" s="239">
        <v>1</v>
      </c>
      <c r="E115" s="238" t="s">
        <v>95</v>
      </c>
      <c r="F115" s="238" t="s">
        <v>404</v>
      </c>
      <c r="G115" s="238" t="s">
        <v>152</v>
      </c>
      <c r="H115" s="238" t="s">
        <v>153</v>
      </c>
      <c r="I115" s="238" t="s">
        <v>276</v>
      </c>
      <c r="J115" s="238" t="s">
        <v>58</v>
      </c>
      <c r="K115" s="239" t="str">
        <f t="shared" si="41"/>
        <v>D8ds v4</v>
      </c>
      <c r="L115" s="239">
        <f>VLOOKUP(K115,'Web-SKUS'!A:E,2,FALSE)</f>
        <v>8</v>
      </c>
      <c r="M115" s="239" t="str">
        <f>VLOOKUP(K115,'Web-SKUS'!A:E,4,FALSE)</f>
        <v>32</v>
      </c>
      <c r="N115" s="238" t="s">
        <v>277</v>
      </c>
      <c r="O115" s="239">
        <v>10</v>
      </c>
      <c r="P115" s="238" t="s">
        <v>157</v>
      </c>
      <c r="Q115" s="238">
        <f>IFERROR(VLOOKUP(B115,PercentCPU!B:F,4,FALSE),"")</f>
        <v>13.436353313286414</v>
      </c>
      <c r="R115" s="238">
        <f>IFERROR(VLOOKUP(B115,MemoryAvailable!B:F,3,FALSE),"")</f>
        <v>5954.682645874067</v>
      </c>
      <c r="S115" s="240">
        <f t="shared" si="21"/>
        <v>0.8182775071449564</v>
      </c>
      <c r="T115" s="238">
        <f t="shared" si="22"/>
        <v>2</v>
      </c>
      <c r="U115" s="239">
        <f t="shared" si="23"/>
        <v>26</v>
      </c>
      <c r="V115" s="239">
        <f t="shared" si="24"/>
        <v>0</v>
      </c>
      <c r="W115" s="8">
        <f>IFERROR(VLOOKUP(B115,Write_Bytes_ps!B:F,4,FALSE)/1024/1024,"")</f>
        <v>0.20702004159250315</v>
      </c>
      <c r="X115" s="8">
        <f>IFERROR(VLOOKUP(B115,Read_Bytes_ps!B:F,4,FALSE)/1024/1024,"")</f>
        <v>0.18986382695911641</v>
      </c>
      <c r="Y115" s="8">
        <f>IFERROR(VLOOKUP(B115,Writes_ps!B:F,5,FALSE),"")</f>
        <v>3122.44140625</v>
      </c>
      <c r="Z115" s="8">
        <f>IFERROR(VLOOKUP(B115,Reads_ps!B:F,5,FALSE),"")</f>
        <v>4717.10009765625</v>
      </c>
      <c r="AA115" s="241">
        <f t="shared" si="39"/>
        <v>0.39688386855161956</v>
      </c>
      <c r="AB115" s="242">
        <f t="shared" ref="AB115:AB146" si="42">ROUNDUP(SUM(Y115:Z115),0)</f>
        <v>7840</v>
      </c>
      <c r="AC115" s="242" t="str">
        <f t="shared" si="27"/>
        <v>D8ds v4</v>
      </c>
      <c r="AD115" s="239"/>
      <c r="AE115" s="239" t="str">
        <f>IFERROR(VLOOKUP(AD115,'Web-SKUS'!A:E,2,FALSE),"")</f>
        <v/>
      </c>
      <c r="AF115" s="239">
        <f>_xlfn.NUMBERVALUE(IFERROR(VLOOKUP(AD115,'Web-SKUS'!A:E,4,FALSE),""))</f>
        <v>0</v>
      </c>
      <c r="AG115" s="239">
        <f>IFERROR(VLOOKUP(AD115,VM_Performance_Stats!A:G,7,FALSE),0)</f>
        <v>0</v>
      </c>
      <c r="AH115" s="239" t="str">
        <f>IFERROR(VLOOKUP(AD115,VM_Performance_Stats!A:I,8,FALSE),"")</f>
        <v/>
      </c>
      <c r="AI115" s="239">
        <f t="shared" si="28"/>
        <v>0</v>
      </c>
      <c r="AJ115" s="239">
        <f t="shared" si="29"/>
        <v>0</v>
      </c>
      <c r="AK115" s="239">
        <f>IFERROR(IF(VLOOKUP(AD115,VM_Performance_Stats!A:I,8,FALSE)&gt;AB115,1,0),0)</f>
        <v>0</v>
      </c>
      <c r="AL115" t="str">
        <f>IFERROR(VLOOKUP(AD115,'Web-SKUS'!A:G,7,FALSE),"")</f>
        <v/>
      </c>
      <c r="AM115" s="243" t="str">
        <f t="shared" si="30"/>
        <v/>
      </c>
      <c r="AN115" t="str">
        <f>IFERROR(IF(C115=1,VLOOKUP(K115,'Web-SKUS'!A:G,7,FALSE),VLOOKUP(K115,'Web-SKUS'!A:G,6,FALSE)),"")</f>
        <v>£174.6483/month</v>
      </c>
      <c r="AO115" s="243">
        <f t="shared" si="31"/>
        <v>174.64830000000001</v>
      </c>
      <c r="AP115" s="243">
        <f t="shared" si="32"/>
        <v>174.64830000000001</v>
      </c>
      <c r="AQ115" s="244">
        <f t="shared" si="33"/>
        <v>0</v>
      </c>
      <c r="AR115" s="115">
        <f t="shared" si="34"/>
        <v>0</v>
      </c>
      <c r="AS115" s="115" t="str">
        <f>VLOOKUP(B115,'Willie List'!B:M,12,FALSE)</f>
        <v>YES</v>
      </c>
      <c r="AT115" s="115" t="str">
        <f t="shared" si="35"/>
        <v>Standard_D8ds_v4</v>
      </c>
      <c r="AU115" s="115" t="str">
        <f t="shared" si="36"/>
        <v>D8ds v4</v>
      </c>
      <c r="AV115">
        <f t="shared" si="37"/>
        <v>0</v>
      </c>
      <c r="AW115" s="8">
        <f t="shared" si="38"/>
        <v>0</v>
      </c>
    </row>
    <row r="116" spans="1:49" s="238" customFormat="1">
      <c r="A116" s="238" t="s">
        <v>405</v>
      </c>
      <c r="B116" t="s">
        <v>406</v>
      </c>
      <c r="C116" s="8">
        <f>IFERROR(IF(VLOOKUP(B116,'Willie List'!B:B,1,FALSE) &lt;&gt; "",1,0),0)</f>
        <v>1</v>
      </c>
      <c r="D116" s="8"/>
      <c r="E116" t="s">
        <v>99</v>
      </c>
      <c r="F116" t="s">
        <v>407</v>
      </c>
      <c r="G116" t="s">
        <v>152</v>
      </c>
      <c r="H116" t="s">
        <v>153</v>
      </c>
      <c r="I116" t="s">
        <v>154</v>
      </c>
      <c r="J116" t="s">
        <v>345</v>
      </c>
      <c r="K116" s="8" t="str">
        <f t="shared" si="41"/>
        <v>B2s</v>
      </c>
      <c r="L116" s="8">
        <f>VLOOKUP(K116,'Web-SKUS'!A:E,2,FALSE)</f>
        <v>2</v>
      </c>
      <c r="M116" s="8" t="str">
        <f>VLOOKUP(K116,'Web-SKUS'!A:E,4,FALSE)</f>
        <v>4</v>
      </c>
      <c r="N116" t="s">
        <v>277</v>
      </c>
      <c r="O116">
        <v>1</v>
      </c>
      <c r="P116" t="s">
        <v>157</v>
      </c>
      <c r="Q116" t="str">
        <f>IFERROR(VLOOKUP(B116,PercentCPU!B:F,4,FALSE),"")</f>
        <v/>
      </c>
      <c r="R116" t="str">
        <f>IFERROR(VLOOKUP(B116,MemoryAvailable!B:F,3,FALSE),"")</f>
        <v/>
      </c>
      <c r="S116" s="2" t="str">
        <f t="shared" si="21"/>
        <v/>
      </c>
      <c r="T116" t="str">
        <f t="shared" si="22"/>
        <v/>
      </c>
      <c r="U116" s="8">
        <f t="shared" si="23"/>
        <v>0</v>
      </c>
      <c r="V116" s="8" t="str">
        <f t="shared" si="24"/>
        <v/>
      </c>
      <c r="W116" s="8" t="str">
        <f>IFERROR(VLOOKUP(B116,Write_Bytes_ps!B:F,4,FALSE)/1024/1024,"")</f>
        <v/>
      </c>
      <c r="X116" s="8" t="str">
        <f>IFERROR(VLOOKUP(B116,Read_Bytes_ps!B:F,4,FALSE)/1024/1024,"")</f>
        <v/>
      </c>
      <c r="Y116" s="8" t="str">
        <f>IFERROR(VLOOKUP(B116,Writes_ps!B:F,5,FALSE),"")</f>
        <v/>
      </c>
      <c r="Z116" s="8" t="str">
        <f>IFERROR(VLOOKUP(B116,Reads_ps!B:F,5,FALSE),"")</f>
        <v/>
      </c>
      <c r="AA116" s="120">
        <f t="shared" si="39"/>
        <v>0</v>
      </c>
      <c r="AB116" s="122">
        <f t="shared" si="42"/>
        <v>0</v>
      </c>
      <c r="AC116" s="122" t="str">
        <f t="shared" si="27"/>
        <v>B2s</v>
      </c>
      <c r="AD116" s="8" t="s">
        <v>408</v>
      </c>
      <c r="AE116" s="8">
        <f>IFERROR(VLOOKUP(AD116,'Web-SKUS'!A:E,2,FALSE),"")</f>
        <v>2</v>
      </c>
      <c r="AF116" s="8">
        <f>_xlfn.NUMBERVALUE(IFERROR(VLOOKUP(AD116,'Web-SKUS'!A:E,4,FALSE),""))</f>
        <v>4</v>
      </c>
      <c r="AG116" s="8">
        <f>IFERROR(VLOOKUP(AD116,VM_Performance_Stats!A:G,7,FALSE),0)</f>
        <v>4</v>
      </c>
      <c r="AH116" s="8">
        <f>IFERROR(VLOOKUP(AD116,VM_Performance_Stats!A:I,8,FALSE),"")</f>
        <v>1280</v>
      </c>
      <c r="AI116" s="8">
        <f t="shared" si="28"/>
        <v>1</v>
      </c>
      <c r="AJ116" s="8">
        <f t="shared" si="29"/>
        <v>1</v>
      </c>
      <c r="AK116" s="8">
        <f>IFERROR(IF(VLOOKUP(AD116,VM_Performance_Stats!A:I,8,FALSE)&gt;AB116,1,0),0)</f>
        <v>1</v>
      </c>
      <c r="AL116" t="str">
        <f>IFERROR(VLOOKUP(AD116,'Web-SKUS'!A:G,7,FALSE),"")</f>
        <v>£15.2777/month</v>
      </c>
      <c r="AM116" s="116">
        <f t="shared" si="30"/>
        <v>15.277699999999999</v>
      </c>
      <c r="AN116" t="str">
        <f>IFERROR(IF(C116=1,VLOOKUP(K116,'Web-SKUS'!A:G,7,FALSE),VLOOKUP(K116,'Web-SKUS'!A:G,6,FALSE)),"")</f>
        <v>£15.2777/month</v>
      </c>
      <c r="AO116" s="116">
        <f t="shared" si="31"/>
        <v>15.277699999999999</v>
      </c>
      <c r="AP116" s="116">
        <f t="shared" si="32"/>
        <v>15.277699999999999</v>
      </c>
      <c r="AQ116" s="115">
        <f t="shared" si="33"/>
        <v>0</v>
      </c>
      <c r="AR116" s="244">
        <f t="shared" si="34"/>
        <v>0</v>
      </c>
      <c r="AS116" s="244" t="str">
        <f>VLOOKUP(B116,'Willie List'!B:M,12,FALSE)</f>
        <v>NO</v>
      </c>
      <c r="AT116" s="244" t="str">
        <f t="shared" si="35"/>
        <v>Standard_B2s</v>
      </c>
      <c r="AU116" s="244" t="str">
        <f t="shared" si="36"/>
        <v>B2s</v>
      </c>
      <c r="AV116" s="238" t="str">
        <f t="shared" si="37"/>
        <v>B2s</v>
      </c>
      <c r="AW116" s="239">
        <f t="shared" si="38"/>
        <v>1</v>
      </c>
    </row>
    <row r="117" spans="1:49">
      <c r="B117" t="s">
        <v>409</v>
      </c>
      <c r="C117" s="8">
        <f>IFERROR(IF(VLOOKUP(B117,'Willie List'!B:B,1,FALSE) &lt;&gt; "",1,0),0)</f>
        <v>0</v>
      </c>
      <c r="D117" s="8"/>
      <c r="E117" t="s">
        <v>99</v>
      </c>
      <c r="F117" t="s">
        <v>303</v>
      </c>
      <c r="G117" t="s">
        <v>152</v>
      </c>
      <c r="H117" t="s">
        <v>275</v>
      </c>
      <c r="I117" t="s">
        <v>276</v>
      </c>
      <c r="J117" t="s">
        <v>304</v>
      </c>
      <c r="K117" s="8" t="str">
        <f t="shared" si="41"/>
        <v>D2s v4</v>
      </c>
      <c r="L117" s="8">
        <f>VLOOKUP(K117,'Web-SKUS'!A:E,2,FALSE)</f>
        <v>2</v>
      </c>
      <c r="M117" s="8" t="str">
        <f>VLOOKUP(K117,'Web-SKUS'!A:E,4,FALSE)</f>
        <v>8</v>
      </c>
      <c r="N117" t="s">
        <v>277</v>
      </c>
      <c r="O117">
        <v>1</v>
      </c>
      <c r="P117" t="s">
        <v>157</v>
      </c>
      <c r="Q117" t="str">
        <f>IFERROR(VLOOKUP(B117,PercentCPU!B:F,4,FALSE),"")</f>
        <v/>
      </c>
      <c r="R117" t="str">
        <f>IFERROR(VLOOKUP(B117,MemoryAvailable!B:F,3,FALSE),"")</f>
        <v/>
      </c>
      <c r="S117" s="2" t="str">
        <f t="shared" si="21"/>
        <v/>
      </c>
      <c r="T117" t="str">
        <f t="shared" si="22"/>
        <v/>
      </c>
      <c r="U117" s="8">
        <f t="shared" si="23"/>
        <v>0</v>
      </c>
      <c r="V117" s="8" t="str">
        <f t="shared" si="24"/>
        <v/>
      </c>
      <c r="W117" s="8" t="str">
        <f>IFERROR(VLOOKUP(B117,Write_Bytes_ps!B:F,4,FALSE)/1024/1024,"")</f>
        <v/>
      </c>
      <c r="X117" s="8" t="str">
        <f>IFERROR(VLOOKUP(B117,Read_Bytes_ps!B:F,4,FALSE)/1024/1024,"")</f>
        <v/>
      </c>
      <c r="Y117" s="8" t="str">
        <f>IFERROR(VLOOKUP(B117,Writes_ps!B:F,5,FALSE),"")</f>
        <v/>
      </c>
      <c r="Z117" s="8" t="str">
        <f>IFERROR(VLOOKUP(B117,Reads_ps!B:F,5,FALSE),"")</f>
        <v/>
      </c>
      <c r="AA117" s="8">
        <f t="shared" si="39"/>
        <v>0</v>
      </c>
      <c r="AB117" s="122">
        <f t="shared" si="42"/>
        <v>0</v>
      </c>
      <c r="AC117" s="122" t="str">
        <f t="shared" si="27"/>
        <v>D2s v4</v>
      </c>
      <c r="AE117" s="8" t="str">
        <f>IFERROR(VLOOKUP(AD117,'Web-SKUS'!A:E,2,FALSE),"")</f>
        <v/>
      </c>
      <c r="AF117" s="8">
        <f>_xlfn.NUMBERVALUE(IFERROR(VLOOKUP(AD117,'Web-SKUS'!A:E,4,FALSE),""))</f>
        <v>0</v>
      </c>
      <c r="AG117" s="8">
        <f>IFERROR(VLOOKUP(AD117,VM_Performance_Stats!A:G,7,FALSE),0)</f>
        <v>0</v>
      </c>
      <c r="AH117" s="8" t="str">
        <f>IFERROR(VLOOKUP(AD117,VM_Performance_Stats!A:I,8,FALSE),"")</f>
        <v/>
      </c>
      <c r="AI117" s="8">
        <f t="shared" si="28"/>
        <v>1</v>
      </c>
      <c r="AJ117" s="8">
        <f t="shared" si="29"/>
        <v>0</v>
      </c>
      <c r="AK117" s="8">
        <f>IFERROR(IF(VLOOKUP(AD117,VM_Performance_Stats!A:I,8,FALSE)&gt;AB117,1,0),0)</f>
        <v>0</v>
      </c>
      <c r="AL117" t="str">
        <f>IFERROR(VLOOKUP(AD117,'Web-SKUS'!A:G,7,FALSE),"")</f>
        <v/>
      </c>
      <c r="AM117" s="116" t="str">
        <f t="shared" si="30"/>
        <v/>
      </c>
      <c r="AN117" t="str">
        <f>IFERROR(IF(C117=1,VLOOKUP(K117,'Web-SKUS'!A:G,7,FALSE),VLOOKUP(K117,'Web-SKUS'!A:G,6,FALSE)),"")</f>
        <v>£62.5687/month</v>
      </c>
      <c r="AO117" s="116">
        <f t="shared" si="31"/>
        <v>62.5687</v>
      </c>
      <c r="AP117" s="116">
        <f t="shared" si="32"/>
        <v>62.5687</v>
      </c>
      <c r="AQ117" s="115">
        <f t="shared" si="33"/>
        <v>0</v>
      </c>
      <c r="AR117" s="115">
        <f t="shared" si="34"/>
        <v>0</v>
      </c>
      <c r="AS117" s="115" t="e">
        <f>VLOOKUP(B117,'Willie List'!B:M,12,FALSE)</f>
        <v>#N/A</v>
      </c>
      <c r="AT117" s="115" t="str">
        <f t="shared" si="35"/>
        <v>Standard_D2s_v4</v>
      </c>
      <c r="AU117" s="115" t="str">
        <f t="shared" si="36"/>
        <v>D2s v4</v>
      </c>
      <c r="AV117">
        <f t="shared" si="37"/>
        <v>0</v>
      </c>
      <c r="AW117" s="8">
        <f t="shared" si="38"/>
        <v>0</v>
      </c>
    </row>
    <row r="118" spans="1:49">
      <c r="B118" t="s">
        <v>410</v>
      </c>
      <c r="C118" s="8">
        <f>IFERROR(IF(VLOOKUP(B118,'Willie List'!B:B,1,FALSE) &lt;&gt; "",1,0),0)</f>
        <v>0</v>
      </c>
      <c r="D118" s="8"/>
      <c r="E118" t="s">
        <v>97</v>
      </c>
      <c r="F118" t="s">
        <v>306</v>
      </c>
      <c r="G118" t="s">
        <v>152</v>
      </c>
      <c r="H118" t="s">
        <v>275</v>
      </c>
      <c r="I118" t="s">
        <v>276</v>
      </c>
      <c r="J118" t="s">
        <v>304</v>
      </c>
      <c r="K118" s="8" t="str">
        <f t="shared" si="41"/>
        <v>D2s v4</v>
      </c>
      <c r="L118" s="8">
        <f>VLOOKUP(K118,'Web-SKUS'!A:E,2,FALSE)</f>
        <v>2</v>
      </c>
      <c r="M118" s="8" t="str">
        <f>VLOOKUP(K118,'Web-SKUS'!A:E,4,FALSE)</f>
        <v>8</v>
      </c>
      <c r="N118" t="s">
        <v>277</v>
      </c>
      <c r="O118" s="8">
        <v>1</v>
      </c>
      <c r="P118" t="s">
        <v>157</v>
      </c>
      <c r="Q118">
        <f>IFERROR(VLOOKUP(B118,PercentCPU!B:F,4,FALSE),"")</f>
        <v>3.4056114441653089</v>
      </c>
      <c r="R118">
        <f>IFERROR(VLOOKUP(B118,MemoryAvailable!B:F,3,FALSE),"")</f>
        <v>6262.5224981882866</v>
      </c>
      <c r="S118" s="2">
        <f t="shared" si="21"/>
        <v>0.23553192160787517</v>
      </c>
      <c r="T118">
        <f t="shared" si="22"/>
        <v>1</v>
      </c>
      <c r="U118" s="8">
        <f t="shared" si="23"/>
        <v>2</v>
      </c>
      <c r="V118" s="8" t="str">
        <f t="shared" si="24"/>
        <v>F Series</v>
      </c>
      <c r="W118" s="8">
        <f>IFERROR(VLOOKUP(B118,Write_Bytes_ps!B:F,4,FALSE)/1024/1024,"")</f>
        <v>0.19436085559605978</v>
      </c>
      <c r="X118" s="8">
        <f>IFERROR(VLOOKUP(B118,Read_Bytes_ps!B:F,4,FALSE)/1024/1024,"")</f>
        <v>0.26458642535187582</v>
      </c>
      <c r="Y118" s="8">
        <f>IFERROR(VLOOKUP(B118,Writes_ps!B:F,5,FALSE),"")</f>
        <v>398.24166870117199</v>
      </c>
      <c r="Z118" s="8">
        <f>IFERROR(VLOOKUP(B118,Reads_ps!B:F,5,FALSE),"")</f>
        <v>530.20617675781295</v>
      </c>
      <c r="AA118" s="8">
        <f t="shared" si="39"/>
        <v>0.45894728094793558</v>
      </c>
      <c r="AB118" s="122">
        <f t="shared" si="42"/>
        <v>929</v>
      </c>
      <c r="AC118" s="122" t="str">
        <f t="shared" si="27"/>
        <v>D2s v4</v>
      </c>
      <c r="AD118" s="8" t="s">
        <v>290</v>
      </c>
      <c r="AE118" s="8">
        <f>IFERROR(VLOOKUP(AD118,'Web-SKUS'!A:E,2,FALSE),"")</f>
        <v>2</v>
      </c>
      <c r="AF118" s="8">
        <f>_xlfn.NUMBERVALUE(IFERROR(VLOOKUP(AD118,'Web-SKUS'!A:E,4,FALSE),""))</f>
        <v>4</v>
      </c>
      <c r="AG118" s="8">
        <f>IFERROR(VLOOKUP(AD118,VM_Performance_Stats!A:G,7,FALSE),0)</f>
        <v>4</v>
      </c>
      <c r="AH118" s="8">
        <f>IFERROR(VLOOKUP(AD118,VM_Performance_Stats!A:I,8,FALSE),"")</f>
        <v>3200</v>
      </c>
      <c r="AI118" s="8">
        <f t="shared" si="28"/>
        <v>1</v>
      </c>
      <c r="AJ118" s="8">
        <f t="shared" si="29"/>
        <v>1</v>
      </c>
      <c r="AK118" s="8">
        <f>IFERROR(IF(VLOOKUP(AD118,VM_Performance_Stats!A:I,8,FALSE)&gt;AB118,1,0),0)</f>
        <v>1</v>
      </c>
      <c r="AL118" t="str">
        <f>IFERROR(VLOOKUP(AD118,'Web-SKUS'!A:G,7,FALSE),"")</f>
        <v>£31.2409/month</v>
      </c>
      <c r="AM118" s="116">
        <f t="shared" si="30"/>
        <v>31.2409</v>
      </c>
      <c r="AN118" t="str">
        <f>IFERROR(IF(C118=1,VLOOKUP(K118,'Web-SKUS'!A:G,7,FALSE),VLOOKUP(K118,'Web-SKUS'!A:G,6,FALSE)),"")</f>
        <v>£62.5687/month</v>
      </c>
      <c r="AO118" s="116">
        <f t="shared" si="31"/>
        <v>62.5687</v>
      </c>
      <c r="AP118" s="116">
        <f t="shared" si="32"/>
        <v>31.2409</v>
      </c>
      <c r="AQ118" s="115">
        <f t="shared" si="33"/>
        <v>31.3278</v>
      </c>
      <c r="AR118" s="115">
        <f t="shared" si="34"/>
        <v>375.93360000000001</v>
      </c>
      <c r="AS118" s="115" t="e">
        <f>VLOOKUP(B118,'Willie List'!B:M,12,FALSE)</f>
        <v>#N/A</v>
      </c>
      <c r="AT118" s="115" t="str">
        <f t="shared" si="35"/>
        <v>Standard_D2s_v4</v>
      </c>
      <c r="AU118" s="115" t="str">
        <f t="shared" si="36"/>
        <v>D2s v4</v>
      </c>
      <c r="AV118" t="str">
        <f t="shared" si="37"/>
        <v>F2s v2</v>
      </c>
      <c r="AW118" s="8">
        <f t="shared" si="38"/>
        <v>0</v>
      </c>
    </row>
    <row r="119" spans="1:49">
      <c r="A119" t="s">
        <v>309</v>
      </c>
      <c r="B119" t="s">
        <v>411</v>
      </c>
      <c r="C119" s="8">
        <f>IFERROR(IF(VLOOKUP(B119,'Willie List'!B:B,1,FALSE) &lt;&gt; "",1,0),0)</f>
        <v>1</v>
      </c>
      <c r="D119" s="8"/>
      <c r="E119" t="s">
        <v>99</v>
      </c>
      <c r="F119" t="s">
        <v>407</v>
      </c>
      <c r="G119" t="s">
        <v>152</v>
      </c>
      <c r="H119" t="s">
        <v>153</v>
      </c>
      <c r="I119" t="s">
        <v>276</v>
      </c>
      <c r="J119" t="s">
        <v>304</v>
      </c>
      <c r="K119" s="8" t="str">
        <f t="shared" ref="K119:K150" si="43">IFERROR(REPLACE(REPLACE(J119,FIND("Standard_",J119,1),9,""),FIND("_",REPLACE(J119,FIND("Standard_",J119,1),9,""),1),1," "),REPLACE(J119,FIND("Standard_",J119,1),9,""))</f>
        <v>D2s v4</v>
      </c>
      <c r="L119" s="8">
        <f>VLOOKUP(K119,'Web-SKUS'!A:E,2,FALSE)</f>
        <v>2</v>
      </c>
      <c r="M119" s="8" t="str">
        <f>VLOOKUP(K119,'Web-SKUS'!A:E,4,FALSE)</f>
        <v>8</v>
      </c>
      <c r="N119" t="s">
        <v>277</v>
      </c>
      <c r="O119">
        <v>1</v>
      </c>
      <c r="P119" t="s">
        <v>157</v>
      </c>
      <c r="Q119" t="str">
        <f>IFERROR(VLOOKUP(B119,PercentCPU!B:F,4,FALSE),"")</f>
        <v/>
      </c>
      <c r="R119" t="str">
        <f>IFERROR(VLOOKUP(B119,MemoryAvailable!B:F,3,FALSE),"")</f>
        <v/>
      </c>
      <c r="S119" s="2" t="str">
        <f t="shared" si="21"/>
        <v/>
      </c>
      <c r="T119" t="str">
        <f t="shared" si="22"/>
        <v/>
      </c>
      <c r="U119" s="8">
        <f t="shared" si="23"/>
        <v>0</v>
      </c>
      <c r="V119" s="8" t="str">
        <f t="shared" si="24"/>
        <v/>
      </c>
      <c r="W119" s="8" t="str">
        <f>IFERROR(VLOOKUP(B119,Write_Bytes_ps!B:F,4,FALSE)/1024/1024,"")</f>
        <v/>
      </c>
      <c r="X119" s="8" t="str">
        <f>IFERROR(VLOOKUP(B119,Read_Bytes_ps!B:F,4,FALSE)/1024/1024,"")</f>
        <v/>
      </c>
      <c r="Y119" s="8" t="str">
        <f>IFERROR(VLOOKUP(B119,Writes_ps!B:F,5,FALSE),"")</f>
        <v/>
      </c>
      <c r="Z119" s="8" t="str">
        <f>IFERROR(VLOOKUP(B119,Reads_ps!B:F,5,FALSE),"")</f>
        <v/>
      </c>
      <c r="AA119" s="120">
        <f t="shared" si="39"/>
        <v>0</v>
      </c>
      <c r="AB119" s="122">
        <f t="shared" si="42"/>
        <v>0</v>
      </c>
      <c r="AC119" s="122" t="str">
        <f t="shared" si="27"/>
        <v>D2s v4</v>
      </c>
      <c r="AD119" s="8" t="s">
        <v>412</v>
      </c>
      <c r="AE119" s="8">
        <f>IFERROR(VLOOKUP(AD119,'Web-SKUS'!A:E,2,FALSE),"")</f>
        <v>2</v>
      </c>
      <c r="AF119" s="8">
        <f>_xlfn.NUMBERVALUE(IFERROR(VLOOKUP(AD119,'Web-SKUS'!A:E,4,FALSE),""))</f>
        <v>8</v>
      </c>
      <c r="AG119" s="8">
        <f>IFERROR(VLOOKUP(AD119,VM_Performance_Stats!A:G,7,FALSE),0)</f>
        <v>4</v>
      </c>
      <c r="AH119" s="8">
        <f>IFERROR(VLOOKUP(AD119,VM_Performance_Stats!A:I,8,FALSE),"")</f>
        <v>3200</v>
      </c>
      <c r="AI119" s="8">
        <f t="shared" si="28"/>
        <v>1</v>
      </c>
      <c r="AJ119" s="8">
        <f t="shared" si="29"/>
        <v>1</v>
      </c>
      <c r="AK119" s="8">
        <f>IFERROR(IF(VLOOKUP(AD119,VM_Performance_Stats!A:I,8,FALSE)&gt;AB119,1,0),0)</f>
        <v>1</v>
      </c>
      <c r="AL119" t="str">
        <f>IFERROR(VLOOKUP(AD119,'Web-SKUS'!A:G,7,FALSE),"")</f>
        <v>£43.6621/month</v>
      </c>
      <c r="AM119" s="116">
        <f t="shared" si="30"/>
        <v>43.662100000000002</v>
      </c>
      <c r="AN119" t="str">
        <f>IFERROR(IF(C119=1,VLOOKUP(K119,'Web-SKUS'!A:G,7,FALSE),VLOOKUP(K119,'Web-SKUS'!A:G,6,FALSE)),"")</f>
        <v>£36.8938/month</v>
      </c>
      <c r="AO119" s="116">
        <f t="shared" si="31"/>
        <v>36.893799999999999</v>
      </c>
      <c r="AP119" s="116">
        <f t="shared" si="32"/>
        <v>43.662100000000002</v>
      </c>
      <c r="AQ119" s="115">
        <f t="shared" si="33"/>
        <v>-6.7683000000000035</v>
      </c>
      <c r="AR119" s="115">
        <f t="shared" si="34"/>
        <v>-81.219600000000042</v>
      </c>
      <c r="AS119" s="115">
        <f>VLOOKUP(B119,'Willie List'!B:M,12,FALSE)</f>
        <v>0</v>
      </c>
      <c r="AT119" s="115" t="str">
        <f t="shared" si="35"/>
        <v>Standard_D2s_v4</v>
      </c>
      <c r="AU119" s="115" t="str">
        <f t="shared" si="36"/>
        <v>D2s v4</v>
      </c>
      <c r="AV119" t="str">
        <f t="shared" si="37"/>
        <v>D2ds v4</v>
      </c>
      <c r="AW119" s="8">
        <f t="shared" si="38"/>
        <v>0</v>
      </c>
    </row>
    <row r="120" spans="1:49">
      <c r="B120" t="s">
        <v>413</v>
      </c>
      <c r="C120" s="8">
        <f>IFERROR(IF(VLOOKUP(B120,'Willie List'!B:B,1,FALSE) &lt;&gt; "",1,0),0)</f>
        <v>0</v>
      </c>
      <c r="D120" s="8"/>
      <c r="E120" t="s">
        <v>99</v>
      </c>
      <c r="F120" t="s">
        <v>414</v>
      </c>
      <c r="G120" t="s">
        <v>152</v>
      </c>
      <c r="H120" t="s">
        <v>275</v>
      </c>
      <c r="I120" t="s">
        <v>154</v>
      </c>
      <c r="J120" t="s">
        <v>22</v>
      </c>
      <c r="K120" s="8" t="str">
        <f t="shared" si="43"/>
        <v>B2ms</v>
      </c>
      <c r="L120" s="8">
        <f>VLOOKUP(K120,'Web-SKUS'!A:E,2,FALSE)</f>
        <v>2</v>
      </c>
      <c r="M120" s="8" t="str">
        <f>VLOOKUP(K120,'Web-SKUS'!A:E,4,FALSE)</f>
        <v>8</v>
      </c>
      <c r="N120" t="s">
        <v>277</v>
      </c>
      <c r="O120">
        <v>1</v>
      </c>
      <c r="P120" t="s">
        <v>157</v>
      </c>
      <c r="Q120" t="str">
        <f>IFERROR(VLOOKUP(B120,PercentCPU!B:F,4,FALSE),"")</f>
        <v/>
      </c>
      <c r="R120" t="str">
        <f>IFERROR(VLOOKUP(B120,MemoryAvailable!B:F,3,FALSE),"")</f>
        <v/>
      </c>
      <c r="S120" s="2" t="str">
        <f t="shared" si="21"/>
        <v/>
      </c>
      <c r="T120" t="str">
        <f t="shared" si="22"/>
        <v/>
      </c>
      <c r="U120" s="8">
        <f t="shared" si="23"/>
        <v>0</v>
      </c>
      <c r="V120" s="8" t="str">
        <f t="shared" si="24"/>
        <v/>
      </c>
      <c r="W120" s="8" t="str">
        <f>IFERROR(VLOOKUP(B120,Write_Bytes_ps!B:F,4,FALSE)/1024/1024,"")</f>
        <v/>
      </c>
      <c r="X120" s="8" t="str">
        <f>IFERROR(VLOOKUP(B120,Read_Bytes_ps!B:F,4,FALSE)/1024/1024,"")</f>
        <v/>
      </c>
      <c r="Y120" s="8" t="str">
        <f>IFERROR(VLOOKUP(B120,Writes_ps!B:F,5,FALSE),"")</f>
        <v/>
      </c>
      <c r="Z120" s="8" t="str">
        <f>IFERROR(VLOOKUP(B120,Reads_ps!B:F,5,FALSE),"")</f>
        <v/>
      </c>
      <c r="AA120" s="8">
        <f t="shared" si="39"/>
        <v>0</v>
      </c>
      <c r="AB120" s="122">
        <f t="shared" si="42"/>
        <v>0</v>
      </c>
      <c r="AC120" s="122" t="str">
        <f t="shared" si="27"/>
        <v>B2ms</v>
      </c>
      <c r="AD120" s="8" t="s">
        <v>325</v>
      </c>
      <c r="AE120" s="8">
        <f>IFERROR(VLOOKUP(AD120,'Web-SKUS'!A:E,2,FALSE),"")</f>
        <v>2</v>
      </c>
      <c r="AF120" s="8">
        <f>_xlfn.NUMBERVALUE(IFERROR(VLOOKUP(AD120,'Web-SKUS'!A:E,4,FALSE),""))</f>
        <v>8</v>
      </c>
      <c r="AG120" s="8">
        <f>IFERROR(VLOOKUP(AD120,VM_Performance_Stats!A:G,7,FALSE),0)</f>
        <v>4</v>
      </c>
      <c r="AH120" s="8">
        <f>IFERROR(VLOOKUP(AD120,VM_Performance_Stats!A:I,8,FALSE),"")</f>
        <v>1920</v>
      </c>
      <c r="AI120" s="8">
        <f t="shared" si="28"/>
        <v>1</v>
      </c>
      <c r="AJ120" s="8">
        <f t="shared" si="29"/>
        <v>1</v>
      </c>
      <c r="AK120" s="8">
        <f>IFERROR(IF(VLOOKUP(AD120,VM_Performance_Stats!A:I,8,FALSE)&gt;AB120,1,0),0)</f>
        <v>1</v>
      </c>
      <c r="AL120" t="str">
        <f>IFERROR(VLOOKUP(AD120,'Web-SKUS'!A:G,7,FALSE),"")</f>
        <v>£30.5553/month</v>
      </c>
      <c r="AM120" s="116">
        <f t="shared" si="30"/>
        <v>30.555299999999999</v>
      </c>
      <c r="AN120" t="str">
        <f>IFERROR(IF(C120=1,VLOOKUP(K120,'Web-SKUS'!A:G,7,FALSE),VLOOKUP(K120,'Web-SKUS'!A:G,6,FALSE)),"")</f>
        <v>£52.2313/month</v>
      </c>
      <c r="AO120" s="116">
        <f t="shared" si="31"/>
        <v>52.231299999999997</v>
      </c>
      <c r="AP120" s="116">
        <f t="shared" si="32"/>
        <v>30.555299999999999</v>
      </c>
      <c r="AQ120" s="115">
        <f t="shared" si="33"/>
        <v>21.675999999999998</v>
      </c>
      <c r="AR120" s="115">
        <f t="shared" si="34"/>
        <v>260.11199999999997</v>
      </c>
      <c r="AS120" s="115" t="e">
        <f>VLOOKUP(B120,'Willie List'!B:M,12,FALSE)</f>
        <v>#N/A</v>
      </c>
      <c r="AT120" s="115" t="str">
        <f t="shared" si="35"/>
        <v>Standard_B2ms</v>
      </c>
      <c r="AU120" s="115" t="str">
        <f t="shared" si="36"/>
        <v>B2ms</v>
      </c>
      <c r="AV120" t="str">
        <f t="shared" si="37"/>
        <v>B2ms</v>
      </c>
      <c r="AW120" s="8">
        <f t="shared" si="38"/>
        <v>1</v>
      </c>
    </row>
    <row r="121" spans="1:49">
      <c r="B121" t="s">
        <v>415</v>
      </c>
      <c r="C121" s="8">
        <f>IFERROR(IF(VLOOKUP(B121,'Willie List'!B:B,1,FALSE) &lt;&gt; "",1,0),0)</f>
        <v>0</v>
      </c>
      <c r="D121" s="8"/>
      <c r="E121" t="s">
        <v>95</v>
      </c>
      <c r="F121" t="s">
        <v>324</v>
      </c>
      <c r="G121" t="s">
        <v>152</v>
      </c>
      <c r="H121" t="s">
        <v>275</v>
      </c>
      <c r="I121" t="s">
        <v>154</v>
      </c>
      <c r="J121" t="s">
        <v>22</v>
      </c>
      <c r="K121" s="8" t="str">
        <f t="shared" si="43"/>
        <v>B2ms</v>
      </c>
      <c r="L121" s="8">
        <f>VLOOKUP(K121,'Web-SKUS'!A:E,2,FALSE)</f>
        <v>2</v>
      </c>
      <c r="M121" s="8" t="str">
        <f>VLOOKUP(K121,'Web-SKUS'!A:E,4,FALSE)</f>
        <v>8</v>
      </c>
      <c r="N121" t="s">
        <v>277</v>
      </c>
      <c r="O121" s="8">
        <v>1</v>
      </c>
      <c r="P121" t="s">
        <v>157</v>
      </c>
      <c r="Q121">
        <f>IFERROR(VLOOKUP(B121,PercentCPU!B:F,4,FALSE),"")</f>
        <v>9.1999999999999709</v>
      </c>
      <c r="R121" t="str">
        <f>IFERROR(VLOOKUP(B121,MemoryAvailable!B:F,3,FALSE),"")</f>
        <v/>
      </c>
      <c r="S121" s="2" t="str">
        <f t="shared" si="21"/>
        <v/>
      </c>
      <c r="T121">
        <f t="shared" si="22"/>
        <v>1</v>
      </c>
      <c r="U121" s="8">
        <f t="shared" si="23"/>
        <v>0</v>
      </c>
      <c r="V121" s="8" t="str">
        <f t="shared" si="24"/>
        <v/>
      </c>
      <c r="W121" s="8" t="str">
        <f>IFERROR(VLOOKUP(B121,Write_Bytes_ps!B:F,4,FALSE)/1024/1024,"")</f>
        <v/>
      </c>
      <c r="X121" s="8" t="str">
        <f>IFERROR(VLOOKUP(B121,Read_Bytes_ps!B:F,4,FALSE)/1024/1024,"")</f>
        <v/>
      </c>
      <c r="Y121" s="8" t="str">
        <f>IFERROR(VLOOKUP(B121,Writes_ps!B:F,5,FALSE),"")</f>
        <v/>
      </c>
      <c r="Z121" s="8" t="str">
        <f>IFERROR(VLOOKUP(B121,Reads_ps!B:F,5,FALSE),"")</f>
        <v/>
      </c>
      <c r="AA121" s="8">
        <f t="shared" si="39"/>
        <v>0</v>
      </c>
      <c r="AB121" s="122">
        <f t="shared" si="42"/>
        <v>0</v>
      </c>
      <c r="AC121" s="122" t="str">
        <f t="shared" si="27"/>
        <v>B2ms</v>
      </c>
      <c r="AD121" s="8" t="s">
        <v>325</v>
      </c>
      <c r="AE121" s="8">
        <f>IFERROR(VLOOKUP(AD121,'Web-SKUS'!A:E,2,FALSE),"")</f>
        <v>2</v>
      </c>
      <c r="AF121" s="8">
        <f>_xlfn.NUMBERVALUE(IFERROR(VLOOKUP(AD121,'Web-SKUS'!A:E,4,FALSE),""))</f>
        <v>8</v>
      </c>
      <c r="AG121" s="8">
        <f>IFERROR(VLOOKUP(AD121,VM_Performance_Stats!A:G,7,FALSE),0)</f>
        <v>4</v>
      </c>
      <c r="AH121" s="8">
        <f>IFERROR(VLOOKUP(AD121,VM_Performance_Stats!A:I,8,FALSE),"")</f>
        <v>1920</v>
      </c>
      <c r="AI121" s="8">
        <f t="shared" si="28"/>
        <v>1</v>
      </c>
      <c r="AJ121" s="8">
        <f t="shared" si="29"/>
        <v>1</v>
      </c>
      <c r="AK121" s="8">
        <f>IFERROR(IF(VLOOKUP(AD121,VM_Performance_Stats!A:I,8,FALSE)&gt;AB121,1,0),0)</f>
        <v>1</v>
      </c>
      <c r="AL121" t="str">
        <f>IFERROR(VLOOKUP(AD121,'Web-SKUS'!A:G,7,FALSE),"")</f>
        <v>£30.5553/month</v>
      </c>
      <c r="AM121" s="116">
        <f t="shared" si="30"/>
        <v>30.555299999999999</v>
      </c>
      <c r="AN121" t="str">
        <f>IFERROR(IF(C121=1,VLOOKUP(K121,'Web-SKUS'!A:G,7,FALSE),VLOOKUP(K121,'Web-SKUS'!A:G,6,FALSE)),"")</f>
        <v>£52.2313/month</v>
      </c>
      <c r="AO121" s="116">
        <f t="shared" si="31"/>
        <v>52.231299999999997</v>
      </c>
      <c r="AP121" s="116">
        <f t="shared" si="32"/>
        <v>30.555299999999999</v>
      </c>
      <c r="AQ121" s="115">
        <f t="shared" si="33"/>
        <v>21.675999999999998</v>
      </c>
      <c r="AR121" s="115">
        <f t="shared" si="34"/>
        <v>260.11199999999997</v>
      </c>
      <c r="AS121" s="115" t="e">
        <f>VLOOKUP(B121,'Willie List'!B:M,12,FALSE)</f>
        <v>#N/A</v>
      </c>
      <c r="AT121" s="115" t="str">
        <f t="shared" si="35"/>
        <v>Standard_B2ms</v>
      </c>
      <c r="AU121" s="115" t="str">
        <f t="shared" si="36"/>
        <v>B2ms</v>
      </c>
      <c r="AV121" t="str">
        <f t="shared" si="37"/>
        <v>B2ms</v>
      </c>
      <c r="AW121" s="8">
        <f t="shared" si="38"/>
        <v>1</v>
      </c>
    </row>
    <row r="122" spans="1:49">
      <c r="B122" t="s">
        <v>416</v>
      </c>
      <c r="C122" s="8">
        <f>IFERROR(IF(VLOOKUP(B122,'Willie List'!B:B,1,FALSE) &lt;&gt; "",1,0),0)</f>
        <v>0</v>
      </c>
      <c r="D122" s="8"/>
      <c r="E122" t="s">
        <v>97</v>
      </c>
      <c r="F122" t="s">
        <v>417</v>
      </c>
      <c r="G122" t="s">
        <v>152</v>
      </c>
      <c r="H122" t="s">
        <v>275</v>
      </c>
      <c r="I122" t="s">
        <v>154</v>
      </c>
      <c r="J122" t="s">
        <v>22</v>
      </c>
      <c r="K122" s="8" t="str">
        <f t="shared" si="43"/>
        <v>B2ms</v>
      </c>
      <c r="L122" s="8">
        <f>VLOOKUP(K122,'Web-SKUS'!A:E,2,FALSE)</f>
        <v>2</v>
      </c>
      <c r="M122" s="8" t="str">
        <f>VLOOKUP(K122,'Web-SKUS'!A:E,4,FALSE)</f>
        <v>8</v>
      </c>
      <c r="N122" t="s">
        <v>277</v>
      </c>
      <c r="O122">
        <v>1</v>
      </c>
      <c r="P122" t="s">
        <v>157</v>
      </c>
      <c r="Q122" t="str">
        <f>IFERROR(VLOOKUP(B122,PercentCPU!B:F,4,FALSE),"")</f>
        <v/>
      </c>
      <c r="R122" t="str">
        <f>IFERROR(VLOOKUP(B122,MemoryAvailable!B:F,3,FALSE),"")</f>
        <v/>
      </c>
      <c r="S122" s="2" t="str">
        <f t="shared" si="21"/>
        <v/>
      </c>
      <c r="T122" t="str">
        <f t="shared" si="22"/>
        <v/>
      </c>
      <c r="U122" s="8">
        <f t="shared" si="23"/>
        <v>0</v>
      </c>
      <c r="V122" s="8" t="str">
        <f t="shared" si="24"/>
        <v/>
      </c>
      <c r="W122" s="8" t="str">
        <f>IFERROR(VLOOKUP(B122,Write_Bytes_ps!B:F,4,FALSE)/1024/1024,"")</f>
        <v/>
      </c>
      <c r="X122" s="8" t="str">
        <f>IFERROR(VLOOKUP(B122,Read_Bytes_ps!B:F,4,FALSE)/1024/1024,"")</f>
        <v/>
      </c>
      <c r="Y122" s="8" t="str">
        <f>IFERROR(VLOOKUP(B122,Writes_ps!B:F,5,FALSE),"")</f>
        <v/>
      </c>
      <c r="Z122" s="8" t="str">
        <f>IFERROR(VLOOKUP(B122,Reads_ps!B:F,5,FALSE),"")</f>
        <v/>
      </c>
      <c r="AA122" s="8">
        <f t="shared" si="39"/>
        <v>0</v>
      </c>
      <c r="AB122" s="122">
        <f t="shared" si="42"/>
        <v>0</v>
      </c>
      <c r="AC122" s="122" t="str">
        <f t="shared" si="27"/>
        <v>B2ms</v>
      </c>
      <c r="AD122" s="8" t="s">
        <v>325</v>
      </c>
      <c r="AE122" s="8">
        <f>IFERROR(VLOOKUP(AD122,'Web-SKUS'!A:E,2,FALSE),"")</f>
        <v>2</v>
      </c>
      <c r="AF122" s="8">
        <f>_xlfn.NUMBERVALUE(IFERROR(VLOOKUP(AD122,'Web-SKUS'!A:E,4,FALSE),""))</f>
        <v>8</v>
      </c>
      <c r="AG122" s="8">
        <f>IFERROR(VLOOKUP(AD122,VM_Performance_Stats!A:G,7,FALSE),0)</f>
        <v>4</v>
      </c>
      <c r="AH122" s="8">
        <f>IFERROR(VLOOKUP(AD122,VM_Performance_Stats!A:I,8,FALSE),"")</f>
        <v>1920</v>
      </c>
      <c r="AI122" s="8">
        <f t="shared" si="28"/>
        <v>1</v>
      </c>
      <c r="AJ122" s="8">
        <f t="shared" si="29"/>
        <v>1</v>
      </c>
      <c r="AK122" s="8">
        <f>IFERROR(IF(VLOOKUP(AD122,VM_Performance_Stats!A:I,8,FALSE)&gt;AB122,1,0),0)</f>
        <v>1</v>
      </c>
      <c r="AL122" t="str">
        <f>IFERROR(VLOOKUP(AD122,'Web-SKUS'!A:G,7,FALSE),"")</f>
        <v>£30.5553/month</v>
      </c>
      <c r="AM122" s="116">
        <f t="shared" si="30"/>
        <v>30.555299999999999</v>
      </c>
      <c r="AN122" t="str">
        <f>IFERROR(IF(C122=1,VLOOKUP(K122,'Web-SKUS'!A:G,7,FALSE),VLOOKUP(K122,'Web-SKUS'!A:G,6,FALSE)),"")</f>
        <v>£52.2313/month</v>
      </c>
      <c r="AO122" s="116">
        <f t="shared" si="31"/>
        <v>52.231299999999997</v>
      </c>
      <c r="AP122" s="116">
        <f t="shared" si="32"/>
        <v>30.555299999999999</v>
      </c>
      <c r="AQ122" s="115">
        <f t="shared" si="33"/>
        <v>21.675999999999998</v>
      </c>
      <c r="AR122" s="115">
        <f t="shared" si="34"/>
        <v>260.11199999999997</v>
      </c>
      <c r="AS122" s="115" t="e">
        <f>VLOOKUP(B122,'Willie List'!B:M,12,FALSE)</f>
        <v>#N/A</v>
      </c>
      <c r="AT122" s="115" t="str">
        <f t="shared" si="35"/>
        <v>Standard_B2ms</v>
      </c>
      <c r="AU122" s="115" t="str">
        <f t="shared" si="36"/>
        <v>B2ms</v>
      </c>
      <c r="AV122" t="str">
        <f t="shared" si="37"/>
        <v>B2ms</v>
      </c>
      <c r="AW122" s="8">
        <f t="shared" si="38"/>
        <v>1</v>
      </c>
    </row>
    <row r="123" spans="1:49">
      <c r="A123" t="s">
        <v>309</v>
      </c>
      <c r="B123" t="s">
        <v>418</v>
      </c>
      <c r="C123" s="8">
        <f>IFERROR(IF(VLOOKUP(B123,'Willie List'!B:B,1,FALSE) &lt;&gt; "",1,0),0)</f>
        <v>1</v>
      </c>
      <c r="D123" s="8"/>
      <c r="E123" t="s">
        <v>99</v>
      </c>
      <c r="F123" t="s">
        <v>419</v>
      </c>
      <c r="G123" t="s">
        <v>295</v>
      </c>
      <c r="H123" t="s">
        <v>153</v>
      </c>
      <c r="I123" t="s">
        <v>154</v>
      </c>
      <c r="J123" t="s">
        <v>57</v>
      </c>
      <c r="K123" s="8" t="str">
        <f t="shared" si="43"/>
        <v>D4ds v4</v>
      </c>
      <c r="L123" s="8">
        <f>VLOOKUP(K123,'Web-SKUS'!A:E,2,FALSE)</f>
        <v>4</v>
      </c>
      <c r="M123" s="8" t="str">
        <f>VLOOKUP(K123,'Web-SKUS'!A:E,4,FALSE)</f>
        <v>16</v>
      </c>
      <c r="N123" t="s">
        <v>277</v>
      </c>
      <c r="O123">
        <v>1</v>
      </c>
      <c r="P123" t="s">
        <v>157</v>
      </c>
      <c r="Q123" t="str">
        <f>IFERROR(VLOOKUP(B123,PercentCPU!B:F,4,FALSE),"")</f>
        <v/>
      </c>
      <c r="R123" t="str">
        <f>IFERROR(VLOOKUP(B123,MemoryAvailable!B:F,3,FALSE),"")</f>
        <v/>
      </c>
      <c r="S123" s="2" t="str">
        <f t="shared" ref="S123:S186" si="44">IFERROR(100%-(R123/(M123*1024)),"")</f>
        <v/>
      </c>
      <c r="T123" t="str">
        <f t="shared" ref="T123:T186" si="45">IFERROR(ROUNDUP(Q123/100*L123,0),"")</f>
        <v/>
      </c>
      <c r="U123" s="8">
        <f t="shared" ref="U123:U186" si="46">IFERROR(ROUND(S123*M123,0),0)</f>
        <v>0</v>
      </c>
      <c r="V123" s="8" t="str">
        <f t="shared" ref="V123:V186" si="47">IFERROR(IF(T123/U123 = 0.25, "D Series",IF(T123/U123 = 0.5, "F Series",IF(T123/U123 = 0.125, "E Series", ) ) ),"")</f>
        <v/>
      </c>
      <c r="W123" s="8" t="str">
        <f>IFERROR(VLOOKUP(B123,Write_Bytes_ps!B:F,4,FALSE)/1024/1024,"")</f>
        <v/>
      </c>
      <c r="X123" s="8" t="str">
        <f>IFERROR(VLOOKUP(B123,Read_Bytes_ps!B:F,4,FALSE)/1024/1024,"")</f>
        <v/>
      </c>
      <c r="Y123" s="8" t="str">
        <f>IFERROR(VLOOKUP(B123,Writes_ps!B:F,5,FALSE),"")</f>
        <v/>
      </c>
      <c r="Z123" s="8" t="str">
        <f>IFERROR(VLOOKUP(B123,Reads_ps!B:F,5,FALSE),"")</f>
        <v/>
      </c>
      <c r="AA123" s="120">
        <f t="shared" si="39"/>
        <v>0</v>
      </c>
      <c r="AB123" s="122">
        <f t="shared" si="42"/>
        <v>0</v>
      </c>
      <c r="AC123" s="122" t="str">
        <f t="shared" ref="AC123:AC186" si="48">K123</f>
        <v>D4ds v4</v>
      </c>
      <c r="AD123" s="8" t="s">
        <v>420</v>
      </c>
      <c r="AE123" s="8">
        <f>IFERROR(VLOOKUP(AD123,'Web-SKUS'!A:E,2,FALSE),"")</f>
        <v>4</v>
      </c>
      <c r="AF123" s="8">
        <f>_xlfn.NUMBERVALUE(IFERROR(VLOOKUP(AD123,'Web-SKUS'!A:E,4,FALSE),""))</f>
        <v>16</v>
      </c>
      <c r="AG123" s="8">
        <f>IFERROR(VLOOKUP(AD123,VM_Performance_Stats!A:G,7,FALSE),0)</f>
        <v>8</v>
      </c>
      <c r="AH123" s="8">
        <f>IFERROR(VLOOKUP(AD123,VM_Performance_Stats!A:I,8,FALSE),"")</f>
        <v>6400</v>
      </c>
      <c r="AI123" s="8">
        <f t="shared" ref="AI123:AI186" si="49">IFERROR(IF(AF123&lt;U123,0,1),0)</f>
        <v>1</v>
      </c>
      <c r="AJ123" s="8">
        <f t="shared" ref="AJ123:AJ186" si="50">IF(AG123&lt;O123,0,1)</f>
        <v>1</v>
      </c>
      <c r="AK123" s="8">
        <f>IFERROR(IF(VLOOKUP(AD123,VM_Performance_Stats!A:I,8,FALSE)&gt;AB123,1,0),0)</f>
        <v>1</v>
      </c>
      <c r="AL123" t="str">
        <f>IFERROR(VLOOKUP(AD123,'Web-SKUS'!A:G,7,FALSE),"")</f>
        <v>£87.3242/month</v>
      </c>
      <c r="AM123" s="116">
        <f t="shared" ref="AM123:AM186" si="51">IFERROR(_xlfn.NUMBERVALUE(REPLACE(REPLACE(AL123,FIND("/month",AL123,1),6,),FIND("£",REPLACE(AL123,FIND("/month",AL123,1),6,),1),1,),".",","),"")</f>
        <v>87.324200000000005</v>
      </c>
      <c r="AN123" t="str">
        <f>IFERROR(IF(C123=1,VLOOKUP(K123,'Web-SKUS'!A:G,7,FALSE),VLOOKUP(K123,'Web-SKUS'!A:G,6,FALSE)),"")</f>
        <v>£87.3242/month</v>
      </c>
      <c r="AO123" s="116">
        <f t="shared" ref="AO123:AO186" si="52">IFERROR(_xlfn.NUMBERVALUE(REPLACE(REPLACE(AN123,FIND("/month",AN123,1),6,),FIND("£",REPLACE(AN123,FIND("/month",AN123,1),6,),1),1,),".",","),"")</f>
        <v>87.324200000000005</v>
      </c>
      <c r="AP123" s="116">
        <f t="shared" ref="AP123:AP186" si="53">IF(_xlfn.NUMBERVALUE(AM123,".",",")&gt;0,AM123,AO123)</f>
        <v>87.324200000000005</v>
      </c>
      <c r="AQ123" s="115">
        <f t="shared" ref="AQ123:AQ186" si="54">IFERROR(IF(AM123&gt;0,AO123-AM123,0),0)</f>
        <v>0</v>
      </c>
      <c r="AR123" s="115">
        <f t="shared" si="34"/>
        <v>0</v>
      </c>
      <c r="AS123" s="115" t="str">
        <f>VLOOKUP(B123,'Willie List'!B:M,12,FALSE)</f>
        <v>YES</v>
      </c>
      <c r="AT123" s="115" t="str">
        <f t="shared" si="35"/>
        <v>Standard_D4ds_v4</v>
      </c>
      <c r="AU123" s="115" t="str">
        <f t="shared" si="36"/>
        <v>D4ds v4</v>
      </c>
      <c r="AV123" t="str">
        <f t="shared" si="37"/>
        <v>D4ds v4</v>
      </c>
      <c r="AW123" s="8">
        <f t="shared" si="38"/>
        <v>1</v>
      </c>
    </row>
    <row r="124" spans="1:49">
      <c r="B124" t="s">
        <v>421</v>
      </c>
      <c r="C124" s="8">
        <f>IFERROR(IF(VLOOKUP(B124,'Willie List'!B:B,1,FALSE) &lt;&gt; "",1,0),0)</f>
        <v>0</v>
      </c>
      <c r="D124" s="8"/>
      <c r="E124" t="s">
        <v>99</v>
      </c>
      <c r="F124" t="s">
        <v>422</v>
      </c>
      <c r="G124" t="s">
        <v>152</v>
      </c>
      <c r="H124" t="s">
        <v>153</v>
      </c>
      <c r="I124" t="s">
        <v>276</v>
      </c>
      <c r="J124" t="s">
        <v>304</v>
      </c>
      <c r="K124" s="8" t="str">
        <f t="shared" si="43"/>
        <v>D2s v4</v>
      </c>
      <c r="L124" s="8">
        <f>VLOOKUP(K124,'Web-SKUS'!A:E,2,FALSE)</f>
        <v>2</v>
      </c>
      <c r="M124" s="8" t="str">
        <f>VLOOKUP(K124,'Web-SKUS'!A:E,4,FALSE)</f>
        <v>8</v>
      </c>
      <c r="N124" t="s">
        <v>277</v>
      </c>
      <c r="O124" s="8">
        <v>1</v>
      </c>
      <c r="P124" t="s">
        <v>157</v>
      </c>
      <c r="Q124">
        <f>IFERROR(VLOOKUP(B124,PercentCPU!B:F,4,FALSE),"")</f>
        <v>3.1887540086768271</v>
      </c>
      <c r="R124">
        <f>IFERROR(VLOOKUP(B124,MemoryAvailable!B:F,3,FALSE),"")</f>
        <v>5362.6102828611129</v>
      </c>
      <c r="S124" s="2">
        <f t="shared" si="44"/>
        <v>0.34538448695543056</v>
      </c>
      <c r="T124">
        <f t="shared" si="45"/>
        <v>1</v>
      </c>
      <c r="U124" s="8">
        <f t="shared" si="46"/>
        <v>3</v>
      </c>
      <c r="V124" s="8">
        <f t="shared" si="47"/>
        <v>0</v>
      </c>
      <c r="W124" s="8">
        <f>IFERROR(VLOOKUP(B124,Write_Bytes_ps!B:F,4,FALSE)/1024/1024,"")</f>
        <v>0.28168112620885299</v>
      </c>
      <c r="X124" s="8">
        <f>IFERROR(VLOOKUP(B124,Read_Bytes_ps!B:F,4,FALSE)/1024/1024,"")</f>
        <v>0.41165826393156402</v>
      </c>
      <c r="Y124" s="8">
        <f>IFERROR(VLOOKUP(B124,Writes_ps!B:F,5,FALSE),"")</f>
        <v>100.69044494628901</v>
      </c>
      <c r="Z124" s="8">
        <f>IFERROR(VLOOKUP(B124,Reads_ps!B:F,5,FALSE),"")</f>
        <v>1035.58154296875</v>
      </c>
      <c r="AA124" s="8">
        <f t="shared" si="39"/>
        <v>0.69333939014041701</v>
      </c>
      <c r="AB124" s="122">
        <f t="shared" si="42"/>
        <v>1137</v>
      </c>
      <c r="AC124" s="122" t="str">
        <f t="shared" si="48"/>
        <v>D2s v4</v>
      </c>
      <c r="AD124" s="8" t="s">
        <v>290</v>
      </c>
      <c r="AE124" s="8">
        <f>IFERROR(VLOOKUP(AD124,'Web-SKUS'!A:E,2,FALSE),"")</f>
        <v>2</v>
      </c>
      <c r="AF124" s="8">
        <f>_xlfn.NUMBERVALUE(IFERROR(VLOOKUP(AD124,'Web-SKUS'!A:E,4,FALSE),""))</f>
        <v>4</v>
      </c>
      <c r="AG124" s="8">
        <f>IFERROR(VLOOKUP(AD124,VM_Performance_Stats!A:G,7,FALSE),0)</f>
        <v>4</v>
      </c>
      <c r="AH124" s="8">
        <f>IFERROR(VLOOKUP(AD124,VM_Performance_Stats!A:I,8,FALSE),"")</f>
        <v>3200</v>
      </c>
      <c r="AI124" s="8">
        <f t="shared" si="49"/>
        <v>1</v>
      </c>
      <c r="AJ124" s="8">
        <f t="shared" si="50"/>
        <v>1</v>
      </c>
      <c r="AK124" s="8">
        <f>IFERROR(IF(VLOOKUP(AD124,VM_Performance_Stats!A:I,8,FALSE)&gt;AB124,1,0),0)</f>
        <v>1</v>
      </c>
      <c r="AL124" t="str">
        <f>IFERROR(VLOOKUP(AD124,'Web-SKUS'!A:G,7,FALSE),"")</f>
        <v>£31.2409/month</v>
      </c>
      <c r="AM124" s="116">
        <f t="shared" si="51"/>
        <v>31.2409</v>
      </c>
      <c r="AN124" t="str">
        <f>IFERROR(IF(C124=1,VLOOKUP(K124,'Web-SKUS'!A:G,7,FALSE),VLOOKUP(K124,'Web-SKUS'!A:G,6,FALSE)),"")</f>
        <v>£62.5687/month</v>
      </c>
      <c r="AO124" s="116">
        <f t="shared" si="52"/>
        <v>62.5687</v>
      </c>
      <c r="AP124" s="116">
        <f t="shared" si="53"/>
        <v>31.2409</v>
      </c>
      <c r="AQ124" s="115">
        <f t="shared" si="54"/>
        <v>31.3278</v>
      </c>
      <c r="AR124" s="115">
        <f t="shared" si="34"/>
        <v>375.93360000000001</v>
      </c>
      <c r="AS124" s="115" t="e">
        <f>VLOOKUP(B124,'Willie List'!B:M,12,FALSE)</f>
        <v>#N/A</v>
      </c>
      <c r="AT124" s="115" t="str">
        <f t="shared" si="35"/>
        <v>Standard_D2s_v4</v>
      </c>
      <c r="AU124" s="115" t="str">
        <f t="shared" si="36"/>
        <v>D2s v4</v>
      </c>
      <c r="AV124" t="str">
        <f t="shared" si="37"/>
        <v>F2s v2</v>
      </c>
      <c r="AW124" s="8">
        <f t="shared" si="38"/>
        <v>0</v>
      </c>
    </row>
    <row r="125" spans="1:49">
      <c r="A125" t="s">
        <v>314</v>
      </c>
      <c r="B125" t="s">
        <v>423</v>
      </c>
      <c r="C125" s="8">
        <f>IFERROR(IF(VLOOKUP(B125,'Willie List'!B:B,1,FALSE) &lt;&gt; "",1,0),0)</f>
        <v>1</v>
      </c>
      <c r="D125" s="8"/>
      <c r="E125" t="s">
        <v>99</v>
      </c>
      <c r="F125" t="s">
        <v>424</v>
      </c>
      <c r="G125" t="s">
        <v>152</v>
      </c>
      <c r="H125" t="s">
        <v>153</v>
      </c>
      <c r="I125" t="s">
        <v>276</v>
      </c>
      <c r="J125" t="s">
        <v>58</v>
      </c>
      <c r="K125" s="8" t="str">
        <f t="shared" si="43"/>
        <v>D8ds v4</v>
      </c>
      <c r="L125" s="8">
        <f>VLOOKUP(K125,'Web-SKUS'!A:E,2,FALSE)</f>
        <v>8</v>
      </c>
      <c r="M125" s="8" t="str">
        <f>VLOOKUP(K125,'Web-SKUS'!A:E,4,FALSE)</f>
        <v>32</v>
      </c>
      <c r="N125" t="s">
        <v>277</v>
      </c>
      <c r="O125" s="8">
        <v>2</v>
      </c>
      <c r="P125" t="s">
        <v>157</v>
      </c>
      <c r="Q125">
        <f>IFERROR(VLOOKUP(B125,PercentCPU!B:F,4,FALSE),"")</f>
        <v>2.1664973486705321</v>
      </c>
      <c r="R125">
        <f>IFERROR(VLOOKUP(B125,MemoryAvailable!B:F,3,FALSE),"")</f>
        <v>27374.39092857311</v>
      </c>
      <c r="S125" s="2">
        <f t="shared" si="44"/>
        <v>0.16459988621297883</v>
      </c>
      <c r="T125">
        <f t="shared" si="45"/>
        <v>1</v>
      </c>
      <c r="U125" s="8">
        <f t="shared" si="46"/>
        <v>5</v>
      </c>
      <c r="V125" s="8">
        <f t="shared" si="47"/>
        <v>0</v>
      </c>
      <c r="W125" s="8">
        <f>IFERROR(VLOOKUP(B125,Write_Bytes_ps!B:F,4,FALSE)/1024/1024,"")</f>
        <v>0.21813601455210635</v>
      </c>
      <c r="X125" s="8">
        <f>IFERROR(VLOOKUP(B125,Read_Bytes_ps!B:F,4,FALSE)/1024/1024,"")</f>
        <v>0.32126317812102956</v>
      </c>
      <c r="Y125" s="8">
        <f>IFERROR(VLOOKUP(B125,Writes_ps!B:F,5,FALSE),"")</f>
        <v>119.09040069580099</v>
      </c>
      <c r="Z125" s="8">
        <f>IFERROR(VLOOKUP(B125,Reads_ps!B:F,5,FALSE),"")</f>
        <v>1037.73681640625</v>
      </c>
      <c r="AA125" s="120">
        <f t="shared" si="39"/>
        <v>0.53939919267313585</v>
      </c>
      <c r="AB125" s="122">
        <f t="shared" si="42"/>
        <v>1157</v>
      </c>
      <c r="AC125" s="122" t="str">
        <f t="shared" si="48"/>
        <v>D8ds v4</v>
      </c>
      <c r="AD125" s="8" t="s">
        <v>412</v>
      </c>
      <c r="AE125" s="8">
        <f>IFERROR(VLOOKUP(AD125,'Web-SKUS'!A:E,2,FALSE),"")</f>
        <v>2</v>
      </c>
      <c r="AF125" s="8">
        <f>_xlfn.NUMBERVALUE(IFERROR(VLOOKUP(AD125,'Web-SKUS'!A:E,4,FALSE),""))</f>
        <v>8</v>
      </c>
      <c r="AG125" s="8">
        <f>IFERROR(VLOOKUP(AD125,VM_Performance_Stats!A:G,7,FALSE),0)</f>
        <v>4</v>
      </c>
      <c r="AH125" s="8">
        <f>IFERROR(VLOOKUP(AD125,VM_Performance_Stats!A:I,8,FALSE),"")</f>
        <v>3200</v>
      </c>
      <c r="AI125" s="8">
        <f t="shared" si="49"/>
        <v>1</v>
      </c>
      <c r="AJ125" s="8">
        <f t="shared" si="50"/>
        <v>1</v>
      </c>
      <c r="AK125" s="8">
        <f>IFERROR(IF(VLOOKUP(AD125,VM_Performance_Stats!A:I,8,FALSE)&gt;AB125,1,0),0)</f>
        <v>1</v>
      </c>
      <c r="AL125" t="str">
        <f>IFERROR(VLOOKUP(AD125,'Web-SKUS'!A:G,7,FALSE),"")</f>
        <v>£43.6621/month</v>
      </c>
      <c r="AM125" s="116">
        <f t="shared" si="51"/>
        <v>43.662100000000002</v>
      </c>
      <c r="AN125" t="str">
        <f>IFERROR(IF(C125=1,VLOOKUP(K125,'Web-SKUS'!A:G,7,FALSE),VLOOKUP(K125,'Web-SKUS'!A:G,6,FALSE)),"")</f>
        <v>£174.6483/month</v>
      </c>
      <c r="AO125" s="116">
        <f t="shared" si="52"/>
        <v>174.64830000000001</v>
      </c>
      <c r="AP125" s="116">
        <f t="shared" si="53"/>
        <v>43.662100000000002</v>
      </c>
      <c r="AQ125" s="115">
        <f t="shared" si="54"/>
        <v>130.9862</v>
      </c>
      <c r="AR125" s="115">
        <f t="shared" si="34"/>
        <v>1571.8344</v>
      </c>
      <c r="AS125" s="115" t="str">
        <f>VLOOKUP(B125,'Willie List'!B:M,12,FALSE)</f>
        <v>YES</v>
      </c>
      <c r="AT125" s="115" t="str">
        <f t="shared" si="35"/>
        <v>Standard_D8ds_v4</v>
      </c>
      <c r="AU125" s="115" t="str">
        <f t="shared" si="36"/>
        <v>D8ds v4</v>
      </c>
      <c r="AV125" t="str">
        <f t="shared" si="37"/>
        <v>D2ds v4</v>
      </c>
      <c r="AW125" s="8">
        <f t="shared" si="38"/>
        <v>0</v>
      </c>
    </row>
    <row r="126" spans="1:49">
      <c r="A126" t="s">
        <v>314</v>
      </c>
      <c r="B126" t="s">
        <v>425</v>
      </c>
      <c r="C126" s="8">
        <f>IFERROR(IF(VLOOKUP(B126,'Willie List'!B:B,1,FALSE) &lt;&gt; "",1,0),0)</f>
        <v>1</v>
      </c>
      <c r="D126" s="8"/>
      <c r="E126" t="s">
        <v>99</v>
      </c>
      <c r="F126" t="s">
        <v>426</v>
      </c>
      <c r="G126" t="s">
        <v>152</v>
      </c>
      <c r="H126" t="s">
        <v>153</v>
      </c>
      <c r="I126" t="s">
        <v>276</v>
      </c>
      <c r="J126" t="s">
        <v>57</v>
      </c>
      <c r="K126" s="8" t="str">
        <f t="shared" si="43"/>
        <v>D4ds v4</v>
      </c>
      <c r="L126" s="8">
        <f>VLOOKUP(K126,'Web-SKUS'!A:E,2,FALSE)</f>
        <v>4</v>
      </c>
      <c r="M126" s="8" t="str">
        <f>VLOOKUP(K126,'Web-SKUS'!A:E,4,FALSE)</f>
        <v>16</v>
      </c>
      <c r="N126" t="s">
        <v>277</v>
      </c>
      <c r="O126" s="8">
        <v>1</v>
      </c>
      <c r="P126" t="s">
        <v>157</v>
      </c>
      <c r="Q126">
        <f>IFERROR(VLOOKUP(B126,PercentCPU!B:F,4,FALSE),"")</f>
        <v>25.823325875813563</v>
      </c>
      <c r="R126">
        <f>IFERROR(VLOOKUP(B126,MemoryAvailable!B:F,3,FALSE),"")</f>
        <v>12010.163835151629</v>
      </c>
      <c r="S126" s="2">
        <f t="shared" si="44"/>
        <v>0.26695777373342111</v>
      </c>
      <c r="T126">
        <f t="shared" si="45"/>
        <v>2</v>
      </c>
      <c r="U126" s="8">
        <f t="shared" si="46"/>
        <v>4</v>
      </c>
      <c r="V126" s="8" t="str">
        <f t="shared" si="47"/>
        <v>F Series</v>
      </c>
      <c r="W126" s="8">
        <f>IFERROR(VLOOKUP(B126,Write_Bytes_ps!B:F,4,FALSE)/1024/1024,"")</f>
        <v>0.13206419259269639</v>
      </c>
      <c r="X126" s="8">
        <f>IFERROR(VLOOKUP(B126,Read_Bytes_ps!B:F,4,FALSE)/1024/1024,"")</f>
        <v>0.1172415900871195</v>
      </c>
      <c r="Y126" s="8">
        <f>IFERROR(VLOOKUP(B126,Writes_ps!B:F,5,FALSE),"")</f>
        <v>593.216064453125</v>
      </c>
      <c r="Z126" s="8">
        <f>IFERROR(VLOOKUP(B126,Reads_ps!B:F,5,FALSE),"")</f>
        <v>385.37066650390602</v>
      </c>
      <c r="AA126" s="120">
        <f t="shared" si="39"/>
        <v>0.2493057826798159</v>
      </c>
      <c r="AB126" s="122">
        <f t="shared" si="42"/>
        <v>979</v>
      </c>
      <c r="AC126" s="122" t="str">
        <f t="shared" si="48"/>
        <v>D4ds v4</v>
      </c>
      <c r="AD126" s="8" t="s">
        <v>290</v>
      </c>
      <c r="AE126" s="8">
        <f>IFERROR(VLOOKUP(AD126,'Web-SKUS'!A:E,2,FALSE),"")</f>
        <v>2</v>
      </c>
      <c r="AF126" s="8">
        <f>_xlfn.NUMBERVALUE(IFERROR(VLOOKUP(AD126,'Web-SKUS'!A:E,4,FALSE),""))</f>
        <v>4</v>
      </c>
      <c r="AG126" s="8">
        <f>IFERROR(VLOOKUP(AD126,VM_Performance_Stats!A:G,7,FALSE),0)</f>
        <v>4</v>
      </c>
      <c r="AH126" s="8">
        <f>IFERROR(VLOOKUP(AD126,VM_Performance_Stats!A:I,8,FALSE),"")</f>
        <v>3200</v>
      </c>
      <c r="AI126" s="8">
        <f t="shared" si="49"/>
        <v>1</v>
      </c>
      <c r="AJ126" s="8">
        <f t="shared" si="50"/>
        <v>1</v>
      </c>
      <c r="AK126" s="8">
        <f>IFERROR(IF(VLOOKUP(AD126,VM_Performance_Stats!A:I,8,FALSE)&gt;AB126,1,0),0)</f>
        <v>1</v>
      </c>
      <c r="AL126" t="str">
        <f>IFERROR(VLOOKUP(AD126,'Web-SKUS'!A:G,7,FALSE),"")</f>
        <v>£31.2409/month</v>
      </c>
      <c r="AM126" s="116">
        <f t="shared" si="51"/>
        <v>31.2409</v>
      </c>
      <c r="AN126" t="str">
        <f>IFERROR(IF(C126=1,VLOOKUP(K126,'Web-SKUS'!A:G,7,FALSE),VLOOKUP(K126,'Web-SKUS'!A:G,6,FALSE)),"")</f>
        <v>£87.3242/month</v>
      </c>
      <c r="AO126" s="116">
        <f t="shared" si="52"/>
        <v>87.324200000000005</v>
      </c>
      <c r="AP126" s="116">
        <f t="shared" si="53"/>
        <v>31.2409</v>
      </c>
      <c r="AQ126" s="115">
        <f t="shared" si="54"/>
        <v>56.083300000000008</v>
      </c>
      <c r="AR126" s="115">
        <f t="shared" si="34"/>
        <v>672.9996000000001</v>
      </c>
      <c r="AS126" s="115" t="str">
        <f>VLOOKUP(B126,'Willie List'!B:M,12,FALSE)</f>
        <v>YES</v>
      </c>
      <c r="AT126" s="115" t="str">
        <f t="shared" si="35"/>
        <v>Standard_D4ds_v4</v>
      </c>
      <c r="AU126" s="115" t="str">
        <f t="shared" si="36"/>
        <v>D4ds v4</v>
      </c>
      <c r="AV126" t="str">
        <f t="shared" si="37"/>
        <v>F2s v2</v>
      </c>
      <c r="AW126" s="8">
        <f t="shared" si="38"/>
        <v>0</v>
      </c>
    </row>
    <row r="127" spans="1:49">
      <c r="B127" t="s">
        <v>427</v>
      </c>
      <c r="C127" s="8">
        <f>IFERROR(IF(VLOOKUP(B127,'Willie List'!B:B,1,FALSE) &lt;&gt; "",1,0),0)</f>
        <v>1</v>
      </c>
      <c r="D127" s="8"/>
      <c r="E127" t="s">
        <v>99</v>
      </c>
      <c r="F127" t="s">
        <v>428</v>
      </c>
      <c r="G127" t="s">
        <v>152</v>
      </c>
      <c r="H127" t="s">
        <v>153</v>
      </c>
      <c r="I127" t="s">
        <v>276</v>
      </c>
      <c r="J127" t="s">
        <v>57</v>
      </c>
      <c r="K127" s="8" t="str">
        <f t="shared" si="43"/>
        <v>D4ds v4</v>
      </c>
      <c r="L127" s="8">
        <f>VLOOKUP(K127,'Web-SKUS'!A:E,2,FALSE)</f>
        <v>4</v>
      </c>
      <c r="M127" s="8" t="str">
        <f>VLOOKUP(K127,'Web-SKUS'!A:E,4,FALSE)</f>
        <v>16</v>
      </c>
      <c r="N127" t="s">
        <v>277</v>
      </c>
      <c r="O127" s="8">
        <v>1</v>
      </c>
      <c r="P127" t="s">
        <v>157</v>
      </c>
      <c r="Q127">
        <f>IFERROR(VLOOKUP(B127,PercentCPU!B:F,4,FALSE),"")</f>
        <v>2.4338774339396063</v>
      </c>
      <c r="R127">
        <f>IFERROR(VLOOKUP(B127,MemoryAvailable!B:F,3,FALSE),"")</f>
        <v>13124.872688010515</v>
      </c>
      <c r="S127" s="2">
        <f t="shared" si="44"/>
        <v>0.19892134472592071</v>
      </c>
      <c r="T127">
        <f t="shared" si="45"/>
        <v>1</v>
      </c>
      <c r="U127" s="8">
        <f t="shared" si="46"/>
        <v>3</v>
      </c>
      <c r="V127" s="8">
        <f t="shared" si="47"/>
        <v>0</v>
      </c>
      <c r="W127" s="8">
        <f>IFERROR(VLOOKUP(B127,Write_Bytes_ps!B:F,4,FALSE)/1024/1024,"")</f>
        <v>0.48757508257625121</v>
      </c>
      <c r="X127" s="8">
        <f>IFERROR(VLOOKUP(B127,Read_Bytes_ps!B:F,4,FALSE)/1024/1024,"")</f>
        <v>0.26566921543002719</v>
      </c>
      <c r="Y127" s="8">
        <f>IFERROR(VLOOKUP(B127,Writes_ps!B:F,5,FALSE),"")</f>
        <v>589.67663574218795</v>
      </c>
      <c r="Z127" s="8">
        <f>IFERROR(VLOOKUP(B127,Reads_ps!B:F,5,FALSE),"")</f>
        <v>502.38406372070301</v>
      </c>
      <c r="AA127" s="120">
        <f t="shared" si="39"/>
        <v>0.75324429800627835</v>
      </c>
      <c r="AB127" s="122">
        <f t="shared" si="42"/>
        <v>1093</v>
      </c>
      <c r="AC127" s="122" t="str">
        <f t="shared" si="48"/>
        <v>D4ds v4</v>
      </c>
      <c r="AD127" s="8" t="s">
        <v>290</v>
      </c>
      <c r="AE127" s="8">
        <f>IFERROR(VLOOKUP(AD127,'Web-SKUS'!A:E,2,FALSE),"")</f>
        <v>2</v>
      </c>
      <c r="AF127" s="8">
        <f>_xlfn.NUMBERVALUE(IFERROR(VLOOKUP(AD127,'Web-SKUS'!A:E,4,FALSE),""))</f>
        <v>4</v>
      </c>
      <c r="AG127" s="8">
        <f>IFERROR(VLOOKUP(AD127,VM_Performance_Stats!A:G,7,FALSE),0)</f>
        <v>4</v>
      </c>
      <c r="AH127" s="8">
        <f>IFERROR(VLOOKUP(AD127,VM_Performance_Stats!A:I,8,FALSE),"")</f>
        <v>3200</v>
      </c>
      <c r="AI127" s="8">
        <f t="shared" si="49"/>
        <v>1</v>
      </c>
      <c r="AJ127" s="8">
        <f t="shared" si="50"/>
        <v>1</v>
      </c>
      <c r="AK127" s="8">
        <f>IFERROR(IF(VLOOKUP(AD127,VM_Performance_Stats!A:I,8,FALSE)&gt;AB127,1,0),0)</f>
        <v>1</v>
      </c>
      <c r="AL127" t="str">
        <f>IFERROR(VLOOKUP(AD127,'Web-SKUS'!A:G,7,FALSE),"")</f>
        <v>£31.2409/month</v>
      </c>
      <c r="AM127" s="116">
        <f t="shared" si="51"/>
        <v>31.2409</v>
      </c>
      <c r="AN127" t="str">
        <f>IFERROR(IF(C127=1,VLOOKUP(K127,'Web-SKUS'!A:G,7,FALSE),VLOOKUP(K127,'Web-SKUS'!A:G,6,FALSE)),"")</f>
        <v>£87.3242/month</v>
      </c>
      <c r="AO127" s="116">
        <f t="shared" si="52"/>
        <v>87.324200000000005</v>
      </c>
      <c r="AP127" s="116">
        <f t="shared" si="53"/>
        <v>31.2409</v>
      </c>
      <c r="AQ127" s="115">
        <f t="shared" si="54"/>
        <v>56.083300000000008</v>
      </c>
      <c r="AR127" s="115">
        <f t="shared" si="34"/>
        <v>672.9996000000001</v>
      </c>
      <c r="AS127" s="115" t="str">
        <f>VLOOKUP(B127,'Willie List'!B:M,12,FALSE)</f>
        <v>YES</v>
      </c>
      <c r="AT127" s="115" t="str">
        <f t="shared" si="35"/>
        <v>Standard_D4ds_v4</v>
      </c>
      <c r="AU127" s="115" t="str">
        <f t="shared" si="36"/>
        <v>D4ds v4</v>
      </c>
      <c r="AV127" t="str">
        <f t="shared" si="37"/>
        <v>F2s v2</v>
      </c>
      <c r="AW127" s="8">
        <f t="shared" si="38"/>
        <v>0</v>
      </c>
    </row>
    <row r="128" spans="1:49">
      <c r="B128" t="s">
        <v>429</v>
      </c>
      <c r="C128" s="8">
        <f>IFERROR(IF(VLOOKUP(B128,'Willie List'!B:B,1,FALSE) &lt;&gt; "",1,0),0)</f>
        <v>1</v>
      </c>
      <c r="D128" s="8"/>
      <c r="E128" t="s">
        <v>99</v>
      </c>
      <c r="F128" t="s">
        <v>430</v>
      </c>
      <c r="G128" t="s">
        <v>152</v>
      </c>
      <c r="H128" t="s">
        <v>153</v>
      </c>
      <c r="I128" t="s">
        <v>276</v>
      </c>
      <c r="J128" t="s">
        <v>431</v>
      </c>
      <c r="K128" s="8" t="str">
        <f t="shared" si="43"/>
        <v>B4MS</v>
      </c>
      <c r="L128" s="8">
        <f>VLOOKUP(K128,'Web-SKUS'!A:E,2,FALSE)</f>
        <v>4</v>
      </c>
      <c r="M128" s="8" t="str">
        <f>VLOOKUP(K128,'Web-SKUS'!A:E,4,FALSE)</f>
        <v>16</v>
      </c>
      <c r="N128" t="s">
        <v>277</v>
      </c>
      <c r="O128" s="8">
        <v>4</v>
      </c>
      <c r="P128" t="s">
        <v>157</v>
      </c>
      <c r="Q128">
        <f>IFERROR(VLOOKUP(B128,PercentCPU!B:F,4,FALSE),"")</f>
        <v>13.295935199518043</v>
      </c>
      <c r="R128">
        <f>IFERROR(VLOOKUP(B128,MemoryAvailable!B:F,3,FALSE),"")</f>
        <v>2022.2930347672363</v>
      </c>
      <c r="S128" s="2">
        <f t="shared" si="44"/>
        <v>0.87656902863969499</v>
      </c>
      <c r="T128">
        <f t="shared" si="45"/>
        <v>1</v>
      </c>
      <c r="U128" s="8">
        <f t="shared" si="46"/>
        <v>14</v>
      </c>
      <c r="V128" s="8">
        <f t="shared" si="47"/>
        <v>0</v>
      </c>
      <c r="W128" s="8">
        <f>IFERROR(VLOOKUP(B128,Write_Bytes_ps!B:F,4,FALSE)/1024/1024,"")</f>
        <v>0.54920492813827382</v>
      </c>
      <c r="X128" s="8">
        <f>IFERROR(VLOOKUP(B128,Read_Bytes_ps!B:F,4,FALSE)/1024/1024,"")</f>
        <v>0.41012357925514475</v>
      </c>
      <c r="Y128" s="8">
        <f>IFERROR(VLOOKUP(B128,Writes_ps!B:F,5,FALSE),"")</f>
        <v>549.86151123046898</v>
      </c>
      <c r="Z128" s="8">
        <f>IFERROR(VLOOKUP(B128,Reads_ps!B:F,5,FALSE),"")</f>
        <v>690.72229003906295</v>
      </c>
      <c r="AA128" s="120">
        <f t="shared" si="39"/>
        <v>0.95932850739341857</v>
      </c>
      <c r="AB128" s="122">
        <f t="shared" si="42"/>
        <v>1241</v>
      </c>
      <c r="AC128" s="122" t="str">
        <f t="shared" si="48"/>
        <v>B4MS</v>
      </c>
      <c r="AD128" s="8" t="s">
        <v>432</v>
      </c>
      <c r="AE128" s="8">
        <f>IFERROR(VLOOKUP(AD128,'Web-SKUS'!A:E,2,FALSE),"")</f>
        <v>4</v>
      </c>
      <c r="AF128" s="8">
        <f>_xlfn.NUMBERVALUE(IFERROR(VLOOKUP(AD128,'Web-SKUS'!A:E,4,FALSE),""))</f>
        <v>16</v>
      </c>
      <c r="AG128" s="8">
        <f>IFERROR(VLOOKUP(AD128,VM_Performance_Stats!A:G,7,FALSE),0)</f>
        <v>8</v>
      </c>
      <c r="AH128" s="8">
        <f>IFERROR(VLOOKUP(AD128,VM_Performance_Stats!A:I,8,FALSE),"")</f>
        <v>2880</v>
      </c>
      <c r="AI128" s="8">
        <f t="shared" si="49"/>
        <v>1</v>
      </c>
      <c r="AJ128" s="8">
        <f t="shared" si="50"/>
        <v>1</v>
      </c>
      <c r="AK128" s="8">
        <f>IFERROR(IF(VLOOKUP(AD128,VM_Performance_Stats!A:I,8,FALSE)&gt;AB128,1,0),0)</f>
        <v>1</v>
      </c>
      <c r="AL128" t="str">
        <f>IFERROR(VLOOKUP(AD128,'Web-SKUS'!A:G,7,FALSE),"")</f>
        <v>£61.1161/month</v>
      </c>
      <c r="AM128" s="116">
        <f t="shared" si="51"/>
        <v>61.116100000000003</v>
      </c>
      <c r="AN128" t="str">
        <f>IFERROR(IF(C128=1,VLOOKUP(K128,'Web-SKUS'!A:G,7,FALSE),VLOOKUP(K128,'Web-SKUS'!A:G,6,FALSE)),"")</f>
        <v>£61.1161/month</v>
      </c>
      <c r="AO128" s="116">
        <f t="shared" si="52"/>
        <v>61.116100000000003</v>
      </c>
      <c r="AP128" s="116">
        <f t="shared" si="53"/>
        <v>61.116100000000003</v>
      </c>
      <c r="AQ128" s="115">
        <f t="shared" si="54"/>
        <v>0</v>
      </c>
      <c r="AR128" s="115">
        <f t="shared" si="34"/>
        <v>0</v>
      </c>
      <c r="AS128" s="115" t="str">
        <f>VLOOKUP(B128,'Willie List'!B:M,12,FALSE)</f>
        <v>YES</v>
      </c>
      <c r="AT128" s="115" t="str">
        <f t="shared" si="35"/>
        <v>Standard_B4MS</v>
      </c>
      <c r="AU128" s="115" t="str">
        <f t="shared" si="36"/>
        <v>B4MS</v>
      </c>
      <c r="AV128" t="str">
        <f t="shared" si="37"/>
        <v>B4ms</v>
      </c>
      <c r="AW128" s="8">
        <f t="shared" si="38"/>
        <v>1</v>
      </c>
    </row>
    <row r="129" spans="1:49" s="238" customFormat="1">
      <c r="A129" s="238" t="s">
        <v>376</v>
      </c>
      <c r="B129" t="s">
        <v>433</v>
      </c>
      <c r="C129" s="8">
        <f>IFERROR(IF(VLOOKUP(B129,'Willie List'!B:B,1,FALSE) &lt;&gt; "",1,0),0)</f>
        <v>1</v>
      </c>
      <c r="D129" s="8"/>
      <c r="E129" t="s">
        <v>99</v>
      </c>
      <c r="F129" t="s">
        <v>434</v>
      </c>
      <c r="G129" t="s">
        <v>152</v>
      </c>
      <c r="H129" t="s">
        <v>153</v>
      </c>
      <c r="I129" t="s">
        <v>276</v>
      </c>
      <c r="J129" t="s">
        <v>56</v>
      </c>
      <c r="K129" s="8" t="str">
        <f t="shared" si="43"/>
        <v>D2ds v4</v>
      </c>
      <c r="L129" s="8">
        <f>VLOOKUP(K129,'Web-SKUS'!A:E,2,FALSE)</f>
        <v>2</v>
      </c>
      <c r="M129" s="8" t="str">
        <f>VLOOKUP(K129,'Web-SKUS'!A:E,4,FALSE)</f>
        <v>8</v>
      </c>
      <c r="N129" t="s">
        <v>277</v>
      </c>
      <c r="O129" s="8">
        <v>2</v>
      </c>
      <c r="P129" t="s">
        <v>157</v>
      </c>
      <c r="Q129">
        <f>IFERROR(VLOOKUP(B129,PercentCPU!B:F,4,FALSE),"")</f>
        <v>8.1016982820013368</v>
      </c>
      <c r="R129">
        <f>IFERROR(VLOOKUP(B129,MemoryAvailable!B:F,3,FALSE),"")</f>
        <v>3165.1016445973328</v>
      </c>
      <c r="S129" s="2">
        <f t="shared" si="44"/>
        <v>0.61363505314973965</v>
      </c>
      <c r="T129">
        <f t="shared" si="45"/>
        <v>1</v>
      </c>
      <c r="U129" s="8">
        <f t="shared" si="46"/>
        <v>5</v>
      </c>
      <c r="V129" s="8">
        <f t="shared" si="47"/>
        <v>0</v>
      </c>
      <c r="W129" s="8">
        <f>IFERROR(VLOOKUP(B129,Write_Bytes_ps!B:F,4,FALSE)/1024/1024,"")</f>
        <v>0.21398346570636162</v>
      </c>
      <c r="X129" s="8">
        <f>IFERROR(VLOOKUP(B129,Read_Bytes_ps!B:F,4,FALSE)/1024/1024,"")</f>
        <v>0.59283442219577875</v>
      </c>
      <c r="Y129" s="8">
        <f>IFERROR(VLOOKUP(B129,Writes_ps!B:F,5,FALSE),"")</f>
        <v>105.127143859863</v>
      </c>
      <c r="Z129" s="8">
        <f>IFERROR(VLOOKUP(B129,Reads_ps!B:F,5,FALSE),"")</f>
        <v>286.48736572265602</v>
      </c>
      <c r="AA129" s="120">
        <f t="shared" si="39"/>
        <v>0.80681788790214037</v>
      </c>
      <c r="AB129" s="122">
        <f t="shared" si="42"/>
        <v>392</v>
      </c>
      <c r="AC129" s="122" t="str">
        <f t="shared" si="48"/>
        <v>D2ds v4</v>
      </c>
      <c r="AD129" s="8" t="s">
        <v>412</v>
      </c>
      <c r="AE129" s="8">
        <f>IFERROR(VLOOKUP(AD129,'Web-SKUS'!A:E,2,FALSE),"")</f>
        <v>2</v>
      </c>
      <c r="AF129" s="8">
        <f>_xlfn.NUMBERVALUE(IFERROR(VLOOKUP(AD129,'Web-SKUS'!A:E,4,FALSE),""))</f>
        <v>8</v>
      </c>
      <c r="AG129" s="8">
        <f>IFERROR(VLOOKUP(AD129,VM_Performance_Stats!A:G,7,FALSE),0)</f>
        <v>4</v>
      </c>
      <c r="AH129" s="8">
        <f>IFERROR(VLOOKUP(AD129,VM_Performance_Stats!A:I,8,FALSE),"")</f>
        <v>3200</v>
      </c>
      <c r="AI129" s="8">
        <f t="shared" si="49"/>
        <v>1</v>
      </c>
      <c r="AJ129" s="8">
        <f t="shared" si="50"/>
        <v>1</v>
      </c>
      <c r="AK129" s="8">
        <f>IFERROR(IF(VLOOKUP(AD129,VM_Performance_Stats!A:I,8,FALSE)&gt;AB129,1,0),0)</f>
        <v>1</v>
      </c>
      <c r="AL129" t="str">
        <f>IFERROR(VLOOKUP(AD129,'Web-SKUS'!A:G,7,FALSE),"")</f>
        <v>£43.6621/month</v>
      </c>
      <c r="AM129" s="116">
        <f t="shared" si="51"/>
        <v>43.662100000000002</v>
      </c>
      <c r="AN129" t="str">
        <f>IFERROR(IF(C129=1,VLOOKUP(K129,'Web-SKUS'!A:G,7,FALSE),VLOOKUP(K129,'Web-SKUS'!A:G,6,FALSE)),"")</f>
        <v>£43.6621/month</v>
      </c>
      <c r="AO129" s="116">
        <f t="shared" si="52"/>
        <v>43.662100000000002</v>
      </c>
      <c r="AP129" s="116">
        <f t="shared" si="53"/>
        <v>43.662100000000002</v>
      </c>
      <c r="AQ129" s="115">
        <f t="shared" si="54"/>
        <v>0</v>
      </c>
      <c r="AR129" s="244">
        <f t="shared" si="34"/>
        <v>0</v>
      </c>
      <c r="AS129" s="244" t="str">
        <f>VLOOKUP(B129,'Willie List'!B:M,12,FALSE)</f>
        <v>YES</v>
      </c>
      <c r="AT129" s="244" t="str">
        <f t="shared" si="35"/>
        <v>Standard_D2ds_v4</v>
      </c>
      <c r="AU129" s="244" t="str">
        <f t="shared" si="36"/>
        <v>D2ds v4</v>
      </c>
      <c r="AV129" s="238" t="str">
        <f t="shared" si="37"/>
        <v>D2ds v4</v>
      </c>
      <c r="AW129" s="239">
        <f t="shared" si="38"/>
        <v>1</v>
      </c>
    </row>
    <row r="130" spans="1:49">
      <c r="B130" s="245" t="s">
        <v>435</v>
      </c>
      <c r="C130" s="246">
        <f>IFERROR(IF(VLOOKUP(B130,'Willie List'!B:B,1,FALSE) &lt;&gt; "",1,0),0)</f>
        <v>1</v>
      </c>
      <c r="D130" s="246"/>
      <c r="E130" s="245" t="s">
        <v>101</v>
      </c>
      <c r="F130" s="245" t="s">
        <v>436</v>
      </c>
      <c r="G130" s="245" t="s">
        <v>288</v>
      </c>
      <c r="H130" s="245" t="s">
        <v>153</v>
      </c>
      <c r="I130" s="245" t="s">
        <v>154</v>
      </c>
      <c r="J130" s="245" t="s">
        <v>57</v>
      </c>
      <c r="K130" s="246" t="str">
        <f t="shared" si="43"/>
        <v>D4ds v4</v>
      </c>
      <c r="L130" s="246">
        <f>VLOOKUP(K130,'Web-SKUS'!A:E,2,FALSE)</f>
        <v>4</v>
      </c>
      <c r="M130" s="246" t="str">
        <f>VLOOKUP(K130,'Web-SKUS'!A:E,4,FALSE)</f>
        <v>16</v>
      </c>
      <c r="N130" s="245" t="s">
        <v>277</v>
      </c>
      <c r="O130" s="246">
        <v>1</v>
      </c>
      <c r="P130" s="245" t="s">
        <v>157</v>
      </c>
      <c r="Q130" s="245">
        <f>IFERROR(VLOOKUP(B130,PercentCPU!B:F,4,FALSE),"")</f>
        <v>2.9383842750043367</v>
      </c>
      <c r="R130" s="245">
        <f>IFERROR(VLOOKUP(B130,MemoryAvailable!B:F,3,FALSE),"")</f>
        <v>14402.091888450357</v>
      </c>
      <c r="S130" s="247">
        <f t="shared" si="44"/>
        <v>0.12096607126157488</v>
      </c>
      <c r="T130" s="245">
        <f t="shared" si="45"/>
        <v>1</v>
      </c>
      <c r="U130" s="246">
        <f t="shared" si="46"/>
        <v>2</v>
      </c>
      <c r="V130" s="246" t="str">
        <f t="shared" si="47"/>
        <v>F Series</v>
      </c>
      <c r="W130" s="8">
        <f>IFERROR(VLOOKUP(B130,Write_Bytes_ps!B:F,4,FALSE)/1024/1024,"")</f>
        <v>9.7537033996682829E-2</v>
      </c>
      <c r="X130" s="8">
        <f>IFERROR(VLOOKUP(B130,Read_Bytes_ps!B:F,4,FALSE)/1024/1024,"")</f>
        <v>0</v>
      </c>
      <c r="Y130" s="8">
        <f>IFERROR(VLOOKUP(B130,Writes_ps!B:F,5,FALSE),"")</f>
        <v>171.85014687172799</v>
      </c>
      <c r="Z130" s="8">
        <f>IFERROR(VLOOKUP(B130,Reads_ps!B:F,5,FALSE),"")</f>
        <v>615.94864984056005</v>
      </c>
      <c r="AA130" s="248">
        <f t="shared" si="39"/>
        <v>9.7537033996682829E-2</v>
      </c>
      <c r="AB130" s="249">
        <f t="shared" si="42"/>
        <v>788</v>
      </c>
      <c r="AC130" s="249" t="str">
        <f t="shared" si="48"/>
        <v>D4ds v4</v>
      </c>
      <c r="AD130" s="246" t="s">
        <v>290</v>
      </c>
      <c r="AE130" s="246">
        <f>IFERROR(VLOOKUP(AD130,'Web-SKUS'!A:E,2,FALSE),"")</f>
        <v>2</v>
      </c>
      <c r="AF130" s="246">
        <f>_xlfn.NUMBERVALUE(IFERROR(VLOOKUP(AD130,'Web-SKUS'!A:E,4,FALSE),""))</f>
        <v>4</v>
      </c>
      <c r="AG130" s="246">
        <f>IFERROR(VLOOKUP(AD130,VM_Performance_Stats!A:G,7,FALSE),0)</f>
        <v>4</v>
      </c>
      <c r="AH130" s="246">
        <f>IFERROR(VLOOKUP(AD130,VM_Performance_Stats!A:I,8,FALSE),"")</f>
        <v>3200</v>
      </c>
      <c r="AI130" s="246">
        <f t="shared" si="49"/>
        <v>1</v>
      </c>
      <c r="AJ130" s="246">
        <f t="shared" si="50"/>
        <v>1</v>
      </c>
      <c r="AK130" s="246">
        <f>IFERROR(IF(VLOOKUP(AD130,VM_Performance_Stats!A:I,8,FALSE)&gt;AB130,1,0),0)</f>
        <v>1</v>
      </c>
      <c r="AL130" t="str">
        <f>IFERROR(VLOOKUP(AD130,'Web-SKUS'!A:G,7,FALSE),"")</f>
        <v>£31.2409/month</v>
      </c>
      <c r="AM130" s="250">
        <f t="shared" si="51"/>
        <v>31.2409</v>
      </c>
      <c r="AN130" t="str">
        <f>IFERROR(IF(C130=1,VLOOKUP(K130,'Web-SKUS'!A:G,7,FALSE),VLOOKUP(K130,'Web-SKUS'!A:G,6,FALSE)),"")</f>
        <v>£87.3242/month</v>
      </c>
      <c r="AO130" s="250">
        <f t="shared" si="52"/>
        <v>87.324200000000005</v>
      </c>
      <c r="AP130" s="250">
        <f t="shared" si="53"/>
        <v>31.2409</v>
      </c>
      <c r="AQ130" s="251">
        <f t="shared" si="54"/>
        <v>56.083300000000008</v>
      </c>
      <c r="AR130" s="115">
        <f t="shared" si="34"/>
        <v>672.9996000000001</v>
      </c>
      <c r="AS130" s="115" t="str">
        <f>VLOOKUP(B130,'Willie List'!B:M,12,FALSE)</f>
        <v>YES</v>
      </c>
      <c r="AT130" s="115" t="str">
        <f t="shared" si="35"/>
        <v>Standard_D4ds_v4</v>
      </c>
      <c r="AU130" s="115" t="str">
        <f t="shared" si="36"/>
        <v>D4ds v4</v>
      </c>
      <c r="AV130" t="str">
        <f t="shared" si="37"/>
        <v>F2s v2</v>
      </c>
      <c r="AW130" s="8">
        <f t="shared" si="38"/>
        <v>0</v>
      </c>
    </row>
    <row r="131" spans="1:49" s="101" customFormat="1">
      <c r="A131" s="101" t="s">
        <v>401</v>
      </c>
      <c r="B131" t="s">
        <v>437</v>
      </c>
      <c r="C131" s="8">
        <f>IFERROR(IF(VLOOKUP(B131,'Willie List'!B:B,1,FALSE) &lt;&gt; "",1,0),0)</f>
        <v>1</v>
      </c>
      <c r="D131" s="8"/>
      <c r="E131" t="s">
        <v>99</v>
      </c>
      <c r="F131" t="s">
        <v>438</v>
      </c>
      <c r="G131" t="s">
        <v>152</v>
      </c>
      <c r="H131" t="s">
        <v>153</v>
      </c>
      <c r="I131" t="s">
        <v>276</v>
      </c>
      <c r="J131" t="s">
        <v>58</v>
      </c>
      <c r="K131" s="8" t="str">
        <f t="shared" si="43"/>
        <v>D8ds v4</v>
      </c>
      <c r="L131" s="8">
        <f>VLOOKUP(K131,'Web-SKUS'!A:E,2,FALSE)</f>
        <v>8</v>
      </c>
      <c r="M131" s="8" t="str">
        <f>VLOOKUP(K131,'Web-SKUS'!A:E,4,FALSE)</f>
        <v>32</v>
      </c>
      <c r="N131" t="s">
        <v>277</v>
      </c>
      <c r="O131" s="8">
        <v>8</v>
      </c>
      <c r="P131" t="s">
        <v>157</v>
      </c>
      <c r="Q131">
        <f>IFERROR(VLOOKUP(B131,PercentCPU!B:F,4,FALSE),"")</f>
        <v>11.738713090784227</v>
      </c>
      <c r="R131">
        <f>IFERROR(VLOOKUP(B131,MemoryAvailable!B:F,3,FALSE),"")</f>
        <v>10503.740908657059</v>
      </c>
      <c r="S131" s="2">
        <f t="shared" si="44"/>
        <v>0.67945126621529972</v>
      </c>
      <c r="T131">
        <f t="shared" si="45"/>
        <v>1</v>
      </c>
      <c r="U131" s="8">
        <f t="shared" si="46"/>
        <v>22</v>
      </c>
      <c r="V131" s="8">
        <f t="shared" si="47"/>
        <v>0</v>
      </c>
      <c r="W131" s="8">
        <f>IFERROR(VLOOKUP(B131,Write_Bytes_ps!B:F,4,FALSE)/1024/1024,"")</f>
        <v>0.80628464754782847</v>
      </c>
      <c r="X131" s="8">
        <f>IFERROR(VLOOKUP(B131,Read_Bytes_ps!B:F,4,FALSE)/1024/1024,"")</f>
        <v>0.23177360503727809</v>
      </c>
      <c r="Y131" s="8">
        <f>IFERROR(VLOOKUP(B131,Writes_ps!B:F,5,FALSE),"")</f>
        <v>1853.75402832031</v>
      </c>
      <c r="Z131" s="8">
        <f>IFERROR(VLOOKUP(B131,Reads_ps!B:F,5,FALSE),"")</f>
        <v>3033.12329101563</v>
      </c>
      <c r="AA131" s="120">
        <f t="shared" si="39"/>
        <v>1.0380582525851065</v>
      </c>
      <c r="AB131" s="122">
        <f t="shared" si="42"/>
        <v>4887</v>
      </c>
      <c r="AC131" s="122" t="str">
        <f t="shared" si="48"/>
        <v>D8ds v4</v>
      </c>
      <c r="AD131" s="8" t="s">
        <v>439</v>
      </c>
      <c r="AE131" s="8">
        <f>IFERROR(VLOOKUP(AD131,'Web-SKUS'!A:E,2,FALSE),"")</f>
        <v>4</v>
      </c>
      <c r="AF131" s="8">
        <f>_xlfn.NUMBERVALUE(IFERROR(VLOOKUP(AD131,'Web-SKUS'!A:E,4,FALSE),""))</f>
        <v>32</v>
      </c>
      <c r="AG131" s="8">
        <f>IFERROR(VLOOKUP(AD131,VM_Performance_Stats!A:G,7,FALSE),0)</f>
        <v>8</v>
      </c>
      <c r="AH131" s="8">
        <f>IFERROR(VLOOKUP(AD131,VM_Performance_Stats!A:I,8,FALSE),"")</f>
        <v>6400</v>
      </c>
      <c r="AI131" s="8">
        <f t="shared" si="49"/>
        <v>1</v>
      </c>
      <c r="AJ131" s="8">
        <f t="shared" si="50"/>
        <v>1</v>
      </c>
      <c r="AK131" s="8">
        <f>IFERROR(IF(VLOOKUP(AD131,VM_Performance_Stats!A:I,8,FALSE)&gt;AB131,1,0),0)</f>
        <v>1</v>
      </c>
      <c r="AL131" t="str">
        <f>IFERROR(VLOOKUP(AD131,'Web-SKUS'!A:G,7,FALSE),"")</f>
        <v>£111.0513/month</v>
      </c>
      <c r="AM131" s="116">
        <f t="shared" si="51"/>
        <v>111.0513</v>
      </c>
      <c r="AN131" t="str">
        <f>IFERROR(IF(C131=1,VLOOKUP(K131,'Web-SKUS'!A:G,7,FALSE),VLOOKUP(K131,'Web-SKUS'!A:G,6,FALSE)),"")</f>
        <v>£174.6483/month</v>
      </c>
      <c r="AO131" s="116">
        <f t="shared" si="52"/>
        <v>174.64830000000001</v>
      </c>
      <c r="AP131" s="116">
        <f t="shared" si="53"/>
        <v>111.0513</v>
      </c>
      <c r="AQ131" s="115">
        <f t="shared" si="54"/>
        <v>63.597000000000008</v>
      </c>
      <c r="AR131" s="225">
        <f t="shared" ref="AR131:AR194" si="55">AQ131*12</f>
        <v>763.1640000000001</v>
      </c>
      <c r="AS131" s="225" t="str">
        <f>VLOOKUP(B131,'Willie List'!B:M,12,FALSE)</f>
        <v>YES</v>
      </c>
      <c r="AT131" s="225" t="str">
        <f t="shared" ref="AT131:AT194" si="56">J131</f>
        <v>Standard_D8ds_v4</v>
      </c>
      <c r="AU131" s="225" t="str">
        <f t="shared" ref="AU131:AU194" si="57">IFERROR(REPLACE(REPLACE(AT131,FIND("Standard_",AT131,1),9,""),FIND("_",REPLACE(AT131,FIND("Standard_",AT131,1),9,""),1),1," "),REPLACE(AT131,FIND("Standard_",AT131,1),9,""))</f>
        <v>D8ds v4</v>
      </c>
      <c r="AV131" s="101" t="str">
        <f t="shared" ref="AV131:AV194" si="58">AD131</f>
        <v>E4ds v4</v>
      </c>
      <c r="AW131" s="228">
        <f t="shared" ref="AW131:AW194" si="59">IFERROR(IF(AV131=AU131,1,0),"")</f>
        <v>0</v>
      </c>
    </row>
    <row r="132" spans="1:49">
      <c r="B132" t="s">
        <v>440</v>
      </c>
      <c r="C132" s="8">
        <f>IFERROR(IF(VLOOKUP(B132,'Willie List'!B:B,1,FALSE) &lt;&gt; "",1,0),0)</f>
        <v>0</v>
      </c>
      <c r="D132" s="8"/>
      <c r="E132" t="s">
        <v>95</v>
      </c>
      <c r="F132" t="s">
        <v>441</v>
      </c>
      <c r="G132" t="s">
        <v>152</v>
      </c>
      <c r="H132" t="s">
        <v>275</v>
      </c>
      <c r="I132" t="s">
        <v>276</v>
      </c>
      <c r="J132" t="s">
        <v>304</v>
      </c>
      <c r="K132" s="8" t="str">
        <f t="shared" si="43"/>
        <v>D2s v4</v>
      </c>
      <c r="L132" s="8">
        <f>VLOOKUP(K132,'Web-SKUS'!A:E,2,FALSE)</f>
        <v>2</v>
      </c>
      <c r="M132" s="8" t="str">
        <f>VLOOKUP(K132,'Web-SKUS'!A:E,4,FALSE)</f>
        <v>8</v>
      </c>
      <c r="N132" t="s">
        <v>277</v>
      </c>
      <c r="O132" s="8">
        <v>1</v>
      </c>
      <c r="P132" t="s">
        <v>157</v>
      </c>
      <c r="Q132">
        <f>IFERROR(VLOOKUP(B132,PercentCPU!B:F,4,FALSE),"")</f>
        <v>3.90082848072052</v>
      </c>
      <c r="R132">
        <f>IFERROR(VLOOKUP(B132,MemoryAvailable!B:F,3,FALSE),"")</f>
        <v>6388.4320724560466</v>
      </c>
      <c r="S132" s="2">
        <f t="shared" si="44"/>
        <v>0.22016210053026775</v>
      </c>
      <c r="T132">
        <f t="shared" si="45"/>
        <v>1</v>
      </c>
      <c r="U132" s="8">
        <f t="shared" si="46"/>
        <v>2</v>
      </c>
      <c r="V132" s="8" t="str">
        <f t="shared" si="47"/>
        <v>F Series</v>
      </c>
      <c r="W132" s="8">
        <f>IFERROR(VLOOKUP(B132,Write_Bytes_ps!B:F,4,FALSE)/1024/1024,"")</f>
        <v>0.24045653144518533</v>
      </c>
      <c r="X132" s="8">
        <f>IFERROR(VLOOKUP(B132,Read_Bytes_ps!B:F,4,FALSE)/1024/1024,"")</f>
        <v>0.27855549256006878</v>
      </c>
      <c r="Y132" s="8">
        <f>IFERROR(VLOOKUP(B132,Writes_ps!B:F,5,FALSE),"")</f>
        <v>743.144775390625</v>
      </c>
      <c r="Z132" s="8">
        <f>IFERROR(VLOOKUP(B132,Reads_ps!B:F,5,FALSE),"")</f>
        <v>586.27301025390602</v>
      </c>
      <c r="AA132" s="8">
        <f t="shared" si="39"/>
        <v>0.51901202400525415</v>
      </c>
      <c r="AB132" s="122">
        <f t="shared" si="42"/>
        <v>1330</v>
      </c>
      <c r="AC132" s="122" t="str">
        <f t="shared" si="48"/>
        <v>D2s v4</v>
      </c>
      <c r="AE132" s="8" t="str">
        <f>IFERROR(VLOOKUP(AD132,'Web-SKUS'!A:E,2,FALSE),"")</f>
        <v/>
      </c>
      <c r="AF132" s="8">
        <f>_xlfn.NUMBERVALUE(IFERROR(VLOOKUP(AD132,'Web-SKUS'!A:E,4,FALSE),""))</f>
        <v>0</v>
      </c>
      <c r="AG132" s="8">
        <f>IFERROR(VLOOKUP(AD132,VM_Performance_Stats!A:G,7,FALSE),0)</f>
        <v>0</v>
      </c>
      <c r="AH132" s="8" t="str">
        <f>IFERROR(VLOOKUP(AD132,VM_Performance_Stats!A:I,8,FALSE),"")</f>
        <v/>
      </c>
      <c r="AI132" s="8">
        <f t="shared" si="49"/>
        <v>0</v>
      </c>
      <c r="AJ132" s="8">
        <f t="shared" si="50"/>
        <v>0</v>
      </c>
      <c r="AK132" s="8">
        <f>IFERROR(IF(VLOOKUP(AD132,VM_Performance_Stats!A:I,8,FALSE)&gt;AB132,1,0),0)</f>
        <v>0</v>
      </c>
      <c r="AL132" t="str">
        <f>IFERROR(VLOOKUP(AD132,'Web-SKUS'!A:G,7,FALSE),"")</f>
        <v/>
      </c>
      <c r="AM132" s="116" t="str">
        <f t="shared" si="51"/>
        <v/>
      </c>
      <c r="AN132" t="str">
        <f>IFERROR(IF(C132=1,VLOOKUP(K132,'Web-SKUS'!A:G,7,FALSE),VLOOKUP(K132,'Web-SKUS'!A:G,6,FALSE)),"")</f>
        <v>£62.5687/month</v>
      </c>
      <c r="AO132" s="116">
        <f t="shared" si="52"/>
        <v>62.5687</v>
      </c>
      <c r="AP132" s="116">
        <f t="shared" si="53"/>
        <v>62.5687</v>
      </c>
      <c r="AQ132" s="115">
        <f t="shared" si="54"/>
        <v>0</v>
      </c>
      <c r="AR132" s="115">
        <f t="shared" si="55"/>
        <v>0</v>
      </c>
      <c r="AS132" s="115" t="e">
        <f>VLOOKUP(B132,'Willie List'!B:M,12,FALSE)</f>
        <v>#N/A</v>
      </c>
      <c r="AT132" s="115" t="str">
        <f t="shared" si="56"/>
        <v>Standard_D2s_v4</v>
      </c>
      <c r="AU132" s="115" t="str">
        <f t="shared" si="57"/>
        <v>D2s v4</v>
      </c>
      <c r="AV132">
        <f t="shared" si="58"/>
        <v>0</v>
      </c>
      <c r="AW132" s="8">
        <f t="shared" si="59"/>
        <v>0</v>
      </c>
    </row>
    <row r="133" spans="1:49">
      <c r="A133" t="s">
        <v>309</v>
      </c>
      <c r="B133" t="s">
        <v>442</v>
      </c>
      <c r="C133" s="8">
        <f>IFERROR(IF(VLOOKUP(B133,'Willie List'!B:B,1,FALSE) &lt;&gt; "",1,0),0)</f>
        <v>1</v>
      </c>
      <c r="D133" s="8"/>
      <c r="E133" t="s">
        <v>99</v>
      </c>
      <c r="F133" t="s">
        <v>414</v>
      </c>
      <c r="G133" t="s">
        <v>152</v>
      </c>
      <c r="H133" t="s">
        <v>153</v>
      </c>
      <c r="I133" t="s">
        <v>154</v>
      </c>
      <c r="J133" t="s">
        <v>68</v>
      </c>
      <c r="K133" s="8" t="str">
        <f t="shared" si="43"/>
        <v>E8ds v4</v>
      </c>
      <c r="L133" s="8">
        <f>VLOOKUP(K133,'Web-SKUS'!A:E,2,FALSE)</f>
        <v>8</v>
      </c>
      <c r="M133" s="8" t="str">
        <f>VLOOKUP(K133,'Web-SKUS'!A:E,4,FALSE)</f>
        <v>64</v>
      </c>
      <c r="N133" t="s">
        <v>277</v>
      </c>
      <c r="O133" s="8">
        <v>2</v>
      </c>
      <c r="P133" t="s">
        <v>157</v>
      </c>
      <c r="Q133">
        <f>IFERROR(VLOOKUP(B133,PercentCPU!B:F,4,FALSE),"")</f>
        <v>34.473774574877908</v>
      </c>
      <c r="R133">
        <f>IFERROR(VLOOKUP(B133,MemoryAvailable!B:F,3,FALSE),"")</f>
        <v>58497.265161085343</v>
      </c>
      <c r="S133" s="2">
        <f t="shared" si="44"/>
        <v>0.10740257017386867</v>
      </c>
      <c r="T133">
        <f t="shared" si="45"/>
        <v>3</v>
      </c>
      <c r="U133" s="8">
        <f t="shared" si="46"/>
        <v>7</v>
      </c>
      <c r="V133" s="8">
        <f t="shared" si="47"/>
        <v>0</v>
      </c>
      <c r="W133" s="8">
        <f>IFERROR(VLOOKUP(B133,Write_Bytes_ps!B:F,4,FALSE)/1024/1024,"")</f>
        <v>0</v>
      </c>
      <c r="X133" s="8">
        <f>IFERROR(VLOOKUP(B133,Read_Bytes_ps!B:F,4,FALSE)/1024/1024,"")</f>
        <v>0</v>
      </c>
      <c r="Y133" s="8">
        <f>IFERROR(VLOOKUP(B133,Writes_ps!B:F,5,FALSE),"")</f>
        <v>3.7703336994438001</v>
      </c>
      <c r="Z133" s="8">
        <f>IFERROR(VLOOKUP(B133,Reads_ps!B:F,5,FALSE),"")</f>
        <v>1.48304377719258</v>
      </c>
      <c r="AA133" s="120">
        <f t="shared" si="39"/>
        <v>0</v>
      </c>
      <c r="AB133" s="122">
        <f t="shared" si="42"/>
        <v>6</v>
      </c>
      <c r="AC133" s="122" t="str">
        <f t="shared" si="48"/>
        <v>E8ds v4</v>
      </c>
      <c r="AD133" s="8" t="s">
        <v>443</v>
      </c>
      <c r="AE133" s="8">
        <f>IFERROR(VLOOKUP(AD133,'Web-SKUS'!A:E,2,FALSE),"")</f>
        <v>4</v>
      </c>
      <c r="AF133" s="8">
        <f>_xlfn.NUMBERVALUE(IFERROR(VLOOKUP(AD133,'Web-SKUS'!A:E,4,FALSE),""))</f>
        <v>8</v>
      </c>
      <c r="AG133" s="8">
        <f>IFERROR(VLOOKUP(AD133,VM_Performance_Stats!A:G,7,FALSE),0)</f>
        <v>8</v>
      </c>
      <c r="AH133" s="8">
        <f>IFERROR(VLOOKUP(AD133,VM_Performance_Stats!A:I,8,FALSE),"")</f>
        <v>6400</v>
      </c>
      <c r="AI133" s="8">
        <f t="shared" si="49"/>
        <v>1</v>
      </c>
      <c r="AJ133" s="8">
        <f t="shared" si="50"/>
        <v>1</v>
      </c>
      <c r="AK133" s="8">
        <f>IFERROR(IF(VLOOKUP(AD133,VM_Performance_Stats!A:I,8,FALSE)&gt;AB133,1,0),0)</f>
        <v>1</v>
      </c>
      <c r="AL133" t="str">
        <f>IFERROR(VLOOKUP(AD133,'Web-SKUS'!A:G,7,FALSE),"")</f>
        <v>£62.5415/month</v>
      </c>
      <c r="AM133" s="116">
        <f t="shared" si="51"/>
        <v>62.541499999999999</v>
      </c>
      <c r="AN133" t="str">
        <f>IFERROR(IF(C133=1,VLOOKUP(K133,'Web-SKUS'!A:G,7,FALSE),VLOOKUP(K133,'Web-SKUS'!A:G,6,FALSE)),"")</f>
        <v>£222.1624/month</v>
      </c>
      <c r="AO133" s="116">
        <f t="shared" si="52"/>
        <v>222.16239999999999</v>
      </c>
      <c r="AP133" s="116">
        <f t="shared" si="53"/>
        <v>62.541499999999999</v>
      </c>
      <c r="AQ133" s="115">
        <f t="shared" si="54"/>
        <v>159.62090000000001</v>
      </c>
      <c r="AR133" s="115">
        <f t="shared" si="55"/>
        <v>1915.4508000000001</v>
      </c>
      <c r="AS133" s="115" t="str">
        <f>VLOOKUP(B133,'Willie List'!B:M,12,FALSE)</f>
        <v>YES</v>
      </c>
      <c r="AT133" s="115" t="str">
        <f t="shared" si="56"/>
        <v>Standard_E8ds_v4</v>
      </c>
      <c r="AU133" s="115" t="str">
        <f t="shared" si="57"/>
        <v>E8ds v4</v>
      </c>
      <c r="AV133" t="str">
        <f t="shared" si="58"/>
        <v>F4s v2</v>
      </c>
      <c r="AW133" s="8">
        <f t="shared" si="59"/>
        <v>0</v>
      </c>
    </row>
    <row r="134" spans="1:49">
      <c r="B134" t="s">
        <v>444</v>
      </c>
      <c r="C134" s="8">
        <f>IFERROR(IF(VLOOKUP(B134,'Willie List'!B:B,1,FALSE) &lt;&gt; "",1,0),0)</f>
        <v>0</v>
      </c>
      <c r="D134" s="8"/>
      <c r="E134" t="s">
        <v>95</v>
      </c>
      <c r="F134" t="s">
        <v>324</v>
      </c>
      <c r="G134" t="s">
        <v>152</v>
      </c>
      <c r="H134" t="s">
        <v>275</v>
      </c>
      <c r="I134" t="s">
        <v>154</v>
      </c>
      <c r="J134" t="s">
        <v>22</v>
      </c>
      <c r="K134" s="8" t="str">
        <f t="shared" si="43"/>
        <v>B2ms</v>
      </c>
      <c r="L134" s="8">
        <f>VLOOKUP(K134,'Web-SKUS'!A:E,2,FALSE)</f>
        <v>2</v>
      </c>
      <c r="M134" s="8" t="str">
        <f>VLOOKUP(K134,'Web-SKUS'!A:E,4,FALSE)</f>
        <v>8</v>
      </c>
      <c r="N134" t="s">
        <v>277</v>
      </c>
      <c r="O134">
        <v>2</v>
      </c>
      <c r="P134" t="s">
        <v>157</v>
      </c>
      <c r="Q134" t="str">
        <f>IFERROR(VLOOKUP(B134,PercentCPU!B:F,4,FALSE),"")</f>
        <v/>
      </c>
      <c r="R134" t="str">
        <f>IFERROR(VLOOKUP(B134,MemoryAvailable!B:F,3,FALSE),"")</f>
        <v/>
      </c>
      <c r="S134" s="2" t="str">
        <f t="shared" si="44"/>
        <v/>
      </c>
      <c r="T134" t="str">
        <f t="shared" si="45"/>
        <v/>
      </c>
      <c r="U134" s="8">
        <f t="shared" si="46"/>
        <v>0</v>
      </c>
      <c r="V134" s="8" t="str">
        <f t="shared" si="47"/>
        <v/>
      </c>
      <c r="W134" s="8" t="str">
        <f>IFERROR(VLOOKUP(B134,Write_Bytes_ps!B:F,4,FALSE)/1024/1024,"")</f>
        <v/>
      </c>
      <c r="X134" s="8" t="str">
        <f>IFERROR(VLOOKUP(B134,Read_Bytes_ps!B:F,4,FALSE)/1024/1024,"")</f>
        <v/>
      </c>
      <c r="Y134" s="8" t="str">
        <f>IFERROR(VLOOKUP(B134,Writes_ps!B:F,5,FALSE),"")</f>
        <v/>
      </c>
      <c r="Z134" s="8" t="str">
        <f>IFERROR(VLOOKUP(B134,Reads_ps!B:F,5,FALSE),"")</f>
        <v/>
      </c>
      <c r="AA134" s="8">
        <f t="shared" si="39"/>
        <v>0</v>
      </c>
      <c r="AB134" s="122">
        <f t="shared" si="42"/>
        <v>0</v>
      </c>
      <c r="AC134" s="122" t="str">
        <f t="shared" si="48"/>
        <v>B2ms</v>
      </c>
      <c r="AD134" s="8" t="s">
        <v>325</v>
      </c>
      <c r="AE134" s="8">
        <f>IFERROR(VLOOKUP(AD134,'Web-SKUS'!A:E,2,FALSE),"")</f>
        <v>2</v>
      </c>
      <c r="AF134" s="8">
        <f>_xlfn.NUMBERVALUE(IFERROR(VLOOKUP(AD134,'Web-SKUS'!A:E,4,FALSE),""))</f>
        <v>8</v>
      </c>
      <c r="AG134" s="8">
        <f>IFERROR(VLOOKUP(AD134,VM_Performance_Stats!A:G,7,FALSE),0)</f>
        <v>4</v>
      </c>
      <c r="AH134" s="8">
        <f>IFERROR(VLOOKUP(AD134,VM_Performance_Stats!A:I,8,FALSE),"")</f>
        <v>1920</v>
      </c>
      <c r="AI134" s="8">
        <f t="shared" si="49"/>
        <v>1</v>
      </c>
      <c r="AJ134" s="8">
        <f t="shared" si="50"/>
        <v>1</v>
      </c>
      <c r="AK134" s="8">
        <f>IFERROR(IF(VLOOKUP(AD134,VM_Performance_Stats!A:I,8,FALSE)&gt;AB134,1,0),0)</f>
        <v>1</v>
      </c>
      <c r="AL134" t="str">
        <f>IFERROR(VLOOKUP(AD134,'Web-SKUS'!A:G,7,FALSE),"")</f>
        <v>£30.5553/month</v>
      </c>
      <c r="AM134" s="116">
        <f t="shared" si="51"/>
        <v>30.555299999999999</v>
      </c>
      <c r="AN134" t="str">
        <f>IFERROR(IF(C134=1,VLOOKUP(K134,'Web-SKUS'!A:G,7,FALSE),VLOOKUP(K134,'Web-SKUS'!A:G,6,FALSE)),"")</f>
        <v>£52.2313/month</v>
      </c>
      <c r="AO134" s="116">
        <f t="shared" si="52"/>
        <v>52.231299999999997</v>
      </c>
      <c r="AP134" s="116">
        <f t="shared" si="53"/>
        <v>30.555299999999999</v>
      </c>
      <c r="AQ134" s="115">
        <f t="shared" si="54"/>
        <v>21.675999999999998</v>
      </c>
      <c r="AR134" s="115">
        <f t="shared" si="55"/>
        <v>260.11199999999997</v>
      </c>
      <c r="AS134" s="115" t="e">
        <f>VLOOKUP(B134,'Willie List'!B:M,12,FALSE)</f>
        <v>#N/A</v>
      </c>
      <c r="AT134" s="115" t="str">
        <f t="shared" si="56"/>
        <v>Standard_B2ms</v>
      </c>
      <c r="AU134" s="115" t="str">
        <f t="shared" si="57"/>
        <v>B2ms</v>
      </c>
      <c r="AV134" t="str">
        <f t="shared" si="58"/>
        <v>B2ms</v>
      </c>
      <c r="AW134" s="8">
        <f t="shared" si="59"/>
        <v>1</v>
      </c>
    </row>
    <row r="135" spans="1:49">
      <c r="A135" t="s">
        <v>314</v>
      </c>
      <c r="B135" s="83" t="s">
        <v>445</v>
      </c>
      <c r="C135" s="239">
        <f>IFERROR(IF(VLOOKUP(B135,'Willie List'!B:B,1,FALSE) &lt;&gt; "",1,0),0)</f>
        <v>1</v>
      </c>
      <c r="D135" s="239"/>
      <c r="E135" s="238" t="s">
        <v>97</v>
      </c>
      <c r="F135" s="238" t="s">
        <v>446</v>
      </c>
      <c r="G135" s="238" t="s">
        <v>152</v>
      </c>
      <c r="H135" s="238" t="s">
        <v>153</v>
      </c>
      <c r="I135" s="238" t="s">
        <v>276</v>
      </c>
      <c r="J135" s="238" t="s">
        <v>77</v>
      </c>
      <c r="K135" s="239" t="str">
        <f t="shared" si="43"/>
        <v>F2s v2</v>
      </c>
      <c r="L135" s="239">
        <f>VLOOKUP(K135,'Web-SKUS'!A:E,2,FALSE)</f>
        <v>2</v>
      </c>
      <c r="M135" s="239" t="str">
        <f>VLOOKUP(K135,'Web-SKUS'!A:E,4,FALSE)</f>
        <v>4</v>
      </c>
      <c r="N135" s="238" t="s">
        <v>277</v>
      </c>
      <c r="O135" s="239">
        <v>2</v>
      </c>
      <c r="P135" s="238" t="s">
        <v>157</v>
      </c>
      <c r="Q135" s="238">
        <f>IFERROR(VLOOKUP(B135,PercentCPU!B:F,4,FALSE),"")</f>
        <v>2.9566284005998953</v>
      </c>
      <c r="R135" s="238">
        <f>IFERROR(VLOOKUP(B135,MemoryAvailable!B:F,3,FALSE),"")</f>
        <v>2423.0184863367335</v>
      </c>
      <c r="S135" s="240">
        <f t="shared" si="44"/>
        <v>0.40844275235919592</v>
      </c>
      <c r="T135" s="238">
        <f t="shared" si="45"/>
        <v>1</v>
      </c>
      <c r="U135" s="239">
        <f t="shared" si="46"/>
        <v>2</v>
      </c>
      <c r="V135" s="239" t="str">
        <f t="shared" si="47"/>
        <v>F Series</v>
      </c>
      <c r="W135" s="8">
        <f>IFERROR(VLOOKUP(B135,Write_Bytes_ps!B:F,4,FALSE)/1024/1024,"")</f>
        <v>0.16763056431322851</v>
      </c>
      <c r="X135" s="8">
        <f>IFERROR(VLOOKUP(B135,Read_Bytes_ps!B:F,4,FALSE)/1024/1024,"")</f>
        <v>0.38171566282011943</v>
      </c>
      <c r="Y135" s="8">
        <f>IFERROR(VLOOKUP(B135,Writes_ps!B:F,5,FALSE),"")</f>
        <v>502.66305541992199</v>
      </c>
      <c r="Z135" s="8">
        <f>IFERROR(VLOOKUP(B135,Reads_ps!B:F,5,FALSE),"")</f>
        <v>422.96569824218801</v>
      </c>
      <c r="AA135" s="241">
        <f t="shared" ref="AA135:AA198" si="60">SUM(W135,X135)</f>
        <v>0.54934622713334791</v>
      </c>
      <c r="AB135" s="242">
        <f t="shared" si="42"/>
        <v>926</v>
      </c>
      <c r="AC135" s="242" t="str">
        <f t="shared" si="48"/>
        <v>F2s v2</v>
      </c>
      <c r="AD135" s="239"/>
      <c r="AE135" s="239" t="str">
        <f>IFERROR(VLOOKUP(AD135,'Web-SKUS'!A:E,2,FALSE),"")</f>
        <v/>
      </c>
      <c r="AF135" s="239">
        <f>_xlfn.NUMBERVALUE(IFERROR(VLOOKUP(AD135,'Web-SKUS'!A:E,4,FALSE),""))</f>
        <v>0</v>
      </c>
      <c r="AG135" s="239">
        <f>IFERROR(VLOOKUP(AD135,VM_Performance_Stats!A:G,7,FALSE),0)</f>
        <v>0</v>
      </c>
      <c r="AH135" s="239" t="str">
        <f>IFERROR(VLOOKUP(AD135,VM_Performance_Stats!A:I,8,FALSE),"")</f>
        <v/>
      </c>
      <c r="AI135" s="239">
        <f t="shared" si="49"/>
        <v>0</v>
      </c>
      <c r="AJ135" s="239">
        <f t="shared" si="50"/>
        <v>0</v>
      </c>
      <c r="AK135" s="239">
        <f>IFERROR(IF(VLOOKUP(AD135,VM_Performance_Stats!A:I,8,FALSE)&gt;AB135,1,0),0)</f>
        <v>0</v>
      </c>
      <c r="AL135" t="str">
        <f>IFERROR(VLOOKUP(AD135,'Web-SKUS'!A:G,7,FALSE),"")</f>
        <v/>
      </c>
      <c r="AM135" s="243" t="str">
        <f t="shared" si="51"/>
        <v/>
      </c>
      <c r="AN135" t="str">
        <f>IFERROR(IF(C135=1,VLOOKUP(K135,'Web-SKUS'!A:G,7,FALSE),VLOOKUP(K135,'Web-SKUS'!A:G,6,FALSE)),"")</f>
        <v>£31.2409/month</v>
      </c>
      <c r="AO135" s="243">
        <f t="shared" si="52"/>
        <v>31.2409</v>
      </c>
      <c r="AP135" s="243">
        <f t="shared" si="53"/>
        <v>31.2409</v>
      </c>
      <c r="AQ135" s="244">
        <f t="shared" si="54"/>
        <v>0</v>
      </c>
      <c r="AR135" s="115">
        <f t="shared" si="55"/>
        <v>0</v>
      </c>
      <c r="AS135" s="115" t="str">
        <f>VLOOKUP(B135,'Willie List'!B:M,12,FALSE)</f>
        <v>YES</v>
      </c>
      <c r="AT135" s="115" t="str">
        <f t="shared" si="56"/>
        <v>Standard_F2s_v2</v>
      </c>
      <c r="AU135" s="115" t="str">
        <f t="shared" si="57"/>
        <v>F2s v2</v>
      </c>
      <c r="AV135">
        <f t="shared" si="58"/>
        <v>0</v>
      </c>
      <c r="AW135" s="8">
        <f t="shared" si="59"/>
        <v>0</v>
      </c>
    </row>
    <row r="136" spans="1:49">
      <c r="B136" t="s">
        <v>447</v>
      </c>
      <c r="C136" s="8">
        <f>IFERROR(IF(VLOOKUP(B136,'Willie List'!B:B,1,FALSE) &lt;&gt; "",1,0),0)</f>
        <v>1</v>
      </c>
      <c r="D136" s="8"/>
      <c r="E136" t="s">
        <v>99</v>
      </c>
      <c r="F136" t="s">
        <v>448</v>
      </c>
      <c r="G136" t="s">
        <v>152</v>
      </c>
      <c r="H136" t="s">
        <v>153</v>
      </c>
      <c r="I136" t="s">
        <v>154</v>
      </c>
      <c r="J136" t="s">
        <v>57</v>
      </c>
      <c r="K136" s="8" t="str">
        <f t="shared" si="43"/>
        <v>D4ds v4</v>
      </c>
      <c r="L136" s="8">
        <f>VLOOKUP(K136,'Web-SKUS'!A:E,2,FALSE)</f>
        <v>4</v>
      </c>
      <c r="M136" s="8" t="str">
        <f>VLOOKUP(K136,'Web-SKUS'!A:E,4,FALSE)</f>
        <v>16</v>
      </c>
      <c r="N136" t="s">
        <v>277</v>
      </c>
      <c r="O136">
        <v>1</v>
      </c>
      <c r="P136" t="s">
        <v>157</v>
      </c>
      <c r="Q136" t="str">
        <f>IFERROR(VLOOKUP(B136,PercentCPU!B:F,4,FALSE),"")</f>
        <v/>
      </c>
      <c r="R136" t="str">
        <f>IFERROR(VLOOKUP(B136,MemoryAvailable!B:F,3,FALSE),"")</f>
        <v/>
      </c>
      <c r="S136" s="2" t="str">
        <f t="shared" si="44"/>
        <v/>
      </c>
      <c r="T136" t="str">
        <f t="shared" si="45"/>
        <v/>
      </c>
      <c r="U136" s="8">
        <f t="shared" si="46"/>
        <v>0</v>
      </c>
      <c r="V136" s="8" t="str">
        <f t="shared" si="47"/>
        <v/>
      </c>
      <c r="W136" s="8" t="str">
        <f>IFERROR(VLOOKUP(B136,Write_Bytes_ps!B:F,4,FALSE)/1024/1024,"")</f>
        <v/>
      </c>
      <c r="X136" s="8" t="str">
        <f>IFERROR(VLOOKUP(B136,Read_Bytes_ps!B:F,4,FALSE)/1024/1024,"")</f>
        <v/>
      </c>
      <c r="Y136" s="8" t="str">
        <f>IFERROR(VLOOKUP(B136,Writes_ps!B:F,5,FALSE),"")</f>
        <v/>
      </c>
      <c r="Z136" s="8" t="str">
        <f>IFERROR(VLOOKUP(B136,Reads_ps!B:F,5,FALSE),"")</f>
        <v/>
      </c>
      <c r="AA136" s="120">
        <f t="shared" si="60"/>
        <v>0</v>
      </c>
      <c r="AB136" s="122">
        <f t="shared" si="42"/>
        <v>0</v>
      </c>
      <c r="AC136" s="122" t="str">
        <f t="shared" si="48"/>
        <v>D4ds v4</v>
      </c>
      <c r="AD136" s="8" t="s">
        <v>420</v>
      </c>
      <c r="AE136" s="8">
        <f>IFERROR(VLOOKUP(AD136,'Web-SKUS'!A:E,2,FALSE),"")</f>
        <v>4</v>
      </c>
      <c r="AF136" s="8">
        <f>_xlfn.NUMBERVALUE(IFERROR(VLOOKUP(AD136,'Web-SKUS'!A:E,4,FALSE),""))</f>
        <v>16</v>
      </c>
      <c r="AG136" s="8">
        <f>IFERROR(VLOOKUP(AD136,VM_Performance_Stats!A:G,7,FALSE),0)</f>
        <v>8</v>
      </c>
      <c r="AH136" s="8">
        <f>IFERROR(VLOOKUP(AD136,VM_Performance_Stats!A:I,8,FALSE),"")</f>
        <v>6400</v>
      </c>
      <c r="AI136" s="8">
        <f t="shared" si="49"/>
        <v>1</v>
      </c>
      <c r="AJ136" s="8">
        <f t="shared" si="50"/>
        <v>1</v>
      </c>
      <c r="AK136" s="8">
        <f>IFERROR(IF(VLOOKUP(AD136,VM_Performance_Stats!A:I,8,FALSE)&gt;AB136,1,0),0)</f>
        <v>1</v>
      </c>
      <c r="AL136" t="str">
        <f>IFERROR(VLOOKUP(AD136,'Web-SKUS'!A:G,7,FALSE),"")</f>
        <v>£87.3242/month</v>
      </c>
      <c r="AM136" s="116">
        <f t="shared" si="51"/>
        <v>87.324200000000005</v>
      </c>
      <c r="AN136" t="str">
        <f>IFERROR(IF(C136=1,VLOOKUP(K136,'Web-SKUS'!A:G,7,FALSE),VLOOKUP(K136,'Web-SKUS'!A:G,6,FALSE)),"")</f>
        <v>£87.3242/month</v>
      </c>
      <c r="AO136" s="116">
        <f t="shared" si="52"/>
        <v>87.324200000000005</v>
      </c>
      <c r="AP136" s="116">
        <f t="shared" si="53"/>
        <v>87.324200000000005</v>
      </c>
      <c r="AQ136" s="115">
        <f t="shared" si="54"/>
        <v>0</v>
      </c>
      <c r="AR136" s="115">
        <f t="shared" si="55"/>
        <v>0</v>
      </c>
      <c r="AS136" s="115" t="str">
        <f>VLOOKUP(B136,'Willie List'!B:M,12,FALSE)</f>
        <v>YES</v>
      </c>
      <c r="AT136" s="115" t="str">
        <f t="shared" si="56"/>
        <v>Standard_D4ds_v4</v>
      </c>
      <c r="AU136" s="115" t="str">
        <f t="shared" si="57"/>
        <v>D4ds v4</v>
      </c>
      <c r="AV136" t="str">
        <f t="shared" si="58"/>
        <v>D4ds v4</v>
      </c>
      <c r="AW136" s="8">
        <f t="shared" si="59"/>
        <v>1</v>
      </c>
    </row>
    <row r="137" spans="1:49">
      <c r="B137" t="s">
        <v>449</v>
      </c>
      <c r="C137" s="8">
        <f>IFERROR(IF(VLOOKUP(B137,'Willie List'!B:B,1,FALSE) &lt;&gt; "",1,0),0)</f>
        <v>1</v>
      </c>
      <c r="D137" s="8"/>
      <c r="E137" t="s">
        <v>99</v>
      </c>
      <c r="F137" t="s">
        <v>450</v>
      </c>
      <c r="G137" t="s">
        <v>152</v>
      </c>
      <c r="H137" t="s">
        <v>153</v>
      </c>
      <c r="I137" t="s">
        <v>154</v>
      </c>
      <c r="J137" t="s">
        <v>57</v>
      </c>
      <c r="K137" s="8" t="str">
        <f t="shared" si="43"/>
        <v>D4ds v4</v>
      </c>
      <c r="L137" s="8">
        <f>VLOOKUP(K137,'Web-SKUS'!A:E,2,FALSE)</f>
        <v>4</v>
      </c>
      <c r="M137" s="8" t="str">
        <f>VLOOKUP(K137,'Web-SKUS'!A:E,4,FALSE)</f>
        <v>16</v>
      </c>
      <c r="N137" t="s">
        <v>277</v>
      </c>
      <c r="O137" s="8">
        <v>1</v>
      </c>
      <c r="P137" t="s">
        <v>157</v>
      </c>
      <c r="Q137">
        <f>IFERROR(VLOOKUP(B137,PercentCPU!B:F,4,FALSE),"")</f>
        <v>28.866645598885707</v>
      </c>
      <c r="R137">
        <f>IFERROR(VLOOKUP(B137,MemoryAvailable!B:F,3,FALSE),"")</f>
        <v>11840.891577661465</v>
      </c>
      <c r="S137" s="2">
        <f t="shared" si="44"/>
        <v>0.27728933241812348</v>
      </c>
      <c r="T137">
        <f t="shared" si="45"/>
        <v>2</v>
      </c>
      <c r="U137" s="8">
        <f t="shared" si="46"/>
        <v>4</v>
      </c>
      <c r="V137" s="8" t="str">
        <f t="shared" si="47"/>
        <v>F Series</v>
      </c>
      <c r="W137" s="8">
        <f>IFERROR(VLOOKUP(B137,Write_Bytes_ps!B:F,4,FALSE)/1024/1024,"")</f>
        <v>0.47847522987300384</v>
      </c>
      <c r="X137" s="8">
        <f>IFERROR(VLOOKUP(B137,Read_Bytes_ps!B:F,4,FALSE)/1024/1024,"")</f>
        <v>0</v>
      </c>
      <c r="Y137" s="8">
        <f>IFERROR(VLOOKUP(B137,Writes_ps!B:F,5,FALSE),"")</f>
        <v>333.12331273770201</v>
      </c>
      <c r="Z137" s="8">
        <f>IFERROR(VLOOKUP(B137,Reads_ps!B:F,5,FALSE),"")</f>
        <v>3679.5668703829001</v>
      </c>
      <c r="AA137" s="120">
        <f t="shared" si="60"/>
        <v>0.47847522987300384</v>
      </c>
      <c r="AB137" s="122">
        <f t="shared" si="42"/>
        <v>4013</v>
      </c>
      <c r="AC137" s="122" t="str">
        <f t="shared" si="48"/>
        <v>D4ds v4</v>
      </c>
      <c r="AD137" s="8" t="s">
        <v>443</v>
      </c>
      <c r="AE137" s="8">
        <f>IFERROR(VLOOKUP(AD137,'Web-SKUS'!A:E,2,FALSE),"")</f>
        <v>4</v>
      </c>
      <c r="AF137" s="8">
        <f>_xlfn.NUMBERVALUE(IFERROR(VLOOKUP(AD137,'Web-SKUS'!A:E,4,FALSE),""))</f>
        <v>8</v>
      </c>
      <c r="AG137" s="8">
        <f>IFERROR(VLOOKUP(AD137,VM_Performance_Stats!A:G,7,FALSE),0)</f>
        <v>8</v>
      </c>
      <c r="AH137" s="8">
        <f>IFERROR(VLOOKUP(AD137,VM_Performance_Stats!A:I,8,FALSE),"")</f>
        <v>6400</v>
      </c>
      <c r="AI137" s="8">
        <f t="shared" si="49"/>
        <v>1</v>
      </c>
      <c r="AJ137" s="8">
        <f t="shared" si="50"/>
        <v>1</v>
      </c>
      <c r="AK137" s="8">
        <f>IFERROR(IF(VLOOKUP(AD137,VM_Performance_Stats!A:I,8,FALSE)&gt;AB137,1,0),0)</f>
        <v>1</v>
      </c>
      <c r="AL137" t="str">
        <f>IFERROR(VLOOKUP(AD137,'Web-SKUS'!A:G,7,FALSE),"")</f>
        <v>£62.5415/month</v>
      </c>
      <c r="AM137" s="116">
        <f t="shared" si="51"/>
        <v>62.541499999999999</v>
      </c>
      <c r="AN137" t="str">
        <f>IFERROR(IF(C137=1,VLOOKUP(K137,'Web-SKUS'!A:G,7,FALSE),VLOOKUP(K137,'Web-SKUS'!A:G,6,FALSE)),"")</f>
        <v>£87.3242/month</v>
      </c>
      <c r="AO137" s="116">
        <f t="shared" si="52"/>
        <v>87.324200000000005</v>
      </c>
      <c r="AP137" s="116">
        <f t="shared" si="53"/>
        <v>62.541499999999999</v>
      </c>
      <c r="AQ137" s="115">
        <f t="shared" si="54"/>
        <v>24.782700000000006</v>
      </c>
      <c r="AR137" s="115">
        <f t="shared" si="55"/>
        <v>297.39240000000007</v>
      </c>
      <c r="AS137" s="115" t="str">
        <f>VLOOKUP(B137,'Willie List'!B:M,12,FALSE)</f>
        <v>Yes</v>
      </c>
      <c r="AT137" s="115" t="str">
        <f t="shared" si="56"/>
        <v>Standard_D4ds_v4</v>
      </c>
      <c r="AU137" s="115" t="str">
        <f t="shared" si="57"/>
        <v>D4ds v4</v>
      </c>
      <c r="AV137" t="str">
        <f t="shared" si="58"/>
        <v>F4s v2</v>
      </c>
      <c r="AW137" s="8">
        <f t="shared" si="59"/>
        <v>0</v>
      </c>
    </row>
    <row r="138" spans="1:49" s="101" customFormat="1">
      <c r="A138" s="101" t="s">
        <v>401</v>
      </c>
      <c r="B138" s="238" t="s">
        <v>451</v>
      </c>
      <c r="C138" s="239">
        <f>IFERROR(IF(VLOOKUP(B138,'Willie List'!B:B,1,FALSE) &lt;&gt; "",1,0),0)</f>
        <v>1</v>
      </c>
      <c r="D138" s="239">
        <v>1</v>
      </c>
      <c r="E138" s="238" t="s">
        <v>95</v>
      </c>
      <c r="F138" s="238" t="s">
        <v>452</v>
      </c>
      <c r="G138" s="238" t="s">
        <v>152</v>
      </c>
      <c r="H138" s="238" t="s">
        <v>153</v>
      </c>
      <c r="I138" s="238" t="s">
        <v>276</v>
      </c>
      <c r="J138" s="238" t="s">
        <v>71</v>
      </c>
      <c r="K138" s="239" t="str">
        <f t="shared" si="43"/>
        <v>E16ds v4</v>
      </c>
      <c r="L138" s="239">
        <f>VLOOKUP(K138,'Web-SKUS'!A:E,2,FALSE)</f>
        <v>16</v>
      </c>
      <c r="M138" s="239" t="str">
        <f>VLOOKUP(K138,'Web-SKUS'!A:E,4,FALSE)</f>
        <v>128</v>
      </c>
      <c r="N138" s="238" t="s">
        <v>277</v>
      </c>
      <c r="O138" s="239">
        <v>17</v>
      </c>
      <c r="P138" s="238" t="s">
        <v>157</v>
      </c>
      <c r="Q138" s="238">
        <f>IFERROR(VLOOKUP(B138,PercentCPU!B:F,4,FALSE),"")</f>
        <v>29.370624031880521</v>
      </c>
      <c r="R138" s="238">
        <f>IFERROR(VLOOKUP(B138,MemoryAvailable!B:F,3,FALSE),"")</f>
        <v>12574.19615692554</v>
      </c>
      <c r="S138" s="240">
        <f t="shared" si="44"/>
        <v>0.90406649660548755</v>
      </c>
      <c r="T138" s="238">
        <f t="shared" si="45"/>
        <v>5</v>
      </c>
      <c r="U138" s="239">
        <f t="shared" si="46"/>
        <v>116</v>
      </c>
      <c r="V138" s="239">
        <f t="shared" si="47"/>
        <v>0</v>
      </c>
      <c r="W138" s="8">
        <f>IFERROR(VLOOKUP(B138,Write_Bytes_ps!B:F,4,FALSE)/1024/1024,"")</f>
        <v>6.60292230343408</v>
      </c>
      <c r="X138" s="8">
        <f>IFERROR(VLOOKUP(B138,Read_Bytes_ps!B:F,4,FALSE)/1024/1024,"")</f>
        <v>17.680273817908557</v>
      </c>
      <c r="Y138" s="8">
        <f>IFERROR(VLOOKUP(B138,Writes_ps!B:F,5,FALSE),"")</f>
        <v>5858.93017578125</v>
      </c>
      <c r="Z138" s="8">
        <f>IFERROR(VLOOKUP(B138,Reads_ps!B:F,5,FALSE),"")</f>
        <v>24351.001953125</v>
      </c>
      <c r="AA138" s="241">
        <f t="shared" si="60"/>
        <v>24.283196121342637</v>
      </c>
      <c r="AB138" s="242">
        <f t="shared" si="42"/>
        <v>30210</v>
      </c>
      <c r="AC138" s="242" t="str">
        <f t="shared" si="48"/>
        <v>E16ds v4</v>
      </c>
      <c r="AD138" s="239"/>
      <c r="AE138" s="239" t="str">
        <f>IFERROR(VLOOKUP(AD138,'Web-SKUS'!A:E,2,FALSE),"")</f>
        <v/>
      </c>
      <c r="AF138" s="239">
        <f>_xlfn.NUMBERVALUE(IFERROR(VLOOKUP(AD138,'Web-SKUS'!A:E,4,FALSE),""))</f>
        <v>0</v>
      </c>
      <c r="AG138" s="239">
        <f>IFERROR(VLOOKUP(AD138,VM_Performance_Stats!A:G,7,FALSE),0)</f>
        <v>0</v>
      </c>
      <c r="AH138" s="239" t="str">
        <f>IFERROR(VLOOKUP(AD138,VM_Performance_Stats!A:I,8,FALSE),"")</f>
        <v/>
      </c>
      <c r="AI138" s="239">
        <f t="shared" si="49"/>
        <v>0</v>
      </c>
      <c r="AJ138" s="239">
        <f t="shared" si="50"/>
        <v>0</v>
      </c>
      <c r="AK138" s="239">
        <f>IFERROR(IF(VLOOKUP(AD138,VM_Performance_Stats!A:I,8,FALSE)&gt;AB138,1,0),0)</f>
        <v>0</v>
      </c>
      <c r="AL138" t="str">
        <f>IFERROR(VLOOKUP(AD138,'Web-SKUS'!A:G,7,FALSE),"")</f>
        <v/>
      </c>
      <c r="AM138" s="243" t="str">
        <f t="shared" si="51"/>
        <v/>
      </c>
      <c r="AN138" t="str">
        <f>IFERROR(IF(C138=1,VLOOKUP(K138,'Web-SKUS'!A:G,7,FALSE),VLOOKUP(K138,'Web-SKUS'!A:G,6,FALSE)),"")</f>
        <v>£444.2650/month</v>
      </c>
      <c r="AO138" s="243">
        <f t="shared" si="52"/>
        <v>444.26499999999999</v>
      </c>
      <c r="AP138" s="243">
        <f t="shared" si="53"/>
        <v>444.26499999999999</v>
      </c>
      <c r="AQ138" s="244">
        <f t="shared" si="54"/>
        <v>0</v>
      </c>
      <c r="AR138" s="225">
        <f t="shared" si="55"/>
        <v>0</v>
      </c>
      <c r="AS138" s="225" t="str">
        <f>VLOOKUP(B138,'Willie List'!B:M,12,FALSE)</f>
        <v>YES</v>
      </c>
      <c r="AT138" s="225" t="str">
        <f t="shared" si="56"/>
        <v>Standard_E16ds_v4</v>
      </c>
      <c r="AU138" s="225" t="str">
        <f t="shared" si="57"/>
        <v>E16ds v4</v>
      </c>
      <c r="AV138" s="101">
        <f t="shared" si="58"/>
        <v>0</v>
      </c>
      <c r="AW138" s="228">
        <f t="shared" si="59"/>
        <v>0</v>
      </c>
    </row>
    <row r="139" spans="1:49">
      <c r="B139" t="s">
        <v>453</v>
      </c>
      <c r="C139" s="8">
        <f>IFERROR(IF(VLOOKUP(B139,'Willie List'!B:B,1,FALSE) &lt;&gt; "",1,0),0)</f>
        <v>0</v>
      </c>
      <c r="D139" s="8"/>
      <c r="E139" t="s">
        <v>454</v>
      </c>
      <c r="F139" t="s">
        <v>455</v>
      </c>
      <c r="G139" t="s">
        <v>152</v>
      </c>
      <c r="H139" t="s">
        <v>456</v>
      </c>
      <c r="I139" t="s">
        <v>276</v>
      </c>
      <c r="J139" t="s">
        <v>57</v>
      </c>
      <c r="K139" s="8" t="str">
        <f t="shared" si="43"/>
        <v>D4ds v4</v>
      </c>
      <c r="L139" s="8">
        <f>VLOOKUP(K139,'Web-SKUS'!A:E,2,FALSE)</f>
        <v>4</v>
      </c>
      <c r="M139" s="8" t="str">
        <f>VLOOKUP(K139,'Web-SKUS'!A:E,4,FALSE)</f>
        <v>16</v>
      </c>
      <c r="N139" t="s">
        <v>277</v>
      </c>
      <c r="O139">
        <v>1</v>
      </c>
      <c r="P139" t="s">
        <v>457</v>
      </c>
      <c r="Q139" t="str">
        <f>IFERROR(VLOOKUP(B139,PercentCPU!B:F,4,FALSE),"")</f>
        <v/>
      </c>
      <c r="R139" t="str">
        <f>IFERROR(VLOOKUP(B139,MemoryAvailable!B:F,3,FALSE),"")</f>
        <v/>
      </c>
      <c r="S139" s="2" t="str">
        <f t="shared" si="44"/>
        <v/>
      </c>
      <c r="T139" t="str">
        <f t="shared" si="45"/>
        <v/>
      </c>
      <c r="U139" s="8">
        <f t="shared" si="46"/>
        <v>0</v>
      </c>
      <c r="V139" s="8" t="str">
        <f t="shared" si="47"/>
        <v/>
      </c>
      <c r="W139" s="8" t="str">
        <f>IFERROR(VLOOKUP(B139,Write_Bytes_ps!B:F,4,FALSE)/1024/1024,"")</f>
        <v/>
      </c>
      <c r="X139" s="8" t="str">
        <f>IFERROR(VLOOKUP(B139,Read_Bytes_ps!B:F,4,FALSE)/1024/1024,"")</f>
        <v/>
      </c>
      <c r="Y139" s="8" t="str">
        <f>IFERROR(VLOOKUP(B139,Writes_ps!B:F,5,FALSE),"")</f>
        <v/>
      </c>
      <c r="Z139" s="8" t="str">
        <f>IFERROR(VLOOKUP(B139,Reads_ps!B:F,5,FALSE),"")</f>
        <v/>
      </c>
      <c r="AA139" s="8">
        <f t="shared" si="60"/>
        <v>0</v>
      </c>
      <c r="AB139" s="122">
        <f t="shared" si="42"/>
        <v>0</v>
      </c>
      <c r="AC139" s="122" t="str">
        <f t="shared" si="48"/>
        <v>D4ds v4</v>
      </c>
      <c r="AE139" s="8" t="str">
        <f>IFERROR(VLOOKUP(AD139,'Web-SKUS'!A:E,2,FALSE),"")</f>
        <v/>
      </c>
      <c r="AF139" s="8">
        <f>_xlfn.NUMBERVALUE(IFERROR(VLOOKUP(AD139,'Web-SKUS'!A:E,4,FALSE),""))</f>
        <v>0</v>
      </c>
      <c r="AG139" s="8">
        <f>IFERROR(VLOOKUP(AD139,VM_Performance_Stats!A:G,7,FALSE),0)</f>
        <v>0</v>
      </c>
      <c r="AH139" s="8" t="str">
        <f>IFERROR(VLOOKUP(AD139,VM_Performance_Stats!A:I,8,FALSE),"")</f>
        <v/>
      </c>
      <c r="AI139" s="8">
        <f t="shared" si="49"/>
        <v>1</v>
      </c>
      <c r="AJ139" s="8">
        <f t="shared" si="50"/>
        <v>0</v>
      </c>
      <c r="AK139" s="8">
        <f>IFERROR(IF(VLOOKUP(AD139,VM_Performance_Stats!A:I,8,FALSE)&gt;AB139,1,0),0)</f>
        <v>0</v>
      </c>
      <c r="AL139" t="str">
        <f>IFERROR(VLOOKUP(AD139,'Web-SKUS'!A:G,7,FALSE),"")</f>
        <v/>
      </c>
      <c r="AM139" s="116" t="str">
        <f t="shared" si="51"/>
        <v/>
      </c>
      <c r="AN139" t="str">
        <f>IFERROR(IF(C139=1,VLOOKUP(K139,'Web-SKUS'!A:G,7,FALSE),VLOOKUP(K139,'Web-SKUS'!A:G,6,FALSE)),"")</f>
        <v>£147.9886/month</v>
      </c>
      <c r="AO139" s="116">
        <f t="shared" si="52"/>
        <v>147.98859999999999</v>
      </c>
      <c r="AP139" s="116">
        <f t="shared" si="53"/>
        <v>147.98859999999999</v>
      </c>
      <c r="AQ139" s="115">
        <f t="shared" si="54"/>
        <v>0</v>
      </c>
      <c r="AR139" s="115">
        <f t="shared" si="55"/>
        <v>0</v>
      </c>
      <c r="AS139" s="115" t="e">
        <f>VLOOKUP(B139,'Willie List'!B:M,12,FALSE)</f>
        <v>#N/A</v>
      </c>
      <c r="AT139" s="115" t="str">
        <f t="shared" si="56"/>
        <v>Standard_D4ds_v4</v>
      </c>
      <c r="AU139" s="115" t="str">
        <f t="shared" si="57"/>
        <v>D4ds v4</v>
      </c>
      <c r="AV139">
        <f t="shared" si="58"/>
        <v>0</v>
      </c>
      <c r="AW139" s="8">
        <f t="shared" si="59"/>
        <v>0</v>
      </c>
    </row>
    <row r="140" spans="1:49">
      <c r="A140" t="s">
        <v>314</v>
      </c>
      <c r="B140" t="s">
        <v>458</v>
      </c>
      <c r="C140" s="8">
        <f>IFERROR(IF(VLOOKUP(B140,'Willie List'!B:B,1,FALSE) &lt;&gt; "",1,0),0)</f>
        <v>1</v>
      </c>
      <c r="D140" s="8"/>
      <c r="E140" t="s">
        <v>99</v>
      </c>
      <c r="F140" t="s">
        <v>459</v>
      </c>
      <c r="G140" t="s">
        <v>152</v>
      </c>
      <c r="H140" t="s">
        <v>153</v>
      </c>
      <c r="I140" t="s">
        <v>154</v>
      </c>
      <c r="J140" t="s">
        <v>57</v>
      </c>
      <c r="K140" s="8" t="str">
        <f t="shared" si="43"/>
        <v>D4ds v4</v>
      </c>
      <c r="L140" s="8">
        <f>VLOOKUP(K140,'Web-SKUS'!A:E,2,FALSE)</f>
        <v>4</v>
      </c>
      <c r="M140" s="8" t="str">
        <f>VLOOKUP(K140,'Web-SKUS'!A:E,4,FALSE)</f>
        <v>16</v>
      </c>
      <c r="N140" t="s">
        <v>277</v>
      </c>
      <c r="O140" s="8">
        <v>2</v>
      </c>
      <c r="P140" t="s">
        <v>157</v>
      </c>
      <c r="Q140">
        <f>IFERROR(VLOOKUP(B140,PercentCPU!B:F,4,FALSE),"")</f>
        <v>8.8682233937860051</v>
      </c>
      <c r="R140">
        <f>IFERROR(VLOOKUP(B140,MemoryAvailable!B:F,3,FALSE),"")</f>
        <v>11064.488522599737</v>
      </c>
      <c r="S140" s="2">
        <f t="shared" si="44"/>
        <v>0.32467721419679341</v>
      </c>
      <c r="T140">
        <f t="shared" si="45"/>
        <v>1</v>
      </c>
      <c r="U140" s="8">
        <f t="shared" si="46"/>
        <v>5</v>
      </c>
      <c r="V140" s="8">
        <f t="shared" si="47"/>
        <v>0</v>
      </c>
      <c r="W140" s="8">
        <f>IFERROR(VLOOKUP(B140,Write_Bytes_ps!B:F,4,FALSE)/1024/1024,"")</f>
        <v>8.8794333160757327E-2</v>
      </c>
      <c r="X140" s="8">
        <f>IFERROR(VLOOKUP(B140,Read_Bytes_ps!B:F,4,FALSE)/1024/1024,"")</f>
        <v>2.2062558274316996E-2</v>
      </c>
      <c r="Y140" s="8">
        <f>IFERROR(VLOOKUP(B140,Writes_ps!B:F,5,FALSE),"")</f>
        <v>237.637265738964</v>
      </c>
      <c r="Z140" s="8">
        <f>IFERROR(VLOOKUP(B140,Reads_ps!B:F,5,FALSE),"")</f>
        <v>329.626151643387</v>
      </c>
      <c r="AA140" s="120">
        <f t="shared" si="60"/>
        <v>0.11085689143507432</v>
      </c>
      <c r="AB140" s="122">
        <f t="shared" si="42"/>
        <v>568</v>
      </c>
      <c r="AC140" s="122" t="str">
        <f t="shared" si="48"/>
        <v>D4ds v4</v>
      </c>
      <c r="AD140" s="8" t="s">
        <v>412</v>
      </c>
      <c r="AE140" s="8">
        <f>IFERROR(VLOOKUP(AD140,'Web-SKUS'!A:E,2,FALSE),"")</f>
        <v>2</v>
      </c>
      <c r="AF140" s="8">
        <f>_xlfn.NUMBERVALUE(IFERROR(VLOOKUP(AD140,'Web-SKUS'!A:E,4,FALSE),""))</f>
        <v>8</v>
      </c>
      <c r="AG140" s="8">
        <f>IFERROR(VLOOKUP(AD140,VM_Performance_Stats!A:G,7,FALSE),0)</f>
        <v>4</v>
      </c>
      <c r="AH140" s="8">
        <f>IFERROR(VLOOKUP(AD140,VM_Performance_Stats!A:I,8,FALSE),"")</f>
        <v>3200</v>
      </c>
      <c r="AI140" s="8">
        <f t="shared" si="49"/>
        <v>1</v>
      </c>
      <c r="AJ140" s="8">
        <f t="shared" si="50"/>
        <v>1</v>
      </c>
      <c r="AK140" s="8">
        <f>IFERROR(IF(VLOOKUP(AD140,VM_Performance_Stats!A:I,8,FALSE)&gt;AB140,1,0),0)</f>
        <v>1</v>
      </c>
      <c r="AL140" t="str">
        <f>IFERROR(VLOOKUP(AD140,'Web-SKUS'!A:G,7,FALSE),"")</f>
        <v>£43.6621/month</v>
      </c>
      <c r="AM140" s="116">
        <f t="shared" si="51"/>
        <v>43.662100000000002</v>
      </c>
      <c r="AN140" t="str">
        <f>IFERROR(IF(C140=1,VLOOKUP(K140,'Web-SKUS'!A:G,7,FALSE),VLOOKUP(K140,'Web-SKUS'!A:G,6,FALSE)),"")</f>
        <v>£87.3242/month</v>
      </c>
      <c r="AO140" s="116">
        <f t="shared" si="52"/>
        <v>87.324200000000005</v>
      </c>
      <c r="AP140" s="116">
        <f t="shared" si="53"/>
        <v>43.662100000000002</v>
      </c>
      <c r="AQ140" s="115">
        <f t="shared" si="54"/>
        <v>43.662100000000002</v>
      </c>
      <c r="AR140" s="115">
        <f t="shared" si="55"/>
        <v>523.9452</v>
      </c>
      <c r="AS140" s="115" t="str">
        <f>VLOOKUP(B140,'Willie List'!B:M,12,FALSE)</f>
        <v>YES</v>
      </c>
      <c r="AT140" s="115" t="str">
        <f t="shared" si="56"/>
        <v>Standard_D4ds_v4</v>
      </c>
      <c r="AU140" s="115" t="str">
        <f t="shared" si="57"/>
        <v>D4ds v4</v>
      </c>
      <c r="AV140" t="str">
        <f t="shared" si="58"/>
        <v>D2ds v4</v>
      </c>
      <c r="AW140" s="8">
        <f t="shared" si="59"/>
        <v>0</v>
      </c>
    </row>
    <row r="141" spans="1:49">
      <c r="B141" t="s">
        <v>460</v>
      </c>
      <c r="C141" s="8">
        <f>IFERROR(IF(VLOOKUP(B141,'Willie List'!B:B,1,FALSE) &lt;&gt; "",1,0),0)</f>
        <v>1</v>
      </c>
      <c r="D141" s="8"/>
      <c r="E141" t="s">
        <v>99</v>
      </c>
      <c r="F141" t="s">
        <v>461</v>
      </c>
      <c r="G141" t="s">
        <v>152</v>
      </c>
      <c r="H141" t="s">
        <v>153</v>
      </c>
      <c r="I141" t="s">
        <v>154</v>
      </c>
      <c r="J141" t="s">
        <v>56</v>
      </c>
      <c r="K141" s="8" t="str">
        <f t="shared" si="43"/>
        <v>D2ds v4</v>
      </c>
      <c r="L141" s="8">
        <f>VLOOKUP(K141,'Web-SKUS'!A:E,2,FALSE)</f>
        <v>2</v>
      </c>
      <c r="M141" s="8" t="str">
        <f>VLOOKUP(K141,'Web-SKUS'!A:E,4,FALSE)</f>
        <v>8</v>
      </c>
      <c r="N141" t="s">
        <v>277</v>
      </c>
      <c r="O141" s="8">
        <v>1</v>
      </c>
      <c r="P141" t="s">
        <v>157</v>
      </c>
      <c r="Q141">
        <f>IFERROR(VLOOKUP(B141,PercentCPU!B:F,4,FALSE),"")</f>
        <v>7.2633217343477696</v>
      </c>
      <c r="R141">
        <f>IFERROR(VLOOKUP(B141,MemoryAvailable!B:F,3,FALSE),"")</f>
        <v>6134.9792439387802</v>
      </c>
      <c r="S141" s="2">
        <f t="shared" si="44"/>
        <v>0.25110116651137937</v>
      </c>
      <c r="T141">
        <f t="shared" si="45"/>
        <v>1</v>
      </c>
      <c r="U141" s="8">
        <f t="shared" si="46"/>
        <v>2</v>
      </c>
      <c r="V141" s="8" t="str">
        <f t="shared" si="47"/>
        <v>F Series</v>
      </c>
      <c r="W141" s="8">
        <f>IFERROR(VLOOKUP(B141,Write_Bytes_ps!B:F,4,FALSE)/1024/1024,"")</f>
        <v>7.050994384339683E-2</v>
      </c>
      <c r="X141" s="8">
        <f>IFERROR(VLOOKUP(B141,Read_Bytes_ps!B:F,4,FALSE)/1024/1024,"")</f>
        <v>1.0351808797743417E-2</v>
      </c>
      <c r="Y141" s="8">
        <f>IFERROR(VLOOKUP(B141,Writes_ps!B:F,5,FALSE),"")</f>
        <v>596.88563407057802</v>
      </c>
      <c r="Z141" s="8">
        <f>IFERROR(VLOOKUP(B141,Reads_ps!B:F,5,FALSE),"")</f>
        <v>183.35133324533101</v>
      </c>
      <c r="AA141" s="120">
        <f t="shared" si="60"/>
        <v>8.0861752641140247E-2</v>
      </c>
      <c r="AB141" s="122">
        <f t="shared" si="42"/>
        <v>781</v>
      </c>
      <c r="AC141" s="122" t="str">
        <f t="shared" si="48"/>
        <v>D2ds v4</v>
      </c>
      <c r="AD141" s="8" t="s">
        <v>290</v>
      </c>
      <c r="AE141" s="8">
        <f>IFERROR(VLOOKUP(AD141,'Web-SKUS'!A:E,2,FALSE),"")</f>
        <v>2</v>
      </c>
      <c r="AF141" s="8">
        <f>_xlfn.NUMBERVALUE(IFERROR(VLOOKUP(AD141,'Web-SKUS'!A:E,4,FALSE),""))</f>
        <v>4</v>
      </c>
      <c r="AG141" s="8">
        <f>IFERROR(VLOOKUP(AD141,VM_Performance_Stats!A:G,7,FALSE),0)</f>
        <v>4</v>
      </c>
      <c r="AH141" s="8">
        <f>IFERROR(VLOOKUP(AD141,VM_Performance_Stats!A:I,8,FALSE),"")</f>
        <v>3200</v>
      </c>
      <c r="AI141" s="8">
        <f t="shared" si="49"/>
        <v>1</v>
      </c>
      <c r="AJ141" s="8">
        <f t="shared" si="50"/>
        <v>1</v>
      </c>
      <c r="AK141" s="8">
        <f>IFERROR(IF(VLOOKUP(AD141,VM_Performance_Stats!A:I,8,FALSE)&gt;AB141,1,0),0)</f>
        <v>1</v>
      </c>
      <c r="AL141" t="str">
        <f>IFERROR(VLOOKUP(AD141,'Web-SKUS'!A:G,7,FALSE),"")</f>
        <v>£31.2409/month</v>
      </c>
      <c r="AM141" s="116">
        <f t="shared" si="51"/>
        <v>31.2409</v>
      </c>
      <c r="AN141" t="str">
        <f>IFERROR(IF(C141=1,VLOOKUP(K141,'Web-SKUS'!A:G,7,FALSE),VLOOKUP(K141,'Web-SKUS'!A:G,6,FALSE)),"")</f>
        <v>£43.6621/month</v>
      </c>
      <c r="AO141" s="116">
        <f t="shared" si="52"/>
        <v>43.662100000000002</v>
      </c>
      <c r="AP141" s="116">
        <f t="shared" si="53"/>
        <v>31.2409</v>
      </c>
      <c r="AQ141" s="115">
        <f t="shared" si="54"/>
        <v>12.421200000000002</v>
      </c>
      <c r="AR141" s="115">
        <f t="shared" si="55"/>
        <v>149.05440000000004</v>
      </c>
      <c r="AS141" s="115" t="str">
        <f>VLOOKUP(B141,'Willie List'!B:M,12,FALSE)</f>
        <v>YES</v>
      </c>
      <c r="AT141" s="115" t="str">
        <f t="shared" si="56"/>
        <v>Standard_D2ds_v4</v>
      </c>
      <c r="AU141" s="115" t="str">
        <f t="shared" si="57"/>
        <v>D2ds v4</v>
      </c>
      <c r="AV141" t="str">
        <f t="shared" si="58"/>
        <v>F2s v2</v>
      </c>
      <c r="AW141" s="8">
        <f t="shared" si="59"/>
        <v>0</v>
      </c>
    </row>
    <row r="142" spans="1:49">
      <c r="B142" s="83" t="s">
        <v>462</v>
      </c>
      <c r="C142" s="96">
        <f>IFERROR(IF(VLOOKUP(B142,'Willie List'!B:B,1,FALSE) &lt;&gt; "",1,0),0)</f>
        <v>1</v>
      </c>
      <c r="D142" s="96"/>
      <c r="E142" s="83" t="s">
        <v>95</v>
      </c>
      <c r="F142" s="83" t="s">
        <v>463</v>
      </c>
      <c r="G142" s="83" t="s">
        <v>152</v>
      </c>
      <c r="H142" s="83" t="s">
        <v>153</v>
      </c>
      <c r="I142" s="83" t="s">
        <v>276</v>
      </c>
      <c r="J142" s="83" t="s">
        <v>56</v>
      </c>
      <c r="K142" s="96" t="str">
        <f t="shared" si="43"/>
        <v>D2ds v4</v>
      </c>
      <c r="L142" s="96">
        <f>VLOOKUP(K142,'Web-SKUS'!A:E,2,FALSE)</f>
        <v>2</v>
      </c>
      <c r="M142" s="96" t="str">
        <f>VLOOKUP(K142,'Web-SKUS'!A:E,4,FALSE)</f>
        <v>8</v>
      </c>
      <c r="N142" s="83" t="s">
        <v>277</v>
      </c>
      <c r="O142" s="96">
        <v>1</v>
      </c>
      <c r="P142" s="83" t="s">
        <v>157</v>
      </c>
      <c r="Q142" s="83">
        <f>IFERROR(VLOOKUP(B142,PercentCPU!B:F,4,FALSE),"")</f>
        <v>3.3213362638464314</v>
      </c>
      <c r="R142" s="83">
        <f>IFERROR(VLOOKUP(B142,MemoryAvailable!B:F,3,FALSE),"")</f>
        <v>5419.6384323342845</v>
      </c>
      <c r="S142" s="233">
        <f t="shared" si="44"/>
        <v>0.33842304292794378</v>
      </c>
      <c r="T142" s="83">
        <f t="shared" si="45"/>
        <v>1</v>
      </c>
      <c r="U142" s="96">
        <f t="shared" si="46"/>
        <v>3</v>
      </c>
      <c r="V142" s="96">
        <f t="shared" si="47"/>
        <v>0</v>
      </c>
      <c r="W142" s="8">
        <f>IFERROR(VLOOKUP(B142,Write_Bytes_ps!B:F,4,FALSE)/1024/1024,"")</f>
        <v>0.16108896636189005</v>
      </c>
      <c r="X142" s="8">
        <f>IFERROR(VLOOKUP(B142,Read_Bytes_ps!B:F,4,FALSE)/1024/1024,"")</f>
        <v>8.7729135332581948E-2</v>
      </c>
      <c r="Y142" s="8">
        <f>IFERROR(VLOOKUP(B142,Writes_ps!B:F,5,FALSE),"")</f>
        <v>597.76800537109398</v>
      </c>
      <c r="Z142" s="8">
        <f>IFERROR(VLOOKUP(B142,Reads_ps!B:F,5,FALSE),"")</f>
        <v>2115.6572265625</v>
      </c>
      <c r="AA142" s="234">
        <f t="shared" si="60"/>
        <v>0.24881810169447199</v>
      </c>
      <c r="AB142" s="235">
        <f t="shared" si="42"/>
        <v>2714</v>
      </c>
      <c r="AC142" s="235" t="str">
        <f t="shared" si="48"/>
        <v>D2ds v4</v>
      </c>
      <c r="AD142" s="96" t="s">
        <v>290</v>
      </c>
      <c r="AE142" s="96">
        <f>IFERROR(VLOOKUP(AD142,'Web-SKUS'!A:E,2,FALSE),"")</f>
        <v>2</v>
      </c>
      <c r="AF142" s="96">
        <f>_xlfn.NUMBERVALUE(IFERROR(VLOOKUP(AD142,'Web-SKUS'!A:E,4,FALSE),""))</f>
        <v>4</v>
      </c>
      <c r="AG142" s="96">
        <f>IFERROR(VLOOKUP(AD142,VM_Performance_Stats!A:G,7,FALSE),0)</f>
        <v>4</v>
      </c>
      <c r="AH142" s="96">
        <f>IFERROR(VLOOKUP(AD142,VM_Performance_Stats!A:I,8,FALSE),"")</f>
        <v>3200</v>
      </c>
      <c r="AI142" s="96">
        <f t="shared" si="49"/>
        <v>1</v>
      </c>
      <c r="AJ142" s="96">
        <f t="shared" si="50"/>
        <v>1</v>
      </c>
      <c r="AK142" s="96">
        <f>IFERROR(IF(VLOOKUP(AD142,VM_Performance_Stats!A:I,8,FALSE)&gt;AB142,1,0),0)</f>
        <v>1</v>
      </c>
      <c r="AL142" t="str">
        <f>IFERROR(VLOOKUP(AD142,'Web-SKUS'!A:G,7,FALSE),"")</f>
        <v>£31.2409/month</v>
      </c>
      <c r="AM142" s="236">
        <f t="shared" si="51"/>
        <v>31.2409</v>
      </c>
      <c r="AN142" t="str">
        <f>IFERROR(IF(C142=1,VLOOKUP(K142,'Web-SKUS'!A:G,7,FALSE),VLOOKUP(K142,'Web-SKUS'!A:G,6,FALSE)),"")</f>
        <v>£43.6621/month</v>
      </c>
      <c r="AO142" s="236">
        <f t="shared" si="52"/>
        <v>43.662100000000002</v>
      </c>
      <c r="AP142" s="236">
        <f t="shared" si="53"/>
        <v>31.2409</v>
      </c>
      <c r="AQ142" s="237">
        <f t="shared" si="54"/>
        <v>12.421200000000002</v>
      </c>
      <c r="AR142" s="115">
        <f t="shared" si="55"/>
        <v>149.05440000000004</v>
      </c>
      <c r="AS142" s="115" t="str">
        <f>VLOOKUP(B142,'Willie List'!B:M,12,FALSE)</f>
        <v>YES</v>
      </c>
      <c r="AT142" s="115" t="str">
        <f t="shared" si="56"/>
        <v>Standard_D2ds_v4</v>
      </c>
      <c r="AU142" s="115" t="str">
        <f t="shared" si="57"/>
        <v>D2ds v4</v>
      </c>
      <c r="AV142" t="str">
        <f t="shared" si="58"/>
        <v>F2s v2</v>
      </c>
      <c r="AW142" s="8">
        <f t="shared" si="59"/>
        <v>0</v>
      </c>
    </row>
    <row r="143" spans="1:49">
      <c r="A143" t="s">
        <v>314</v>
      </c>
      <c r="B143" s="83" t="s">
        <v>464</v>
      </c>
      <c r="C143" s="96">
        <f>IFERROR(IF(VLOOKUP(B143,'Willie List'!B:B,1,FALSE) &lt;&gt; "",1,0),0)</f>
        <v>1</v>
      </c>
      <c r="D143" s="96"/>
      <c r="E143" s="83" t="s">
        <v>97</v>
      </c>
      <c r="F143" s="83" t="s">
        <v>465</v>
      </c>
      <c r="G143" s="83" t="s">
        <v>152</v>
      </c>
      <c r="H143" s="83" t="s">
        <v>153</v>
      </c>
      <c r="I143" s="83" t="s">
        <v>276</v>
      </c>
      <c r="J143" s="83" t="s">
        <v>466</v>
      </c>
      <c r="K143" s="96" t="str">
        <f t="shared" si="43"/>
        <v>D4s v3</v>
      </c>
      <c r="L143" s="96">
        <f>VLOOKUP(K143,'Web-SKUS'!A:E,2,FALSE)</f>
        <v>4</v>
      </c>
      <c r="M143" s="96" t="str">
        <f>VLOOKUP(K143,'Web-SKUS'!A:E,4,FALSE)</f>
        <v>16</v>
      </c>
      <c r="N143" s="83" t="s">
        <v>277</v>
      </c>
      <c r="O143" s="96">
        <v>2</v>
      </c>
      <c r="P143" s="83" t="s">
        <v>157</v>
      </c>
      <c r="Q143" s="83">
        <f>IFERROR(VLOOKUP(B143,PercentCPU!B:F,4,FALSE),"")</f>
        <v>8.4434997508649943</v>
      </c>
      <c r="R143" s="83">
        <f>IFERROR(VLOOKUP(B143,MemoryAvailable!B:F,3,FALSE),"")</f>
        <v>4842.4903930234204</v>
      </c>
      <c r="S143" s="233">
        <f t="shared" si="44"/>
        <v>0.70443784222269157</v>
      </c>
      <c r="T143" s="83">
        <f t="shared" si="45"/>
        <v>1</v>
      </c>
      <c r="U143" s="96">
        <f t="shared" si="46"/>
        <v>11</v>
      </c>
      <c r="V143" s="96">
        <f t="shared" si="47"/>
        <v>0</v>
      </c>
      <c r="W143" s="8">
        <f>IFERROR(VLOOKUP(B143,Write_Bytes_ps!B:F,4,FALSE)/1024/1024,"")</f>
        <v>0.37939468385232972</v>
      </c>
      <c r="X143" s="8">
        <f>IFERROR(VLOOKUP(B143,Read_Bytes_ps!B:F,4,FALSE)/1024/1024,"")</f>
        <v>0.2671167884713655</v>
      </c>
      <c r="Y143" s="8">
        <f>IFERROR(VLOOKUP(B143,Writes_ps!B:F,5,FALSE),"")</f>
        <v>1149.40710449219</v>
      </c>
      <c r="Z143" s="8">
        <f>IFERROR(VLOOKUP(B143,Reads_ps!B:F,5,FALSE),"")</f>
        <v>733.04608154296898</v>
      </c>
      <c r="AA143" s="234">
        <f t="shared" si="60"/>
        <v>0.64651147232369521</v>
      </c>
      <c r="AB143" s="235">
        <f t="shared" si="42"/>
        <v>1883</v>
      </c>
      <c r="AC143" s="235" t="str">
        <f t="shared" si="48"/>
        <v>D4s v3</v>
      </c>
      <c r="AD143" s="96" t="s">
        <v>370</v>
      </c>
      <c r="AE143" s="96">
        <f>IFERROR(VLOOKUP(AD143,'Web-SKUS'!A:E,2,FALSE),"")</f>
        <v>2</v>
      </c>
      <c r="AF143" s="96">
        <f>_xlfn.NUMBERVALUE(IFERROR(VLOOKUP(AD143,'Web-SKUS'!A:E,4,FALSE),""))</f>
        <v>16</v>
      </c>
      <c r="AG143" s="96">
        <f>IFERROR(VLOOKUP(AD143,VM_Performance_Stats!A:G,7,FALSE),0)</f>
        <v>4</v>
      </c>
      <c r="AH143" s="96">
        <f>IFERROR(VLOOKUP(AD143,VM_Performance_Stats!A:I,8,FALSE),"")</f>
        <v>3200</v>
      </c>
      <c r="AI143" s="96">
        <f t="shared" si="49"/>
        <v>1</v>
      </c>
      <c r="AJ143" s="96">
        <f t="shared" si="50"/>
        <v>1</v>
      </c>
      <c r="AK143" s="96">
        <f>IFERROR(IF(VLOOKUP(AD143,VM_Performance_Stats!A:I,8,FALSE)&gt;AB143,1,0),0)</f>
        <v>1</v>
      </c>
      <c r="AL143" t="str">
        <f>IFERROR(VLOOKUP(AD143,'Web-SKUS'!A:G,7,FALSE),"")</f>
        <v>£55.5230/month</v>
      </c>
      <c r="AM143" s="236">
        <f t="shared" si="51"/>
        <v>55.523000000000003</v>
      </c>
      <c r="AN143" t="str">
        <f>IFERROR(IF(C143=1,VLOOKUP(K143,'Web-SKUS'!A:G,7,FALSE),VLOOKUP(K143,'Web-SKUS'!A:G,6,FALSE)),"")</f>
        <v>£83.1620/month</v>
      </c>
      <c r="AO143" s="236">
        <f t="shared" si="52"/>
        <v>83.162000000000006</v>
      </c>
      <c r="AP143" s="236">
        <f t="shared" si="53"/>
        <v>55.523000000000003</v>
      </c>
      <c r="AQ143" s="237">
        <f t="shared" si="54"/>
        <v>27.639000000000003</v>
      </c>
      <c r="AR143" s="115">
        <f t="shared" si="55"/>
        <v>331.66800000000001</v>
      </c>
      <c r="AS143" s="115">
        <f>VLOOKUP(B143,'Willie List'!B:M,12,FALSE)</f>
        <v>0</v>
      </c>
      <c r="AT143" s="115" t="str">
        <f t="shared" si="56"/>
        <v>Standard_D4s_v3</v>
      </c>
      <c r="AU143" s="115" t="str">
        <f t="shared" si="57"/>
        <v>D4s v3</v>
      </c>
      <c r="AV143" t="str">
        <f t="shared" si="58"/>
        <v>E2ds v4</v>
      </c>
      <c r="AW143" s="8">
        <f t="shared" si="59"/>
        <v>0</v>
      </c>
    </row>
    <row r="144" spans="1:49">
      <c r="B144" t="s">
        <v>467</v>
      </c>
      <c r="C144" s="8">
        <f>IFERROR(IF(VLOOKUP(B144,'Willie List'!B:B,1,FALSE) &lt;&gt; "",1,0),0)</f>
        <v>1</v>
      </c>
      <c r="D144" s="8"/>
      <c r="E144" t="s">
        <v>99</v>
      </c>
      <c r="F144" t="s">
        <v>468</v>
      </c>
      <c r="G144" t="s">
        <v>152</v>
      </c>
      <c r="H144" t="s">
        <v>153</v>
      </c>
      <c r="I144" t="s">
        <v>154</v>
      </c>
      <c r="J144" t="s">
        <v>56</v>
      </c>
      <c r="K144" s="8" t="str">
        <f t="shared" si="43"/>
        <v>D2ds v4</v>
      </c>
      <c r="L144" s="8">
        <f>VLOOKUP(K144,'Web-SKUS'!A:E,2,FALSE)</f>
        <v>2</v>
      </c>
      <c r="M144" s="8" t="str">
        <f>VLOOKUP(K144,'Web-SKUS'!A:E,4,FALSE)</f>
        <v>8</v>
      </c>
      <c r="N144" t="s">
        <v>277</v>
      </c>
      <c r="O144" s="8">
        <v>2</v>
      </c>
      <c r="P144" t="s">
        <v>157</v>
      </c>
      <c r="Q144">
        <f>IFERROR(VLOOKUP(B144,PercentCPU!B:F,4,FALSE),"")</f>
        <v>27.386708599588072</v>
      </c>
      <c r="R144">
        <f>IFERROR(VLOOKUP(B144,MemoryAvailable!B:F,3,FALSE),"")</f>
        <v>6314.4496362305254</v>
      </c>
      <c r="S144" s="2">
        <f t="shared" si="44"/>
        <v>0.22919315963982845</v>
      </c>
      <c r="T144">
        <f t="shared" si="45"/>
        <v>1</v>
      </c>
      <c r="U144" s="8">
        <f t="shared" si="46"/>
        <v>2</v>
      </c>
      <c r="V144" s="8" t="str">
        <f t="shared" si="47"/>
        <v>F Series</v>
      </c>
      <c r="W144" s="8">
        <f>IFERROR(VLOOKUP(B144,Write_Bytes_ps!B:F,4,FALSE)/1024/1024,"")</f>
        <v>6.5847407080741896E-2</v>
      </c>
      <c r="X144" s="8">
        <f>IFERROR(VLOOKUP(B144,Read_Bytes_ps!B:F,4,FALSE)/1024/1024,"")</f>
        <v>1.2307168305997469E-2</v>
      </c>
      <c r="Y144" s="8">
        <f>IFERROR(VLOOKUP(B144,Writes_ps!B:F,5,FALSE),"")</f>
        <v>353.38383717622702</v>
      </c>
      <c r="Z144" s="8">
        <f>IFERROR(VLOOKUP(B144,Reads_ps!B:F,5,FALSE),"")</f>
        <v>629.97201965757802</v>
      </c>
      <c r="AA144" s="120">
        <f t="shared" si="60"/>
        <v>7.8154575386739367E-2</v>
      </c>
      <c r="AB144" s="122">
        <f t="shared" si="42"/>
        <v>984</v>
      </c>
      <c r="AC144" s="122" t="str">
        <f t="shared" si="48"/>
        <v>D2ds v4</v>
      </c>
      <c r="AD144" s="8" t="s">
        <v>290</v>
      </c>
      <c r="AE144" s="8">
        <f>IFERROR(VLOOKUP(AD144,'Web-SKUS'!A:E,2,FALSE),"")</f>
        <v>2</v>
      </c>
      <c r="AF144" s="8">
        <f>_xlfn.NUMBERVALUE(IFERROR(VLOOKUP(AD144,'Web-SKUS'!A:E,4,FALSE),""))</f>
        <v>4</v>
      </c>
      <c r="AG144" s="8">
        <f>IFERROR(VLOOKUP(AD144,VM_Performance_Stats!A:G,7,FALSE),0)</f>
        <v>4</v>
      </c>
      <c r="AH144" s="8">
        <f>IFERROR(VLOOKUP(AD144,VM_Performance_Stats!A:I,8,FALSE),"")</f>
        <v>3200</v>
      </c>
      <c r="AI144" s="8">
        <f t="shared" si="49"/>
        <v>1</v>
      </c>
      <c r="AJ144" s="8">
        <f t="shared" si="50"/>
        <v>1</v>
      </c>
      <c r="AK144" s="8">
        <f>IFERROR(IF(VLOOKUP(AD144,VM_Performance_Stats!A:I,8,FALSE)&gt;AB144,1,0),0)</f>
        <v>1</v>
      </c>
      <c r="AL144" t="str">
        <f>IFERROR(VLOOKUP(AD144,'Web-SKUS'!A:G,7,FALSE),"")</f>
        <v>£31.2409/month</v>
      </c>
      <c r="AM144" s="116">
        <f t="shared" si="51"/>
        <v>31.2409</v>
      </c>
      <c r="AN144" t="str">
        <f>IFERROR(IF(C144=1,VLOOKUP(K144,'Web-SKUS'!A:G,7,FALSE),VLOOKUP(K144,'Web-SKUS'!A:G,6,FALSE)),"")</f>
        <v>£43.6621/month</v>
      </c>
      <c r="AO144" s="116">
        <f t="shared" si="52"/>
        <v>43.662100000000002</v>
      </c>
      <c r="AP144" s="116">
        <f t="shared" si="53"/>
        <v>31.2409</v>
      </c>
      <c r="AQ144" s="115">
        <f t="shared" si="54"/>
        <v>12.421200000000002</v>
      </c>
      <c r="AR144" s="115">
        <f t="shared" si="55"/>
        <v>149.05440000000004</v>
      </c>
      <c r="AS144" s="115" t="str">
        <f>VLOOKUP(B144,'Willie List'!B:M,12,FALSE)</f>
        <v>YES</v>
      </c>
      <c r="AT144" s="115" t="str">
        <f t="shared" si="56"/>
        <v>Standard_D2ds_v4</v>
      </c>
      <c r="AU144" s="115" t="str">
        <f t="shared" si="57"/>
        <v>D2ds v4</v>
      </c>
      <c r="AV144" t="str">
        <f t="shared" si="58"/>
        <v>F2s v2</v>
      </c>
      <c r="AW144" s="8">
        <f t="shared" si="59"/>
        <v>0</v>
      </c>
    </row>
    <row r="145" spans="1:49">
      <c r="B145" t="s">
        <v>469</v>
      </c>
      <c r="C145" s="8">
        <f>IFERROR(IF(VLOOKUP(B145,'Willie List'!B:B,1,FALSE) &lt;&gt; "",1,0),0)</f>
        <v>1</v>
      </c>
      <c r="D145" s="8"/>
      <c r="E145" t="s">
        <v>99</v>
      </c>
      <c r="F145" t="s">
        <v>470</v>
      </c>
      <c r="G145" t="s">
        <v>152</v>
      </c>
      <c r="H145" t="s">
        <v>153</v>
      </c>
      <c r="I145" t="s">
        <v>276</v>
      </c>
      <c r="J145" t="s">
        <v>57</v>
      </c>
      <c r="K145" s="8" t="str">
        <f t="shared" si="43"/>
        <v>D4ds v4</v>
      </c>
      <c r="L145" s="8">
        <f>VLOOKUP(K145,'Web-SKUS'!A:E,2,FALSE)</f>
        <v>4</v>
      </c>
      <c r="M145" s="8" t="str">
        <f>VLOOKUP(K145,'Web-SKUS'!A:E,4,FALSE)</f>
        <v>16</v>
      </c>
      <c r="N145" t="s">
        <v>277</v>
      </c>
      <c r="O145" s="8">
        <v>2</v>
      </c>
      <c r="P145" t="s">
        <v>157</v>
      </c>
      <c r="Q145">
        <f>IFERROR(VLOOKUP(B145,PercentCPU!B:F,4,FALSE),"")</f>
        <v>12.711746522032326</v>
      </c>
      <c r="R145">
        <f>IFERROR(VLOOKUP(B145,MemoryAvailable!B:F,3,FALSE),"")</f>
        <v>5238.5191287744856</v>
      </c>
      <c r="S145" s="2">
        <f t="shared" si="44"/>
        <v>0.6802661664566354</v>
      </c>
      <c r="T145">
        <f t="shared" si="45"/>
        <v>1</v>
      </c>
      <c r="U145" s="8">
        <f t="shared" si="46"/>
        <v>11</v>
      </c>
      <c r="V145" s="8">
        <f t="shared" si="47"/>
        <v>0</v>
      </c>
      <c r="W145" s="8">
        <f>IFERROR(VLOOKUP(B145,Write_Bytes_ps!B:F,4,FALSE)/1024/1024,"")</f>
        <v>0.45215862271666718</v>
      </c>
      <c r="X145" s="8">
        <f>IFERROR(VLOOKUP(B145,Read_Bytes_ps!B:F,4,FALSE)/1024/1024,"")</f>
        <v>0.39733675082059478</v>
      </c>
      <c r="Y145" s="8">
        <f>IFERROR(VLOOKUP(B145,Writes_ps!B:F,5,FALSE),"")</f>
        <v>331.88064575195301</v>
      </c>
      <c r="Z145" s="8">
        <f>IFERROR(VLOOKUP(B145,Reads_ps!B:F,5,FALSE),"")</f>
        <v>2109.86596679688</v>
      </c>
      <c r="AA145" s="120">
        <f t="shared" si="60"/>
        <v>0.8494953735372619</v>
      </c>
      <c r="AB145" s="122">
        <f t="shared" si="42"/>
        <v>2442</v>
      </c>
      <c r="AC145" s="122" t="str">
        <f t="shared" si="48"/>
        <v>D4ds v4</v>
      </c>
      <c r="AD145" s="8" t="s">
        <v>420</v>
      </c>
      <c r="AE145" s="8">
        <f>IFERROR(VLOOKUP(AD145,'Web-SKUS'!A:E,2,FALSE),"")</f>
        <v>4</v>
      </c>
      <c r="AF145" s="8">
        <f>_xlfn.NUMBERVALUE(IFERROR(VLOOKUP(AD145,'Web-SKUS'!A:E,4,FALSE),""))</f>
        <v>16</v>
      </c>
      <c r="AG145" s="8">
        <f>IFERROR(VLOOKUP(AD145,VM_Performance_Stats!A:G,7,FALSE),0)</f>
        <v>8</v>
      </c>
      <c r="AH145" s="8">
        <f>IFERROR(VLOOKUP(AD145,VM_Performance_Stats!A:I,8,FALSE),"")</f>
        <v>6400</v>
      </c>
      <c r="AI145" s="8">
        <f t="shared" si="49"/>
        <v>1</v>
      </c>
      <c r="AJ145" s="8">
        <f t="shared" si="50"/>
        <v>1</v>
      </c>
      <c r="AK145" s="8">
        <f>IFERROR(IF(VLOOKUP(AD145,VM_Performance_Stats!A:I,8,FALSE)&gt;AB145,1,0),0)</f>
        <v>1</v>
      </c>
      <c r="AL145" t="str">
        <f>IFERROR(VLOOKUP(AD145,'Web-SKUS'!A:G,7,FALSE),"")</f>
        <v>£87.3242/month</v>
      </c>
      <c r="AM145" s="116">
        <f t="shared" si="51"/>
        <v>87.324200000000005</v>
      </c>
      <c r="AN145" t="str">
        <f>IFERROR(IF(C145=1,VLOOKUP(K145,'Web-SKUS'!A:G,7,FALSE),VLOOKUP(K145,'Web-SKUS'!A:G,6,FALSE)),"")</f>
        <v>£87.3242/month</v>
      </c>
      <c r="AO145" s="116">
        <f t="shared" si="52"/>
        <v>87.324200000000005</v>
      </c>
      <c r="AP145" s="116">
        <f t="shared" si="53"/>
        <v>87.324200000000005</v>
      </c>
      <c r="AQ145" s="115">
        <f t="shared" si="54"/>
        <v>0</v>
      </c>
      <c r="AR145" s="115">
        <f t="shared" si="55"/>
        <v>0</v>
      </c>
      <c r="AS145" s="115" t="str">
        <f>VLOOKUP(B145,'Willie List'!B:M,12,FALSE)</f>
        <v>YES</v>
      </c>
      <c r="AT145" s="115" t="str">
        <f t="shared" si="56"/>
        <v>Standard_D4ds_v4</v>
      </c>
      <c r="AU145" s="115" t="str">
        <f t="shared" si="57"/>
        <v>D4ds v4</v>
      </c>
      <c r="AV145" t="str">
        <f t="shared" si="58"/>
        <v>D4ds v4</v>
      </c>
      <c r="AW145" s="8">
        <f t="shared" si="59"/>
        <v>1</v>
      </c>
    </row>
    <row r="146" spans="1:49">
      <c r="B146" t="s">
        <v>471</v>
      </c>
      <c r="C146" s="8">
        <f>IFERROR(IF(VLOOKUP(B146,'Willie List'!B:B,1,FALSE) &lt;&gt; "",1,0),0)</f>
        <v>1</v>
      </c>
      <c r="D146" s="8"/>
      <c r="E146" t="s">
        <v>99</v>
      </c>
      <c r="F146" t="s">
        <v>422</v>
      </c>
      <c r="G146" t="s">
        <v>152</v>
      </c>
      <c r="H146" t="s">
        <v>153</v>
      </c>
      <c r="I146" t="s">
        <v>276</v>
      </c>
      <c r="J146" t="s">
        <v>25</v>
      </c>
      <c r="K146" s="8" t="str">
        <f t="shared" si="43"/>
        <v>B4ms</v>
      </c>
      <c r="L146" s="8">
        <f>VLOOKUP(K146,'Web-SKUS'!A:E,2,FALSE)</f>
        <v>4</v>
      </c>
      <c r="M146" s="8" t="str">
        <f>VLOOKUP(K146,'Web-SKUS'!A:E,4,FALSE)</f>
        <v>16</v>
      </c>
      <c r="N146" t="s">
        <v>277</v>
      </c>
      <c r="O146" s="8">
        <v>2</v>
      </c>
      <c r="P146" t="s">
        <v>157</v>
      </c>
      <c r="Q146">
        <f>IFERROR(VLOOKUP(B146,PercentCPU!B:F,4,FALSE),"")</f>
        <v>33.205592877283323</v>
      </c>
      <c r="R146">
        <f>IFERROR(VLOOKUP(B146,MemoryAvailable!B:F,3,FALSE),"")</f>
        <v>6390.1690479558638</v>
      </c>
      <c r="S146" s="2">
        <f t="shared" si="44"/>
        <v>0.60997503369410011</v>
      </c>
      <c r="T146">
        <f t="shared" si="45"/>
        <v>2</v>
      </c>
      <c r="U146" s="8">
        <f t="shared" si="46"/>
        <v>10</v>
      </c>
      <c r="V146" s="8">
        <f t="shared" si="47"/>
        <v>0</v>
      </c>
      <c r="W146" s="8">
        <f>IFERROR(VLOOKUP(B146,Write_Bytes_ps!B:F,4,FALSE)/1024/1024,"")</f>
        <v>0.54963887754291463</v>
      </c>
      <c r="X146" s="8">
        <f>IFERROR(VLOOKUP(B146,Read_Bytes_ps!B:F,4,FALSE)/1024/1024,"")</f>
        <v>0.41148321137325727</v>
      </c>
      <c r="Y146" s="8">
        <f>IFERROR(VLOOKUP(B146,Writes_ps!B:F,5,FALSE),"")</f>
        <v>499.14068603515602</v>
      </c>
      <c r="Z146" s="8">
        <f>IFERROR(VLOOKUP(B146,Reads_ps!B:F,5,FALSE),"")</f>
        <v>1023.19738769531</v>
      </c>
      <c r="AA146" s="120">
        <f t="shared" si="60"/>
        <v>0.9611220889161719</v>
      </c>
      <c r="AB146" s="122">
        <f t="shared" si="42"/>
        <v>1523</v>
      </c>
      <c r="AC146" s="122" t="str">
        <f t="shared" si="48"/>
        <v>B4ms</v>
      </c>
      <c r="AD146" s="8" t="s">
        <v>370</v>
      </c>
      <c r="AE146" s="8">
        <f>IFERROR(VLOOKUP(AD146,'Web-SKUS'!A:E,2,FALSE),"")</f>
        <v>2</v>
      </c>
      <c r="AF146" s="8">
        <f>_xlfn.NUMBERVALUE(IFERROR(VLOOKUP(AD146,'Web-SKUS'!A:E,4,FALSE),""))</f>
        <v>16</v>
      </c>
      <c r="AG146" s="8">
        <f>IFERROR(VLOOKUP(AD146,VM_Performance_Stats!A:G,7,FALSE),0)</f>
        <v>4</v>
      </c>
      <c r="AH146" s="8">
        <f>IFERROR(VLOOKUP(AD146,VM_Performance_Stats!A:I,8,FALSE),"")</f>
        <v>3200</v>
      </c>
      <c r="AI146" s="8">
        <f t="shared" si="49"/>
        <v>1</v>
      </c>
      <c r="AJ146" s="8">
        <f t="shared" si="50"/>
        <v>1</v>
      </c>
      <c r="AK146" s="8">
        <f>IFERROR(IF(VLOOKUP(AD146,VM_Performance_Stats!A:I,8,FALSE)&gt;AB146,1,0),0)</f>
        <v>1</v>
      </c>
      <c r="AL146" t="str">
        <f>IFERROR(VLOOKUP(AD146,'Web-SKUS'!A:G,7,FALSE),"")</f>
        <v>£55.5230/month</v>
      </c>
      <c r="AM146" s="116">
        <f t="shared" si="51"/>
        <v>55.523000000000003</v>
      </c>
      <c r="AN146" t="str">
        <f>IFERROR(IF(C146=1,VLOOKUP(K146,'Web-SKUS'!A:G,7,FALSE),VLOOKUP(K146,'Web-SKUS'!A:G,6,FALSE)),"")</f>
        <v>£61.1161/month</v>
      </c>
      <c r="AO146" s="116">
        <f t="shared" si="52"/>
        <v>61.116100000000003</v>
      </c>
      <c r="AP146" s="116">
        <f t="shared" si="53"/>
        <v>55.523000000000003</v>
      </c>
      <c r="AQ146" s="115">
        <f t="shared" si="54"/>
        <v>5.5930999999999997</v>
      </c>
      <c r="AR146" s="115">
        <f t="shared" si="55"/>
        <v>67.117199999999997</v>
      </c>
      <c r="AS146" s="115" t="str">
        <f>VLOOKUP(B146,'Willie List'!B:M,12,FALSE)</f>
        <v>YES</v>
      </c>
      <c r="AT146" s="115" t="str">
        <f t="shared" si="56"/>
        <v>Standard_B4ms</v>
      </c>
      <c r="AU146" s="115" t="str">
        <f t="shared" si="57"/>
        <v>B4ms</v>
      </c>
      <c r="AV146" t="str">
        <f t="shared" si="58"/>
        <v>E2ds v4</v>
      </c>
      <c r="AW146" s="8">
        <f t="shared" si="59"/>
        <v>0</v>
      </c>
    </row>
    <row r="147" spans="1:49">
      <c r="B147" t="s">
        <v>472</v>
      </c>
      <c r="C147" s="8">
        <f>IFERROR(IF(VLOOKUP(B147,'Willie List'!B:B,1,FALSE) &lt;&gt; "",1,0),0)</f>
        <v>1</v>
      </c>
      <c r="D147" s="8"/>
      <c r="E147" t="s">
        <v>99</v>
      </c>
      <c r="F147" t="s">
        <v>473</v>
      </c>
      <c r="G147" t="s">
        <v>152</v>
      </c>
      <c r="H147" t="s">
        <v>153</v>
      </c>
      <c r="I147" t="s">
        <v>276</v>
      </c>
      <c r="J147" t="s">
        <v>58</v>
      </c>
      <c r="K147" s="8" t="str">
        <f t="shared" si="43"/>
        <v>D8ds v4</v>
      </c>
      <c r="L147" s="8">
        <f>VLOOKUP(K147,'Web-SKUS'!A:E,2,FALSE)</f>
        <v>8</v>
      </c>
      <c r="M147" s="8" t="str">
        <f>VLOOKUP(K147,'Web-SKUS'!A:E,4,FALSE)</f>
        <v>32</v>
      </c>
      <c r="N147" t="s">
        <v>277</v>
      </c>
      <c r="O147" s="8">
        <v>4</v>
      </c>
      <c r="P147" t="s">
        <v>157</v>
      </c>
      <c r="Q147">
        <f>IFERROR(VLOOKUP(B147,PercentCPU!B:F,4,FALSE),"")</f>
        <v>15.68030681830257</v>
      </c>
      <c r="R147">
        <f>IFERROR(VLOOKUP(B147,MemoryAvailable!B:F,3,FALSE),"")</f>
        <v>6559.5373113240867</v>
      </c>
      <c r="S147" s="2">
        <f t="shared" si="44"/>
        <v>0.79981880763781477</v>
      </c>
      <c r="T147">
        <f t="shared" si="45"/>
        <v>2</v>
      </c>
      <c r="U147" s="8">
        <f t="shared" si="46"/>
        <v>26</v>
      </c>
      <c r="V147" s="8">
        <f t="shared" si="47"/>
        <v>0</v>
      </c>
      <c r="W147" s="8">
        <f>IFERROR(VLOOKUP(B147,Write_Bytes_ps!B:F,4,FALSE)/1024/1024,"")</f>
        <v>0.98223510604882125</v>
      </c>
      <c r="X147" s="8">
        <f>IFERROR(VLOOKUP(B147,Read_Bytes_ps!B:F,4,FALSE)/1024/1024,"")</f>
        <v>0.26526799741978951</v>
      </c>
      <c r="Y147" s="8">
        <f>IFERROR(VLOOKUP(B147,Writes_ps!B:F,5,FALSE),"")</f>
        <v>1692.89855957031</v>
      </c>
      <c r="Z147" s="8">
        <f>IFERROR(VLOOKUP(B147,Reads_ps!B:F,5,FALSE),"")</f>
        <v>3297.5009765625</v>
      </c>
      <c r="AA147" s="120">
        <f t="shared" si="60"/>
        <v>1.2475031034686108</v>
      </c>
      <c r="AB147" s="122">
        <f t="shared" ref="AB147:AB178" si="61">ROUNDUP(SUM(Y147:Z147),0)</f>
        <v>4991</v>
      </c>
      <c r="AC147" s="122" t="str">
        <f t="shared" si="48"/>
        <v>D8ds v4</v>
      </c>
      <c r="AD147" s="8" t="s">
        <v>439</v>
      </c>
      <c r="AE147" s="8">
        <f>IFERROR(VLOOKUP(AD147,'Web-SKUS'!A:E,2,FALSE),"")</f>
        <v>4</v>
      </c>
      <c r="AF147" s="8">
        <f>_xlfn.NUMBERVALUE(IFERROR(VLOOKUP(AD147,'Web-SKUS'!A:E,4,FALSE),""))</f>
        <v>32</v>
      </c>
      <c r="AG147" s="8">
        <f>IFERROR(VLOOKUP(AD147,VM_Performance_Stats!A:G,7,FALSE),0)</f>
        <v>8</v>
      </c>
      <c r="AH147" s="8">
        <f>IFERROR(VLOOKUP(AD147,VM_Performance_Stats!A:I,8,FALSE),"")</f>
        <v>6400</v>
      </c>
      <c r="AI147" s="8">
        <f t="shared" si="49"/>
        <v>1</v>
      </c>
      <c r="AJ147" s="8">
        <f t="shared" si="50"/>
        <v>1</v>
      </c>
      <c r="AK147" s="8">
        <f>IFERROR(IF(VLOOKUP(AD147,VM_Performance_Stats!A:I,8,FALSE)&gt;AB147,1,0),0)</f>
        <v>1</v>
      </c>
      <c r="AL147" t="str">
        <f>IFERROR(VLOOKUP(AD147,'Web-SKUS'!A:G,7,FALSE),"")</f>
        <v>£111.0513/month</v>
      </c>
      <c r="AM147" s="116">
        <f t="shared" si="51"/>
        <v>111.0513</v>
      </c>
      <c r="AN147" t="str">
        <f>IFERROR(IF(C147=1,VLOOKUP(K147,'Web-SKUS'!A:G,7,FALSE),VLOOKUP(K147,'Web-SKUS'!A:G,6,FALSE)),"")</f>
        <v>£174.6483/month</v>
      </c>
      <c r="AO147" s="116">
        <f t="shared" si="52"/>
        <v>174.64830000000001</v>
      </c>
      <c r="AP147" s="116">
        <f t="shared" si="53"/>
        <v>111.0513</v>
      </c>
      <c r="AQ147" s="115">
        <f t="shared" si="54"/>
        <v>63.597000000000008</v>
      </c>
      <c r="AR147" s="115">
        <f t="shared" si="55"/>
        <v>763.1640000000001</v>
      </c>
      <c r="AS147" s="115" t="str">
        <f>VLOOKUP(B147,'Willie List'!B:M,12,FALSE)</f>
        <v>YES</v>
      </c>
      <c r="AT147" s="115" t="str">
        <f t="shared" si="56"/>
        <v>Standard_D8ds_v4</v>
      </c>
      <c r="AU147" s="115" t="str">
        <f t="shared" si="57"/>
        <v>D8ds v4</v>
      </c>
      <c r="AV147" t="str">
        <f t="shared" si="58"/>
        <v>E4ds v4</v>
      </c>
      <c r="AW147" s="8">
        <f t="shared" si="59"/>
        <v>0</v>
      </c>
    </row>
    <row r="148" spans="1:49">
      <c r="B148" s="83" t="s">
        <v>474</v>
      </c>
      <c r="C148" s="239">
        <f>IFERROR(IF(VLOOKUP(B148,'Willie List'!B:B,1,FALSE) &lt;&gt; "",1,0),0)</f>
        <v>1</v>
      </c>
      <c r="D148" s="239">
        <v>1</v>
      </c>
      <c r="E148" s="238" t="s">
        <v>97</v>
      </c>
      <c r="F148" s="238" t="s">
        <v>475</v>
      </c>
      <c r="G148" s="238" t="s">
        <v>152</v>
      </c>
      <c r="H148" s="238" t="s">
        <v>153</v>
      </c>
      <c r="I148" s="238" t="s">
        <v>276</v>
      </c>
      <c r="J148" s="238" t="s">
        <v>340</v>
      </c>
      <c r="K148" s="239" t="str">
        <f t="shared" si="43"/>
        <v>D8s v3</v>
      </c>
      <c r="L148" s="239">
        <f>VLOOKUP(K148,'Web-SKUS'!A:E,2,FALSE)</f>
        <v>8</v>
      </c>
      <c r="M148" s="239" t="str">
        <f>VLOOKUP(K148,'Web-SKUS'!A:E,4,FALSE)</f>
        <v>32</v>
      </c>
      <c r="N148" s="238" t="s">
        <v>277</v>
      </c>
      <c r="O148" s="239">
        <v>9</v>
      </c>
      <c r="P148" s="238" t="s">
        <v>157</v>
      </c>
      <c r="Q148" s="238">
        <f>IFERROR(VLOOKUP(B148,PercentCPU!B:F,4,FALSE),"")</f>
        <v>9.3620435204880419</v>
      </c>
      <c r="R148" s="238">
        <f>IFERROR(VLOOKUP(B148,MemoryAvailable!B:F,3,FALSE),"")</f>
        <v>8552.2515263666573</v>
      </c>
      <c r="S148" s="240">
        <f t="shared" si="44"/>
        <v>0.73900599589945504</v>
      </c>
      <c r="T148" s="238">
        <f t="shared" si="45"/>
        <v>1</v>
      </c>
      <c r="U148" s="239">
        <f t="shared" si="46"/>
        <v>24</v>
      </c>
      <c r="V148" s="239">
        <f t="shared" si="47"/>
        <v>0</v>
      </c>
      <c r="W148" s="8">
        <f>IFERROR(VLOOKUP(B148,Write_Bytes_ps!B:F,4,FALSE)/1024/1024,"")</f>
        <v>0.21443562394807658</v>
      </c>
      <c r="X148" s="8">
        <f>IFERROR(VLOOKUP(B148,Read_Bytes_ps!B:F,4,FALSE)/1024/1024,"")</f>
        <v>0.12153854395770748</v>
      </c>
      <c r="Y148" s="8">
        <f>IFERROR(VLOOKUP(B148,Writes_ps!B:F,5,FALSE),"")</f>
        <v>1349.84838867188</v>
      </c>
      <c r="Z148" s="8">
        <f>IFERROR(VLOOKUP(B148,Reads_ps!B:F,5,FALSE),"")</f>
        <v>1448.81823730469</v>
      </c>
      <c r="AA148" s="241">
        <f t="shared" si="60"/>
        <v>0.33597416790578405</v>
      </c>
      <c r="AB148" s="242">
        <f t="shared" si="61"/>
        <v>2799</v>
      </c>
      <c r="AC148" s="242" t="str">
        <f t="shared" si="48"/>
        <v>D8s v3</v>
      </c>
      <c r="AD148" s="239"/>
      <c r="AE148" s="239" t="str">
        <f>IFERROR(VLOOKUP(AD148,'Web-SKUS'!A:E,2,FALSE),"")</f>
        <v/>
      </c>
      <c r="AF148" s="239">
        <f>_xlfn.NUMBERVALUE(IFERROR(VLOOKUP(AD148,'Web-SKUS'!A:E,4,FALSE),""))</f>
        <v>0</v>
      </c>
      <c r="AG148" s="239">
        <f>IFERROR(VLOOKUP(AD148,VM_Performance_Stats!A:G,7,FALSE),0)</f>
        <v>0</v>
      </c>
      <c r="AH148" s="239" t="str">
        <f>IFERROR(VLOOKUP(AD148,VM_Performance_Stats!A:I,8,FALSE),"")</f>
        <v/>
      </c>
      <c r="AI148" s="239">
        <f t="shared" si="49"/>
        <v>0</v>
      </c>
      <c r="AJ148" s="239">
        <f t="shared" si="50"/>
        <v>0</v>
      </c>
      <c r="AK148" s="239">
        <f>IFERROR(IF(VLOOKUP(AD148,VM_Performance_Stats!A:I,8,FALSE)&gt;AB148,1,0),0)</f>
        <v>0</v>
      </c>
      <c r="AL148" t="str">
        <f>IFERROR(VLOOKUP(AD148,'Web-SKUS'!A:G,7,FALSE),"")</f>
        <v/>
      </c>
      <c r="AM148" s="243" t="str">
        <f t="shared" si="51"/>
        <v/>
      </c>
      <c r="AN148" t="str">
        <f>IFERROR(IF(C148=1,VLOOKUP(K148,'Web-SKUS'!A:G,7,FALSE),VLOOKUP(K148,'Web-SKUS'!A:G,6,FALSE)),"")</f>
        <v>£166.3294/month</v>
      </c>
      <c r="AO148" s="243">
        <f t="shared" si="52"/>
        <v>166.32939999999999</v>
      </c>
      <c r="AP148" s="243">
        <f t="shared" si="53"/>
        <v>166.32939999999999</v>
      </c>
      <c r="AQ148" s="244">
        <f t="shared" si="54"/>
        <v>0</v>
      </c>
      <c r="AR148" s="115">
        <f t="shared" si="55"/>
        <v>0</v>
      </c>
      <c r="AS148" s="115">
        <f>VLOOKUP(B148,'Willie List'!B:M,12,FALSE)</f>
        <v>0</v>
      </c>
      <c r="AT148" s="115" t="str">
        <f t="shared" si="56"/>
        <v>Standard_D8s_v3</v>
      </c>
      <c r="AU148" s="115" t="str">
        <f t="shared" si="57"/>
        <v>D8s v3</v>
      </c>
      <c r="AV148">
        <f t="shared" si="58"/>
        <v>0</v>
      </c>
      <c r="AW148" s="8">
        <f t="shared" si="59"/>
        <v>0</v>
      </c>
    </row>
    <row r="149" spans="1:49">
      <c r="A149" t="s">
        <v>309</v>
      </c>
      <c r="B149" t="s">
        <v>476</v>
      </c>
      <c r="C149" s="8">
        <f>IFERROR(IF(VLOOKUP(B149,'Willie List'!B:B,1,FALSE) &lt;&gt; "",1,0),0)</f>
        <v>1</v>
      </c>
      <c r="D149" s="8"/>
      <c r="E149" t="s">
        <v>99</v>
      </c>
      <c r="F149" t="s">
        <v>477</v>
      </c>
      <c r="G149" t="s">
        <v>152</v>
      </c>
      <c r="H149" t="s">
        <v>153</v>
      </c>
      <c r="I149" t="s">
        <v>276</v>
      </c>
      <c r="J149" t="s">
        <v>56</v>
      </c>
      <c r="K149" s="8" t="str">
        <f t="shared" si="43"/>
        <v>D2ds v4</v>
      </c>
      <c r="L149" s="8">
        <f>VLOOKUP(K149,'Web-SKUS'!A:E,2,FALSE)</f>
        <v>2</v>
      </c>
      <c r="M149" s="8" t="str">
        <f>VLOOKUP(K149,'Web-SKUS'!A:E,4,FALSE)</f>
        <v>8</v>
      </c>
      <c r="N149" t="s">
        <v>277</v>
      </c>
      <c r="O149" s="8">
        <v>2</v>
      </c>
      <c r="P149" t="s">
        <v>157</v>
      </c>
      <c r="Q149">
        <f>IFERROR(VLOOKUP(B149,PercentCPU!B:F,4,FALSE),"")</f>
        <v>67.480592081277152</v>
      </c>
      <c r="R149">
        <f>IFERROR(VLOOKUP(B149,MemoryAvailable!B:F,3,FALSE),"")</f>
        <v>5402.7309306053176</v>
      </c>
      <c r="S149" s="2">
        <f t="shared" si="44"/>
        <v>0.34048694694759307</v>
      </c>
      <c r="T149">
        <f t="shared" si="45"/>
        <v>2</v>
      </c>
      <c r="U149" s="8">
        <f t="shared" si="46"/>
        <v>3</v>
      </c>
      <c r="V149" s="8">
        <f t="shared" si="47"/>
        <v>0</v>
      </c>
      <c r="W149" s="8">
        <f>IFERROR(VLOOKUP(B149,Write_Bytes_ps!B:F,4,FALSE)/1024/1024,"")</f>
        <v>0.41472057029263265</v>
      </c>
      <c r="X149" s="8">
        <f>IFERROR(VLOOKUP(B149,Read_Bytes_ps!B:F,4,FALSE)/1024/1024,"")</f>
        <v>9.8484424537111398E-2</v>
      </c>
      <c r="Y149" s="8">
        <f>IFERROR(VLOOKUP(B149,Writes_ps!B:F,5,FALSE),"")</f>
        <v>331.00192260742199</v>
      </c>
      <c r="Z149" s="8">
        <f>IFERROR(VLOOKUP(B149,Reads_ps!B:F,5,FALSE),"")</f>
        <v>2495.20629882813</v>
      </c>
      <c r="AA149" s="120">
        <f t="shared" si="60"/>
        <v>0.51320499482974402</v>
      </c>
      <c r="AB149" s="122">
        <f t="shared" si="61"/>
        <v>2827</v>
      </c>
      <c r="AC149" s="122" t="str">
        <f t="shared" si="48"/>
        <v>D2ds v4</v>
      </c>
      <c r="AD149" s="8" t="s">
        <v>290</v>
      </c>
      <c r="AE149" s="8">
        <f>IFERROR(VLOOKUP(AD149,'Web-SKUS'!A:E,2,FALSE),"")</f>
        <v>2</v>
      </c>
      <c r="AF149" s="8">
        <f>_xlfn.NUMBERVALUE(IFERROR(VLOOKUP(AD149,'Web-SKUS'!A:E,4,FALSE),""))</f>
        <v>4</v>
      </c>
      <c r="AG149" s="8">
        <f>IFERROR(VLOOKUP(AD149,VM_Performance_Stats!A:G,7,FALSE),0)</f>
        <v>4</v>
      </c>
      <c r="AH149" s="8">
        <f>IFERROR(VLOOKUP(AD149,VM_Performance_Stats!A:I,8,FALSE),"")</f>
        <v>3200</v>
      </c>
      <c r="AI149" s="8">
        <f t="shared" si="49"/>
        <v>1</v>
      </c>
      <c r="AJ149" s="8">
        <f t="shared" si="50"/>
        <v>1</v>
      </c>
      <c r="AK149" s="8">
        <f>IFERROR(IF(VLOOKUP(AD149,VM_Performance_Stats!A:I,8,FALSE)&gt;AB149,1,0),0)</f>
        <v>1</v>
      </c>
      <c r="AL149" t="str">
        <f>IFERROR(VLOOKUP(AD149,'Web-SKUS'!A:G,7,FALSE),"")</f>
        <v>£31.2409/month</v>
      </c>
      <c r="AM149" s="116">
        <f t="shared" si="51"/>
        <v>31.2409</v>
      </c>
      <c r="AN149" t="str">
        <f>IFERROR(IF(C149=1,VLOOKUP(K149,'Web-SKUS'!A:G,7,FALSE),VLOOKUP(K149,'Web-SKUS'!A:G,6,FALSE)),"")</f>
        <v>£43.6621/month</v>
      </c>
      <c r="AO149" s="116">
        <f t="shared" si="52"/>
        <v>43.662100000000002</v>
      </c>
      <c r="AP149" s="116">
        <f t="shared" si="53"/>
        <v>31.2409</v>
      </c>
      <c r="AQ149" s="115">
        <f t="shared" si="54"/>
        <v>12.421200000000002</v>
      </c>
      <c r="AR149" s="115">
        <f t="shared" si="55"/>
        <v>149.05440000000004</v>
      </c>
      <c r="AS149" s="115" t="str">
        <f>VLOOKUP(B149,'Willie List'!B:M,12,FALSE)</f>
        <v>YES</v>
      </c>
      <c r="AT149" s="115" t="str">
        <f t="shared" si="56"/>
        <v>Standard_D2ds_v4</v>
      </c>
      <c r="AU149" s="115" t="str">
        <f t="shared" si="57"/>
        <v>D2ds v4</v>
      </c>
      <c r="AV149" t="str">
        <f t="shared" si="58"/>
        <v>F2s v2</v>
      </c>
      <c r="AW149" s="8">
        <f t="shared" si="59"/>
        <v>0</v>
      </c>
    </row>
    <row r="150" spans="1:49" s="238" customFormat="1">
      <c r="A150" s="238" t="s">
        <v>478</v>
      </c>
      <c r="B150" t="s">
        <v>479</v>
      </c>
      <c r="C150" s="8">
        <f>IFERROR(IF(VLOOKUP(B150,'Willie List'!B:B,1,FALSE) &lt;&gt; "",1,0),0)</f>
        <v>1</v>
      </c>
      <c r="D150" s="8"/>
      <c r="E150" t="s">
        <v>99</v>
      </c>
      <c r="F150" t="s">
        <v>480</v>
      </c>
      <c r="G150" t="s">
        <v>152</v>
      </c>
      <c r="H150" t="s">
        <v>153</v>
      </c>
      <c r="I150" t="s">
        <v>276</v>
      </c>
      <c r="J150" t="s">
        <v>56</v>
      </c>
      <c r="K150" s="8" t="str">
        <f t="shared" si="43"/>
        <v>D2ds v4</v>
      </c>
      <c r="L150" s="8">
        <f>VLOOKUP(K150,'Web-SKUS'!A:E,2,FALSE)</f>
        <v>2</v>
      </c>
      <c r="M150" s="8" t="str">
        <f>VLOOKUP(K150,'Web-SKUS'!A:E,4,FALSE)</f>
        <v>8</v>
      </c>
      <c r="N150" t="s">
        <v>277</v>
      </c>
      <c r="O150" s="8">
        <v>1</v>
      </c>
      <c r="P150" t="s">
        <v>157</v>
      </c>
      <c r="Q150">
        <f>IFERROR(VLOOKUP(B150,PercentCPU!B:F,4,FALSE),"")</f>
        <v>4.2477032345405572</v>
      </c>
      <c r="R150">
        <f>IFERROR(VLOOKUP(B150,MemoryAvailable!B:F,3,FALSE),"")</f>
        <v>5335.2982625482628</v>
      </c>
      <c r="S150" s="2">
        <f t="shared" si="44"/>
        <v>0.34871847381002652</v>
      </c>
      <c r="T150">
        <f t="shared" si="45"/>
        <v>1</v>
      </c>
      <c r="U150" s="8">
        <f t="shared" si="46"/>
        <v>3</v>
      </c>
      <c r="V150" s="8">
        <f t="shared" si="47"/>
        <v>0</v>
      </c>
      <c r="W150" s="8">
        <f>IFERROR(VLOOKUP(B150,Write_Bytes_ps!B:F,4,FALSE)/1024/1024,"")</f>
        <v>0.16546261794181927</v>
      </c>
      <c r="X150" s="8">
        <f>IFERROR(VLOOKUP(B150,Read_Bytes_ps!B:F,4,FALSE)/1024/1024,"")</f>
        <v>0.39393613947917039</v>
      </c>
      <c r="Y150" s="8">
        <f>IFERROR(VLOOKUP(B150,Writes_ps!B:F,5,FALSE),"")</f>
        <v>106.754203796387</v>
      </c>
      <c r="Z150" s="8">
        <f>IFERROR(VLOOKUP(B150,Reads_ps!B:F,5,FALSE),"")</f>
        <v>223.19683837890599</v>
      </c>
      <c r="AA150" s="120">
        <f t="shared" si="60"/>
        <v>0.55939875742098966</v>
      </c>
      <c r="AB150" s="122">
        <f t="shared" si="61"/>
        <v>330</v>
      </c>
      <c r="AC150" s="122" t="str">
        <f t="shared" si="48"/>
        <v>D2ds v4</v>
      </c>
      <c r="AD150" s="8" t="s">
        <v>290</v>
      </c>
      <c r="AE150" s="8">
        <f>IFERROR(VLOOKUP(AD150,'Web-SKUS'!A:E,2,FALSE),"")</f>
        <v>2</v>
      </c>
      <c r="AF150" s="8">
        <f>_xlfn.NUMBERVALUE(IFERROR(VLOOKUP(AD150,'Web-SKUS'!A:E,4,FALSE),""))</f>
        <v>4</v>
      </c>
      <c r="AG150" s="8">
        <f>IFERROR(VLOOKUP(AD150,VM_Performance_Stats!A:G,7,FALSE),0)</f>
        <v>4</v>
      </c>
      <c r="AH150" s="8">
        <f>IFERROR(VLOOKUP(AD150,VM_Performance_Stats!A:I,8,FALSE),"")</f>
        <v>3200</v>
      </c>
      <c r="AI150" s="8">
        <f t="shared" si="49"/>
        <v>1</v>
      </c>
      <c r="AJ150" s="8">
        <f t="shared" si="50"/>
        <v>1</v>
      </c>
      <c r="AK150" s="8">
        <f>IFERROR(IF(VLOOKUP(AD150,VM_Performance_Stats!A:I,8,FALSE)&gt;AB150,1,0),0)</f>
        <v>1</v>
      </c>
      <c r="AL150" t="str">
        <f>IFERROR(VLOOKUP(AD150,'Web-SKUS'!A:G,7,FALSE),"")</f>
        <v>£31.2409/month</v>
      </c>
      <c r="AM150" s="116">
        <f t="shared" si="51"/>
        <v>31.2409</v>
      </c>
      <c r="AN150" t="str">
        <f>IFERROR(IF(C150=1,VLOOKUP(K150,'Web-SKUS'!A:G,7,FALSE),VLOOKUP(K150,'Web-SKUS'!A:G,6,FALSE)),"")</f>
        <v>£43.6621/month</v>
      </c>
      <c r="AO150" s="116">
        <f t="shared" si="52"/>
        <v>43.662100000000002</v>
      </c>
      <c r="AP150" s="116">
        <f t="shared" si="53"/>
        <v>31.2409</v>
      </c>
      <c r="AQ150" s="115">
        <f t="shared" si="54"/>
        <v>12.421200000000002</v>
      </c>
      <c r="AR150" s="244">
        <f t="shared" si="55"/>
        <v>149.05440000000004</v>
      </c>
      <c r="AS150" s="244" t="str">
        <f>VLOOKUP(B150,'Willie List'!B:M,12,FALSE)</f>
        <v>YES</v>
      </c>
      <c r="AT150" s="244" t="str">
        <f t="shared" si="56"/>
        <v>Standard_D2ds_v4</v>
      </c>
      <c r="AU150" s="244" t="str">
        <f t="shared" si="57"/>
        <v>D2ds v4</v>
      </c>
      <c r="AV150" s="238" t="str">
        <f t="shared" si="58"/>
        <v>F2s v2</v>
      </c>
      <c r="AW150" s="239">
        <f t="shared" si="59"/>
        <v>0</v>
      </c>
    </row>
    <row r="151" spans="1:49" s="238" customFormat="1">
      <c r="A151" s="238" t="s">
        <v>478</v>
      </c>
      <c r="B151" t="s">
        <v>481</v>
      </c>
      <c r="C151" s="8">
        <f>IFERROR(IF(VLOOKUP(B151,'Willie List'!B:B,1,FALSE) &lt;&gt; "",1,0),0)</f>
        <v>1</v>
      </c>
      <c r="D151" s="8"/>
      <c r="E151" t="s">
        <v>99</v>
      </c>
      <c r="F151" t="s">
        <v>482</v>
      </c>
      <c r="G151" t="s">
        <v>152</v>
      </c>
      <c r="H151" t="s">
        <v>153</v>
      </c>
      <c r="I151" t="s">
        <v>154</v>
      </c>
      <c r="J151" t="s">
        <v>56</v>
      </c>
      <c r="K151" s="8" t="str">
        <f t="shared" ref="K151:K182" si="62">IFERROR(REPLACE(REPLACE(J151,FIND("Standard_",J151,1),9,""),FIND("_",REPLACE(J151,FIND("Standard_",J151,1),9,""),1),1," "),REPLACE(J151,FIND("Standard_",J151,1),9,""))</f>
        <v>D2ds v4</v>
      </c>
      <c r="L151" s="8">
        <f>VLOOKUP(K151,'Web-SKUS'!A:E,2,FALSE)</f>
        <v>2</v>
      </c>
      <c r="M151" s="8" t="str">
        <f>VLOOKUP(K151,'Web-SKUS'!A:E,4,FALSE)</f>
        <v>8</v>
      </c>
      <c r="N151" t="s">
        <v>277</v>
      </c>
      <c r="O151" s="8">
        <v>1</v>
      </c>
      <c r="P151" t="s">
        <v>157</v>
      </c>
      <c r="Q151">
        <f>IFERROR(VLOOKUP(B151,PercentCPU!B:F,4,FALSE),"")</f>
        <v>11.517763776059297</v>
      </c>
      <c r="R151">
        <f>IFERROR(VLOOKUP(B151,MemoryAvailable!B:F,3,FALSE),"")</f>
        <v>5865.4634873680207</v>
      </c>
      <c r="S151" s="2">
        <f t="shared" si="44"/>
        <v>0.28400103913964592</v>
      </c>
      <c r="T151">
        <f t="shared" si="45"/>
        <v>1</v>
      </c>
      <c r="U151" s="8">
        <f t="shared" si="46"/>
        <v>2</v>
      </c>
      <c r="V151" s="8" t="str">
        <f t="shared" si="47"/>
        <v>F Series</v>
      </c>
      <c r="W151" s="8">
        <f>IFERROR(VLOOKUP(B151,Write_Bytes_ps!B:F,4,FALSE)/1024/1024,"")</f>
        <v>9.3097330016235685E-2</v>
      </c>
      <c r="X151" s="8">
        <f>IFERROR(VLOOKUP(B151,Read_Bytes_ps!B:F,4,FALSE)/1024/1024,"")</f>
        <v>2.2135376047195687E-2</v>
      </c>
      <c r="Y151" s="8">
        <f>IFERROR(VLOOKUP(B151,Writes_ps!B:F,5,FALSE),"")</f>
        <v>898.04441522570005</v>
      </c>
      <c r="Z151" s="8">
        <f>IFERROR(VLOOKUP(B151,Reads_ps!B:F,5,FALSE),"")</f>
        <v>406.28909157968599</v>
      </c>
      <c r="AA151" s="120">
        <f t="shared" si="60"/>
        <v>0.11523270606343138</v>
      </c>
      <c r="AB151" s="122">
        <f t="shared" si="61"/>
        <v>1305</v>
      </c>
      <c r="AC151" s="122" t="str">
        <f t="shared" si="48"/>
        <v>D2ds v4</v>
      </c>
      <c r="AD151" s="8" t="s">
        <v>290</v>
      </c>
      <c r="AE151" s="8">
        <f>IFERROR(VLOOKUP(AD151,'Web-SKUS'!A:E,2,FALSE),"")</f>
        <v>2</v>
      </c>
      <c r="AF151" s="8">
        <f>_xlfn.NUMBERVALUE(IFERROR(VLOOKUP(AD151,'Web-SKUS'!A:E,4,FALSE),""))</f>
        <v>4</v>
      </c>
      <c r="AG151" s="8">
        <f>IFERROR(VLOOKUP(AD151,VM_Performance_Stats!A:G,7,FALSE),0)</f>
        <v>4</v>
      </c>
      <c r="AH151" s="8">
        <f>IFERROR(VLOOKUP(AD151,VM_Performance_Stats!A:I,8,FALSE),"")</f>
        <v>3200</v>
      </c>
      <c r="AI151" s="8">
        <f t="shared" si="49"/>
        <v>1</v>
      </c>
      <c r="AJ151" s="8">
        <f t="shared" si="50"/>
        <v>1</v>
      </c>
      <c r="AK151" s="8">
        <f>IFERROR(IF(VLOOKUP(AD151,VM_Performance_Stats!A:I,8,FALSE)&gt;AB151,1,0),0)</f>
        <v>1</v>
      </c>
      <c r="AL151" t="str">
        <f>IFERROR(VLOOKUP(AD151,'Web-SKUS'!A:G,7,FALSE),"")</f>
        <v>£31.2409/month</v>
      </c>
      <c r="AM151" s="116">
        <f t="shared" si="51"/>
        <v>31.2409</v>
      </c>
      <c r="AN151" t="str">
        <f>IFERROR(IF(C151=1,VLOOKUP(K151,'Web-SKUS'!A:G,7,FALSE),VLOOKUP(K151,'Web-SKUS'!A:G,6,FALSE)),"")</f>
        <v>£43.6621/month</v>
      </c>
      <c r="AO151" s="116">
        <f t="shared" si="52"/>
        <v>43.662100000000002</v>
      </c>
      <c r="AP151" s="116">
        <f t="shared" si="53"/>
        <v>31.2409</v>
      </c>
      <c r="AQ151" s="115">
        <f t="shared" si="54"/>
        <v>12.421200000000002</v>
      </c>
      <c r="AR151" s="244">
        <f t="shared" si="55"/>
        <v>149.05440000000004</v>
      </c>
      <c r="AS151" s="244" t="str">
        <f>VLOOKUP(B151,'Willie List'!B:M,12,FALSE)</f>
        <v>YES</v>
      </c>
      <c r="AT151" s="244" t="str">
        <f t="shared" si="56"/>
        <v>Standard_D2ds_v4</v>
      </c>
      <c r="AU151" s="244" t="str">
        <f t="shared" si="57"/>
        <v>D2ds v4</v>
      </c>
      <c r="AV151" s="238" t="str">
        <f t="shared" si="58"/>
        <v>F2s v2</v>
      </c>
      <c r="AW151" s="239">
        <f t="shared" si="59"/>
        <v>0</v>
      </c>
    </row>
    <row r="152" spans="1:49" s="238" customFormat="1">
      <c r="A152" s="238" t="s">
        <v>478</v>
      </c>
      <c r="B152" t="s">
        <v>483</v>
      </c>
      <c r="C152" s="8">
        <f>IFERROR(IF(VLOOKUP(B152,'Willie List'!B:B,1,FALSE) &lt;&gt; "",1,0),0)</f>
        <v>1</v>
      </c>
      <c r="D152" s="8"/>
      <c r="E152" t="s">
        <v>99</v>
      </c>
      <c r="F152" t="s">
        <v>484</v>
      </c>
      <c r="G152" t="s">
        <v>152</v>
      </c>
      <c r="H152" t="s">
        <v>153</v>
      </c>
      <c r="I152" t="s">
        <v>154</v>
      </c>
      <c r="J152" t="s">
        <v>51</v>
      </c>
      <c r="K152" s="8" t="str">
        <f t="shared" si="62"/>
        <v>D16as v4</v>
      </c>
      <c r="L152" s="8">
        <f>VLOOKUP(K152,'Web-SKUS'!A:E,2,FALSE)</f>
        <v>16</v>
      </c>
      <c r="M152" s="8" t="str">
        <f>VLOOKUP(K152,'Web-SKUS'!A:E,4,FALSE)</f>
        <v>64</v>
      </c>
      <c r="N152" t="s">
        <v>277</v>
      </c>
      <c r="O152" s="8">
        <v>2</v>
      </c>
      <c r="P152" t="s">
        <v>157</v>
      </c>
      <c r="Q152">
        <f>IFERROR(VLOOKUP(B152,PercentCPU!B:F,4,FALSE),"")</f>
        <v>1.6740694934435589</v>
      </c>
      <c r="R152">
        <f>IFERROR(VLOOKUP(B152,MemoryAvailable!B:F,3,FALSE),"")</f>
        <v>57449.337789453071</v>
      </c>
      <c r="S152" s="2">
        <f t="shared" si="44"/>
        <v>0.12339267289042555</v>
      </c>
      <c r="T152">
        <f t="shared" si="45"/>
        <v>1</v>
      </c>
      <c r="U152" s="8">
        <f t="shared" si="46"/>
        <v>8</v>
      </c>
      <c r="V152" s="8" t="str">
        <f t="shared" si="47"/>
        <v>E Series</v>
      </c>
      <c r="W152" s="8">
        <f>IFERROR(VLOOKUP(B152,Write_Bytes_ps!B:F,4,FALSE)/1024/1024,"")</f>
        <v>7.5253079601416403E-2</v>
      </c>
      <c r="X152" s="8">
        <f>IFERROR(VLOOKUP(B152,Read_Bytes_ps!B:F,4,FALSE)/1024/1024,"")</f>
        <v>1.3212742917033076E-2</v>
      </c>
      <c r="Y152" s="8">
        <f>IFERROR(VLOOKUP(B152,Writes_ps!B:F,5,FALSE),"")</f>
        <v>153.84529894725</v>
      </c>
      <c r="Z152" s="8">
        <f>IFERROR(VLOOKUP(B152,Reads_ps!B:F,5,FALSE),"")</f>
        <v>189.33032370663901</v>
      </c>
      <c r="AA152" s="120">
        <f t="shared" si="60"/>
        <v>8.8465822518449477E-2</v>
      </c>
      <c r="AB152" s="122">
        <f t="shared" si="61"/>
        <v>344</v>
      </c>
      <c r="AC152" s="122" t="str">
        <f t="shared" si="48"/>
        <v>D16as v4</v>
      </c>
      <c r="AD152" s="8" t="s">
        <v>412</v>
      </c>
      <c r="AE152" s="8">
        <f>IFERROR(VLOOKUP(AD152,'Web-SKUS'!A:E,2,FALSE),"")</f>
        <v>2</v>
      </c>
      <c r="AF152" s="8">
        <f>_xlfn.NUMBERVALUE(IFERROR(VLOOKUP(AD152,'Web-SKUS'!A:E,4,FALSE),""))</f>
        <v>8</v>
      </c>
      <c r="AG152" s="8">
        <f>IFERROR(VLOOKUP(AD152,VM_Performance_Stats!A:G,7,FALSE),0)</f>
        <v>4</v>
      </c>
      <c r="AH152" s="8">
        <f>IFERROR(VLOOKUP(AD152,VM_Performance_Stats!A:I,8,FALSE),"")</f>
        <v>3200</v>
      </c>
      <c r="AI152" s="8">
        <f t="shared" si="49"/>
        <v>1</v>
      </c>
      <c r="AJ152" s="8">
        <f t="shared" si="50"/>
        <v>1</v>
      </c>
      <c r="AK152" s="8">
        <f>IFERROR(IF(VLOOKUP(AD152,VM_Performance_Stats!A:I,8,FALSE)&gt;AB152,1,0),0)</f>
        <v>1</v>
      </c>
      <c r="AL152" t="str">
        <f>IFERROR(VLOOKUP(AD152,'Web-SKUS'!A:G,7,FALSE),"")</f>
        <v>£43.6621/month</v>
      </c>
      <c r="AM152" s="116">
        <f t="shared" si="51"/>
        <v>43.662100000000002</v>
      </c>
      <c r="AN152" t="str">
        <f>IFERROR(IF(C152=1,VLOOKUP(K152,'Web-SKUS'!A:G,7,FALSE),VLOOKUP(K152,'Web-SKUS'!A:G,6,FALSE)),"")</f>
        <v>£332.9036/month</v>
      </c>
      <c r="AO152" s="116">
        <f t="shared" si="52"/>
        <v>332.90359999999998</v>
      </c>
      <c r="AP152" s="116">
        <f t="shared" si="53"/>
        <v>43.662100000000002</v>
      </c>
      <c r="AQ152" s="115">
        <f t="shared" si="54"/>
        <v>289.24149999999997</v>
      </c>
      <c r="AR152" s="244">
        <f t="shared" si="55"/>
        <v>3470.8979999999997</v>
      </c>
      <c r="AS152" s="244" t="str">
        <f>VLOOKUP(B152,'Willie List'!B:M,12,FALSE)</f>
        <v>NO</v>
      </c>
      <c r="AT152" s="244" t="str">
        <f t="shared" si="56"/>
        <v>Standard_D16as_v4</v>
      </c>
      <c r="AU152" s="244" t="str">
        <f t="shared" si="57"/>
        <v>D16as v4</v>
      </c>
      <c r="AV152" s="238" t="str">
        <f t="shared" si="58"/>
        <v>D2ds v4</v>
      </c>
      <c r="AW152" s="239">
        <f t="shared" si="59"/>
        <v>0</v>
      </c>
    </row>
    <row r="153" spans="1:49" s="245" customFormat="1">
      <c r="A153" s="245" t="s">
        <v>317</v>
      </c>
      <c r="B153" t="s">
        <v>485</v>
      </c>
      <c r="C153" s="8">
        <f>IFERROR(IF(VLOOKUP(B153,'Willie List'!B:B,1,FALSE) &lt;&gt; "",1,0),0)</f>
        <v>1</v>
      </c>
      <c r="D153" s="8"/>
      <c r="E153" t="s">
        <v>99</v>
      </c>
      <c r="F153" t="s">
        <v>486</v>
      </c>
      <c r="G153" t="s">
        <v>152</v>
      </c>
      <c r="H153" t="s">
        <v>153</v>
      </c>
      <c r="I153" t="s">
        <v>276</v>
      </c>
      <c r="J153" t="s">
        <v>43</v>
      </c>
      <c r="K153" s="8" t="str">
        <f t="shared" si="62"/>
        <v>D4 v3</v>
      </c>
      <c r="L153" s="8">
        <f>VLOOKUP(K153,'Web-SKUS'!A:E,2,FALSE)</f>
        <v>4</v>
      </c>
      <c r="M153" s="8" t="str">
        <f>VLOOKUP(K153,'Web-SKUS'!A:E,4,FALSE)</f>
        <v>16</v>
      </c>
      <c r="N153" t="s">
        <v>277</v>
      </c>
      <c r="O153" s="8">
        <v>1</v>
      </c>
      <c r="P153" t="s">
        <v>157</v>
      </c>
      <c r="Q153">
        <f>IFERROR(VLOOKUP(B153,PercentCPU!B:F,4,FALSE),"")</f>
        <v>2.6831231026016935</v>
      </c>
      <c r="R153">
        <f>IFERROR(VLOOKUP(B153,MemoryAvailable!B:F,3,FALSE),"")</f>
        <v>12975.083246961274</v>
      </c>
      <c r="S153" s="2">
        <f t="shared" si="44"/>
        <v>0.20806376666496129</v>
      </c>
      <c r="T153">
        <f t="shared" si="45"/>
        <v>1</v>
      </c>
      <c r="U153" s="8">
        <f t="shared" si="46"/>
        <v>3</v>
      </c>
      <c r="V153" s="8">
        <f t="shared" si="47"/>
        <v>0</v>
      </c>
      <c r="W153" s="8">
        <f>IFERROR(VLOOKUP(B153,Write_Bytes_ps!B:F,4,FALSE)/1024/1024,"")</f>
        <v>0.20921318008661616</v>
      </c>
      <c r="X153" s="8">
        <f>IFERROR(VLOOKUP(B153,Read_Bytes_ps!B:F,4,FALSE)/1024/1024,"")</f>
        <v>0.428812502239937</v>
      </c>
      <c r="Y153" s="8">
        <f>IFERROR(VLOOKUP(B153,Writes_ps!B:F,5,FALSE),"")</f>
        <v>689.51141357421898</v>
      </c>
      <c r="Z153" s="8">
        <f>IFERROR(VLOOKUP(B153,Reads_ps!B:F,5,FALSE),"")</f>
        <v>545.31817626953102</v>
      </c>
      <c r="AA153" s="120">
        <f t="shared" si="60"/>
        <v>0.6380256823265531</v>
      </c>
      <c r="AB153" s="122">
        <f t="shared" si="61"/>
        <v>1235</v>
      </c>
      <c r="AC153" s="122" t="str">
        <f t="shared" si="48"/>
        <v>D4 v3</v>
      </c>
      <c r="AD153" s="8" t="s">
        <v>290</v>
      </c>
      <c r="AE153" s="8">
        <f>IFERROR(VLOOKUP(AD153,'Web-SKUS'!A:E,2,FALSE),"")</f>
        <v>2</v>
      </c>
      <c r="AF153" s="8">
        <f>_xlfn.NUMBERVALUE(IFERROR(VLOOKUP(AD153,'Web-SKUS'!A:E,4,FALSE),""))</f>
        <v>4</v>
      </c>
      <c r="AG153" s="8">
        <f>IFERROR(VLOOKUP(AD153,VM_Performance_Stats!A:G,7,FALSE),0)</f>
        <v>4</v>
      </c>
      <c r="AH153" s="8">
        <f>IFERROR(VLOOKUP(AD153,VM_Performance_Stats!A:I,8,FALSE),"")</f>
        <v>3200</v>
      </c>
      <c r="AI153" s="8">
        <f t="shared" si="49"/>
        <v>1</v>
      </c>
      <c r="AJ153" s="8">
        <f t="shared" si="50"/>
        <v>1</v>
      </c>
      <c r="AK153" s="8">
        <f>IFERROR(IF(VLOOKUP(AD153,VM_Performance_Stats!A:I,8,FALSE)&gt;AB153,1,0),0)</f>
        <v>1</v>
      </c>
      <c r="AL153" t="str">
        <f>IFERROR(VLOOKUP(AD153,'Web-SKUS'!A:G,7,FALSE),"")</f>
        <v>£31.2409/month</v>
      </c>
      <c r="AM153" s="116">
        <f t="shared" si="51"/>
        <v>31.2409</v>
      </c>
      <c r="AN153" t="str">
        <f>IFERROR(IF(C153=1,VLOOKUP(K153,'Web-SKUS'!A:G,7,FALSE),VLOOKUP(K153,'Web-SKUS'!A:G,6,FALSE)),"")</f>
        <v>£83.1620/month</v>
      </c>
      <c r="AO153" s="116">
        <f t="shared" si="52"/>
        <v>83.162000000000006</v>
      </c>
      <c r="AP153" s="116">
        <f t="shared" si="53"/>
        <v>31.2409</v>
      </c>
      <c r="AQ153" s="115">
        <f t="shared" si="54"/>
        <v>51.92110000000001</v>
      </c>
      <c r="AR153" s="251">
        <f t="shared" si="55"/>
        <v>623.05320000000006</v>
      </c>
      <c r="AS153" s="251" t="str">
        <f>VLOOKUP(B153,'Willie List'!B:M,12,FALSE)</f>
        <v>YES</v>
      </c>
      <c r="AT153" s="251" t="str">
        <f t="shared" si="56"/>
        <v>Standard_D4_v3</v>
      </c>
      <c r="AU153" s="251" t="str">
        <f t="shared" si="57"/>
        <v>D4 v3</v>
      </c>
      <c r="AV153" s="245" t="str">
        <f t="shared" si="58"/>
        <v>F2s v2</v>
      </c>
      <c r="AW153" s="246">
        <f t="shared" si="59"/>
        <v>0</v>
      </c>
    </row>
    <row r="154" spans="1:49" s="245" customFormat="1">
      <c r="A154" s="245" t="s">
        <v>487</v>
      </c>
      <c r="B154" t="s">
        <v>488</v>
      </c>
      <c r="C154" s="8">
        <f>IFERROR(IF(VLOOKUP(B154,'Willie List'!B:B,1,FALSE) &lt;&gt; "",1,0),0)</f>
        <v>1</v>
      </c>
      <c r="D154" s="8"/>
      <c r="E154" t="s">
        <v>99</v>
      </c>
      <c r="F154" t="s">
        <v>489</v>
      </c>
      <c r="G154" t="s">
        <v>152</v>
      </c>
      <c r="H154" t="s">
        <v>153</v>
      </c>
      <c r="I154" t="s">
        <v>276</v>
      </c>
      <c r="J154" t="s">
        <v>57</v>
      </c>
      <c r="K154" s="8" t="str">
        <f t="shared" si="62"/>
        <v>D4ds v4</v>
      </c>
      <c r="L154" s="8">
        <f>VLOOKUP(K154,'Web-SKUS'!A:E,2,FALSE)</f>
        <v>4</v>
      </c>
      <c r="M154" s="8" t="str">
        <f>VLOOKUP(K154,'Web-SKUS'!A:E,4,FALSE)</f>
        <v>16</v>
      </c>
      <c r="N154" t="s">
        <v>490</v>
      </c>
      <c r="O154" s="8">
        <v>1</v>
      </c>
      <c r="P154" t="s">
        <v>157</v>
      </c>
      <c r="Q154">
        <f>IFERROR(VLOOKUP(B154,PercentCPU!B:F,4,FALSE),"")</f>
        <v>44.350333884678669</v>
      </c>
      <c r="R154">
        <f>IFERROR(VLOOKUP(B154,MemoryAvailable!B:F,3,FALSE),"")</f>
        <v>9619.6057884937181</v>
      </c>
      <c r="S154" s="2">
        <f t="shared" si="44"/>
        <v>0.41286585763588146</v>
      </c>
      <c r="T154">
        <f t="shared" si="45"/>
        <v>2</v>
      </c>
      <c r="U154" s="8">
        <f t="shared" si="46"/>
        <v>7</v>
      </c>
      <c r="V154" s="8">
        <f t="shared" si="47"/>
        <v>0</v>
      </c>
      <c r="W154" s="8">
        <f>IFERROR(VLOOKUP(B154,Write_Bytes_ps!B:F,4,FALSE)/1024/1024,"")</f>
        <v>0.31778624994317145</v>
      </c>
      <c r="X154" s="8">
        <f>IFERROR(VLOOKUP(B154,Read_Bytes_ps!B:F,4,FALSE)/1024/1024,"")</f>
        <v>0.38878805154205798</v>
      </c>
      <c r="Y154" s="8">
        <f>IFERROR(VLOOKUP(B154,Writes_ps!B:F,5,FALSE),"")</f>
        <v>3119.28393554688</v>
      </c>
      <c r="Z154" s="8">
        <f>IFERROR(VLOOKUP(B154,Reads_ps!B:F,5,FALSE),"")</f>
        <v>4230.76318359375</v>
      </c>
      <c r="AA154" s="120">
        <f t="shared" si="60"/>
        <v>0.70657430148522948</v>
      </c>
      <c r="AB154" s="122">
        <f t="shared" si="61"/>
        <v>7351</v>
      </c>
      <c r="AC154" s="122" t="str">
        <f t="shared" si="48"/>
        <v>D4ds v4</v>
      </c>
      <c r="AD154" s="8" t="s">
        <v>420</v>
      </c>
      <c r="AE154" s="8">
        <f>IFERROR(VLOOKUP(AD154,'Web-SKUS'!A:E,2,FALSE),"")</f>
        <v>4</v>
      </c>
      <c r="AF154" s="8">
        <f>_xlfn.NUMBERVALUE(IFERROR(VLOOKUP(AD154,'Web-SKUS'!A:E,4,FALSE),""))</f>
        <v>16</v>
      </c>
      <c r="AG154" s="8">
        <f>IFERROR(VLOOKUP(AD154,VM_Performance_Stats!A:G,7,FALSE),0)</f>
        <v>8</v>
      </c>
      <c r="AH154" s="8">
        <f>IFERROR(VLOOKUP(AD154,VM_Performance_Stats!A:I,8,FALSE),"")</f>
        <v>6400</v>
      </c>
      <c r="AI154" s="8">
        <f t="shared" si="49"/>
        <v>1</v>
      </c>
      <c r="AJ154" s="8">
        <f t="shared" si="50"/>
        <v>1</v>
      </c>
      <c r="AK154" s="8">
        <f>IFERROR(IF(VLOOKUP(AD154,VM_Performance_Stats!A:I,8,FALSE)&gt;AB154,1,0),0)</f>
        <v>0</v>
      </c>
      <c r="AL154" t="str">
        <f>IFERROR(VLOOKUP(AD154,'Web-SKUS'!A:G,7,FALSE),"")</f>
        <v>£87.3242/month</v>
      </c>
      <c r="AM154" s="116">
        <f t="shared" si="51"/>
        <v>87.324200000000005</v>
      </c>
      <c r="AN154" t="str">
        <f>IFERROR(IF(C154=1,VLOOKUP(K154,'Web-SKUS'!A:G,7,FALSE),VLOOKUP(K154,'Web-SKUS'!A:G,6,FALSE)),"")</f>
        <v>£87.3242/month</v>
      </c>
      <c r="AO154" s="116">
        <f t="shared" si="52"/>
        <v>87.324200000000005</v>
      </c>
      <c r="AP154" s="116">
        <f t="shared" si="53"/>
        <v>87.324200000000005</v>
      </c>
      <c r="AQ154" s="115">
        <f t="shared" si="54"/>
        <v>0</v>
      </c>
      <c r="AR154" s="251">
        <f t="shared" si="55"/>
        <v>0</v>
      </c>
      <c r="AS154" s="251" t="str">
        <f>VLOOKUP(B154,'Willie List'!B:M,12,FALSE)</f>
        <v>YES</v>
      </c>
      <c r="AT154" s="251" t="str">
        <f t="shared" si="56"/>
        <v>Standard_D4ds_v4</v>
      </c>
      <c r="AU154" s="251" t="str">
        <f t="shared" si="57"/>
        <v>D4ds v4</v>
      </c>
      <c r="AV154" s="245" t="str">
        <f t="shared" si="58"/>
        <v>D4ds v4</v>
      </c>
      <c r="AW154" s="246">
        <f t="shared" si="59"/>
        <v>1</v>
      </c>
    </row>
    <row r="155" spans="1:49" s="238" customFormat="1">
      <c r="A155" s="238" t="s">
        <v>491</v>
      </c>
      <c r="B155" t="s">
        <v>492</v>
      </c>
      <c r="C155" s="8">
        <f>IFERROR(IF(VLOOKUP(B155,'Willie List'!B:B,1,FALSE) &lt;&gt; "",1,0),0)</f>
        <v>1</v>
      </c>
      <c r="D155" s="8"/>
      <c r="E155" t="s">
        <v>99</v>
      </c>
      <c r="F155" t="s">
        <v>493</v>
      </c>
      <c r="G155" t="s">
        <v>152</v>
      </c>
      <c r="H155" t="s">
        <v>153</v>
      </c>
      <c r="I155" t="s">
        <v>276</v>
      </c>
      <c r="J155" t="s">
        <v>57</v>
      </c>
      <c r="K155" s="8" t="str">
        <f t="shared" si="62"/>
        <v>D4ds v4</v>
      </c>
      <c r="L155" s="8">
        <f>VLOOKUP(K155,'Web-SKUS'!A:E,2,FALSE)</f>
        <v>4</v>
      </c>
      <c r="M155" s="8" t="str">
        <f>VLOOKUP(K155,'Web-SKUS'!A:E,4,FALSE)</f>
        <v>16</v>
      </c>
      <c r="N155" t="s">
        <v>277</v>
      </c>
      <c r="O155">
        <v>1</v>
      </c>
      <c r="P155" t="s">
        <v>157</v>
      </c>
      <c r="Q155" t="str">
        <f>IFERROR(VLOOKUP(B155,PercentCPU!B:F,4,FALSE),"")</f>
        <v/>
      </c>
      <c r="R155" t="str">
        <f>IFERROR(VLOOKUP(B155,MemoryAvailable!B:F,3,FALSE),"")</f>
        <v/>
      </c>
      <c r="S155" s="2" t="str">
        <f t="shared" si="44"/>
        <v/>
      </c>
      <c r="T155" t="str">
        <f t="shared" si="45"/>
        <v/>
      </c>
      <c r="U155" s="8">
        <f t="shared" si="46"/>
        <v>0</v>
      </c>
      <c r="V155" s="8" t="str">
        <f t="shared" si="47"/>
        <v/>
      </c>
      <c r="W155" s="8" t="str">
        <f>IFERROR(VLOOKUP(B155,Write_Bytes_ps!B:F,4,FALSE)/1024/1024,"")</f>
        <v/>
      </c>
      <c r="X155" s="8" t="str">
        <f>IFERROR(VLOOKUP(B155,Read_Bytes_ps!B:F,4,FALSE)/1024/1024,"")</f>
        <v/>
      </c>
      <c r="Y155" s="8" t="str">
        <f>IFERROR(VLOOKUP(B155,Writes_ps!B:F,5,FALSE),"")</f>
        <v/>
      </c>
      <c r="Z155" s="8" t="str">
        <f>IFERROR(VLOOKUP(B155,Reads_ps!B:F,5,FALSE),"")</f>
        <v/>
      </c>
      <c r="AA155" s="120">
        <f t="shared" si="60"/>
        <v>0</v>
      </c>
      <c r="AB155" s="122">
        <f t="shared" si="61"/>
        <v>0</v>
      </c>
      <c r="AC155" s="122" t="str">
        <f t="shared" si="48"/>
        <v>D4ds v4</v>
      </c>
      <c r="AD155" s="8" t="s">
        <v>420</v>
      </c>
      <c r="AE155" s="8">
        <f>IFERROR(VLOOKUP(AD155,'Web-SKUS'!A:E,2,FALSE),"")</f>
        <v>4</v>
      </c>
      <c r="AF155" s="8">
        <f>_xlfn.NUMBERVALUE(IFERROR(VLOOKUP(AD155,'Web-SKUS'!A:E,4,FALSE),""))</f>
        <v>16</v>
      </c>
      <c r="AG155" s="8">
        <f>IFERROR(VLOOKUP(AD155,VM_Performance_Stats!A:G,7,FALSE),0)</f>
        <v>8</v>
      </c>
      <c r="AH155" s="8">
        <f>IFERROR(VLOOKUP(AD155,VM_Performance_Stats!A:I,8,FALSE),"")</f>
        <v>6400</v>
      </c>
      <c r="AI155" s="8">
        <f t="shared" si="49"/>
        <v>1</v>
      </c>
      <c r="AJ155" s="8">
        <f t="shared" si="50"/>
        <v>1</v>
      </c>
      <c r="AK155" s="8">
        <f>IFERROR(IF(VLOOKUP(AD155,VM_Performance_Stats!A:I,8,FALSE)&gt;AB155,1,0),0)</f>
        <v>1</v>
      </c>
      <c r="AL155" t="str">
        <f>IFERROR(VLOOKUP(AD155,'Web-SKUS'!A:G,7,FALSE),"")</f>
        <v>£87.3242/month</v>
      </c>
      <c r="AM155" s="116">
        <f t="shared" si="51"/>
        <v>87.324200000000005</v>
      </c>
      <c r="AN155" t="str">
        <f>IFERROR(IF(C155=1,VLOOKUP(K155,'Web-SKUS'!A:G,7,FALSE),VLOOKUP(K155,'Web-SKUS'!A:G,6,FALSE)),"")</f>
        <v>£87.3242/month</v>
      </c>
      <c r="AO155" s="116">
        <f t="shared" si="52"/>
        <v>87.324200000000005</v>
      </c>
      <c r="AP155" s="116">
        <f t="shared" si="53"/>
        <v>87.324200000000005</v>
      </c>
      <c r="AQ155" s="115">
        <f t="shared" si="54"/>
        <v>0</v>
      </c>
      <c r="AR155" s="244">
        <f t="shared" si="55"/>
        <v>0</v>
      </c>
      <c r="AS155" s="244" t="str">
        <f>VLOOKUP(B155,'Willie List'!B:M,12,FALSE)</f>
        <v>YES</v>
      </c>
      <c r="AT155" s="244" t="str">
        <f t="shared" si="56"/>
        <v>Standard_D4ds_v4</v>
      </c>
      <c r="AU155" s="244" t="str">
        <f t="shared" si="57"/>
        <v>D4ds v4</v>
      </c>
      <c r="AV155" s="238" t="str">
        <f t="shared" si="58"/>
        <v>D4ds v4</v>
      </c>
      <c r="AW155" s="239">
        <f t="shared" si="59"/>
        <v>1</v>
      </c>
    </row>
    <row r="156" spans="1:49" s="238" customFormat="1">
      <c r="A156" s="238" t="s">
        <v>494</v>
      </c>
      <c r="B156" t="s">
        <v>495</v>
      </c>
      <c r="C156" s="8">
        <f>IFERROR(IF(VLOOKUP(B156,'Willie List'!B:B,1,FALSE) &lt;&gt; "",1,0),0)</f>
        <v>1</v>
      </c>
      <c r="D156" s="8"/>
      <c r="E156" t="s">
        <v>99</v>
      </c>
      <c r="F156" t="s">
        <v>496</v>
      </c>
      <c r="G156" t="s">
        <v>152</v>
      </c>
      <c r="H156" t="s">
        <v>153</v>
      </c>
      <c r="I156" t="s">
        <v>276</v>
      </c>
      <c r="J156" t="s">
        <v>43</v>
      </c>
      <c r="K156" s="8" t="str">
        <f t="shared" si="62"/>
        <v>D4 v3</v>
      </c>
      <c r="L156" s="8">
        <f>VLOOKUP(K156,'Web-SKUS'!A:E,2,FALSE)</f>
        <v>4</v>
      </c>
      <c r="M156" s="8" t="str">
        <f>VLOOKUP(K156,'Web-SKUS'!A:E,4,FALSE)</f>
        <v>16</v>
      </c>
      <c r="N156" t="s">
        <v>277</v>
      </c>
      <c r="O156" s="8">
        <v>2</v>
      </c>
      <c r="P156" t="s">
        <v>157</v>
      </c>
      <c r="Q156">
        <f>IFERROR(VLOOKUP(B156,PercentCPU!B:F,4,FALSE),"")</f>
        <v>58.520116144846888</v>
      </c>
      <c r="R156">
        <f>IFERROR(VLOOKUP(B156,MemoryAvailable!B:F,3,FALSE),"")</f>
        <v>9334.751736521288</v>
      </c>
      <c r="S156" s="2">
        <f t="shared" si="44"/>
        <v>0.43025196920646436</v>
      </c>
      <c r="T156">
        <f t="shared" si="45"/>
        <v>3</v>
      </c>
      <c r="U156" s="8">
        <f t="shared" si="46"/>
        <v>7</v>
      </c>
      <c r="V156" s="8">
        <f t="shared" si="47"/>
        <v>0</v>
      </c>
      <c r="W156" s="8">
        <f>IFERROR(VLOOKUP(B156,Write_Bytes_ps!B:F,4,FALSE)/1024/1024,"")</f>
        <v>0.40562957876141376</v>
      </c>
      <c r="X156" s="8">
        <f>IFERROR(VLOOKUP(B156,Read_Bytes_ps!B:F,4,FALSE)/1024/1024,"")</f>
        <v>0.41609835986192334</v>
      </c>
      <c r="Y156" s="8">
        <f>IFERROR(VLOOKUP(B156,Writes_ps!B:F,5,FALSE),"")</f>
        <v>943.1748046875</v>
      </c>
      <c r="Z156" s="8">
        <f>IFERROR(VLOOKUP(B156,Reads_ps!B:F,5,FALSE),"")</f>
        <v>5848.22265625</v>
      </c>
      <c r="AA156" s="120">
        <f t="shared" si="60"/>
        <v>0.82172793862333715</v>
      </c>
      <c r="AB156" s="122">
        <f t="shared" si="61"/>
        <v>6792</v>
      </c>
      <c r="AC156" s="122" t="str">
        <f t="shared" si="48"/>
        <v>D4 v3</v>
      </c>
      <c r="AD156" s="8" t="s">
        <v>443</v>
      </c>
      <c r="AE156" s="8">
        <f>IFERROR(VLOOKUP(AD156,'Web-SKUS'!A:E,2,FALSE),"")</f>
        <v>4</v>
      </c>
      <c r="AF156" s="8">
        <f>_xlfn.NUMBERVALUE(IFERROR(VLOOKUP(AD156,'Web-SKUS'!A:E,4,FALSE),""))</f>
        <v>8</v>
      </c>
      <c r="AG156" s="8">
        <f>IFERROR(VLOOKUP(AD156,VM_Performance_Stats!A:G,7,FALSE),0)</f>
        <v>8</v>
      </c>
      <c r="AH156" s="8">
        <f>IFERROR(VLOOKUP(AD156,VM_Performance_Stats!A:I,8,FALSE),"")</f>
        <v>6400</v>
      </c>
      <c r="AI156" s="8">
        <f t="shared" si="49"/>
        <v>1</v>
      </c>
      <c r="AJ156" s="8">
        <f t="shared" si="50"/>
        <v>1</v>
      </c>
      <c r="AK156" s="8">
        <f>IFERROR(IF(VLOOKUP(AD156,VM_Performance_Stats!A:I,8,FALSE)&gt;AB156,1,0),0)</f>
        <v>0</v>
      </c>
      <c r="AL156" t="str">
        <f>IFERROR(VLOOKUP(AD156,'Web-SKUS'!A:G,7,FALSE),"")</f>
        <v>£62.5415/month</v>
      </c>
      <c r="AM156" s="116">
        <f t="shared" si="51"/>
        <v>62.541499999999999</v>
      </c>
      <c r="AN156" t="str">
        <f>IFERROR(IF(C156=1,VLOOKUP(K156,'Web-SKUS'!A:G,7,FALSE),VLOOKUP(K156,'Web-SKUS'!A:G,6,FALSE)),"")</f>
        <v>£83.1620/month</v>
      </c>
      <c r="AO156" s="116">
        <f t="shared" si="52"/>
        <v>83.162000000000006</v>
      </c>
      <c r="AP156" s="116">
        <f t="shared" si="53"/>
        <v>62.541499999999999</v>
      </c>
      <c r="AQ156" s="115">
        <f t="shared" si="54"/>
        <v>20.620500000000007</v>
      </c>
      <c r="AR156" s="244">
        <f t="shared" si="55"/>
        <v>247.44600000000008</v>
      </c>
      <c r="AS156" s="244" t="str">
        <f>VLOOKUP(B156,'Willie List'!B:M,12,FALSE)</f>
        <v>YES</v>
      </c>
      <c r="AT156" s="244" t="str">
        <f t="shared" si="56"/>
        <v>Standard_D4_v3</v>
      </c>
      <c r="AU156" s="244" t="str">
        <f t="shared" si="57"/>
        <v>D4 v3</v>
      </c>
      <c r="AV156" s="238" t="str">
        <f t="shared" si="58"/>
        <v>F4s v2</v>
      </c>
      <c r="AW156" s="239">
        <f t="shared" si="59"/>
        <v>0</v>
      </c>
    </row>
    <row r="157" spans="1:49" s="238" customFormat="1">
      <c r="A157" s="238" t="s">
        <v>497</v>
      </c>
      <c r="B157" s="83" t="s">
        <v>498</v>
      </c>
      <c r="C157" s="228">
        <f>IFERROR(IF(VLOOKUP(B157,'Willie List'!B:B,1,FALSE) &lt;&gt; "",1,0),0)</f>
        <v>1</v>
      </c>
      <c r="D157" s="228">
        <v>1</v>
      </c>
      <c r="E157" s="101" t="s">
        <v>97</v>
      </c>
      <c r="F157" s="101" t="s">
        <v>499</v>
      </c>
      <c r="G157" s="101" t="s">
        <v>152</v>
      </c>
      <c r="H157" s="101" t="s">
        <v>153</v>
      </c>
      <c r="I157" s="101" t="s">
        <v>154</v>
      </c>
      <c r="J157" s="101" t="s">
        <v>500</v>
      </c>
      <c r="K157" s="228" t="str">
        <f t="shared" si="62"/>
        <v>E8s v3</v>
      </c>
      <c r="L157" s="228">
        <f>VLOOKUP(K157,'Web-SKUS'!A:E,2,FALSE)</f>
        <v>8</v>
      </c>
      <c r="M157" s="228" t="str">
        <f>VLOOKUP(K157,'Web-SKUS'!A:E,4,FALSE)</f>
        <v>64</v>
      </c>
      <c r="N157" s="101" t="s">
        <v>277</v>
      </c>
      <c r="O157" s="228">
        <v>3</v>
      </c>
      <c r="P157" s="101" t="s">
        <v>157</v>
      </c>
      <c r="Q157" s="101">
        <f>IFERROR(VLOOKUP(B157,PercentCPU!B:F,4,FALSE),"")</f>
        <v>3.7895200208745479</v>
      </c>
      <c r="R157" s="101">
        <f>IFERROR(VLOOKUP(B157,MemoryAvailable!B:F,3,FALSE),"")</f>
        <v>61110.313826110018</v>
      </c>
      <c r="S157" s="229">
        <f t="shared" si="44"/>
        <v>6.7530611784209937E-2</v>
      </c>
      <c r="T157" s="101">
        <f t="shared" si="45"/>
        <v>1</v>
      </c>
      <c r="U157" s="228">
        <f t="shared" si="46"/>
        <v>4</v>
      </c>
      <c r="V157" s="228" t="str">
        <f t="shared" si="47"/>
        <v>D Series</v>
      </c>
      <c r="W157" s="8">
        <f>IFERROR(VLOOKUP(B157,Write_Bytes_ps!B:F,4,FALSE)/1024/1024,"")</f>
        <v>6.8829175733710793E-2</v>
      </c>
      <c r="X157" s="8">
        <f>IFERROR(VLOOKUP(B157,Read_Bytes_ps!B:F,4,FALSE)/1024/1024,"")</f>
        <v>0</v>
      </c>
      <c r="Y157" s="8">
        <f>IFERROR(VLOOKUP(B157,Writes_ps!B:F,5,FALSE),"")</f>
        <v>107.74974357356901</v>
      </c>
      <c r="Z157" s="8">
        <f>IFERROR(VLOOKUP(B157,Reads_ps!B:F,5,FALSE),"")</f>
        <v>39.6329792245539</v>
      </c>
      <c r="AA157" s="230">
        <f t="shared" si="60"/>
        <v>6.8829175733710793E-2</v>
      </c>
      <c r="AB157" s="231">
        <f t="shared" si="61"/>
        <v>148</v>
      </c>
      <c r="AC157" s="231" t="str">
        <f t="shared" si="48"/>
        <v>E8s v3</v>
      </c>
      <c r="AD157" s="228" t="s">
        <v>290</v>
      </c>
      <c r="AE157" s="228">
        <f>IFERROR(VLOOKUP(AD157,'Web-SKUS'!A:E,2,FALSE),"")</f>
        <v>2</v>
      </c>
      <c r="AF157" s="228">
        <f>_xlfn.NUMBERVALUE(IFERROR(VLOOKUP(AD157,'Web-SKUS'!A:E,4,FALSE),""))</f>
        <v>4</v>
      </c>
      <c r="AG157" s="228">
        <f>IFERROR(VLOOKUP(AD157,VM_Performance_Stats!A:G,7,FALSE),0)</f>
        <v>4</v>
      </c>
      <c r="AH157" s="228">
        <f>IFERROR(VLOOKUP(AD157,VM_Performance_Stats!A:I,8,FALSE),"")</f>
        <v>3200</v>
      </c>
      <c r="AI157" s="228">
        <f t="shared" si="49"/>
        <v>1</v>
      </c>
      <c r="AJ157" s="228">
        <f t="shared" si="50"/>
        <v>1</v>
      </c>
      <c r="AK157" s="228">
        <f>IFERROR(IF(VLOOKUP(AD157,VM_Performance_Stats!A:I,8,FALSE)&gt;AB157,1,0),0)</f>
        <v>1</v>
      </c>
      <c r="AL157" t="str">
        <f>IFERROR(VLOOKUP(AD157,'Web-SKUS'!A:G,7,FALSE),"")</f>
        <v>£31.2409/month</v>
      </c>
      <c r="AM157" s="232">
        <f t="shared" si="51"/>
        <v>31.2409</v>
      </c>
      <c r="AN157" t="str">
        <f>IFERROR(IF(C157=1,VLOOKUP(K157,'Web-SKUS'!A:G,7,FALSE),VLOOKUP(K157,'Web-SKUS'!A:G,6,FALSE)),"")</f>
        <v>£204.8336/month</v>
      </c>
      <c r="AO157" s="232">
        <f t="shared" si="52"/>
        <v>204.83359999999999</v>
      </c>
      <c r="AP157" s="232">
        <f t="shared" si="53"/>
        <v>31.2409</v>
      </c>
      <c r="AQ157" s="225">
        <f t="shared" si="54"/>
        <v>173.59269999999998</v>
      </c>
      <c r="AR157" s="244">
        <f t="shared" si="55"/>
        <v>2083.1124</v>
      </c>
      <c r="AS157" s="244">
        <f>VLOOKUP(B157,'Willie List'!B:M,12,FALSE)</f>
        <v>0</v>
      </c>
      <c r="AT157" s="244" t="str">
        <f t="shared" si="56"/>
        <v>Standard_E8s_v3</v>
      </c>
      <c r="AU157" s="244" t="str">
        <f t="shared" si="57"/>
        <v>E8s v3</v>
      </c>
      <c r="AV157" s="238" t="str">
        <f t="shared" si="58"/>
        <v>F2s v2</v>
      </c>
      <c r="AW157" s="239">
        <f t="shared" si="59"/>
        <v>0</v>
      </c>
    </row>
    <row r="158" spans="1:49" s="238" customFormat="1">
      <c r="A158" s="238" t="s">
        <v>501</v>
      </c>
      <c r="B158" t="s">
        <v>502</v>
      </c>
      <c r="C158" s="8">
        <f>IFERROR(IF(VLOOKUP(B158,'Willie List'!B:B,1,FALSE) &lt;&gt; "",1,0),0)</f>
        <v>1</v>
      </c>
      <c r="D158" s="8"/>
      <c r="E158" t="s">
        <v>99</v>
      </c>
      <c r="F158" t="s">
        <v>503</v>
      </c>
      <c r="G158" t="s">
        <v>152</v>
      </c>
      <c r="H158" t="s">
        <v>153</v>
      </c>
      <c r="I158" t="s">
        <v>276</v>
      </c>
      <c r="J158" t="s">
        <v>56</v>
      </c>
      <c r="K158" s="8" t="str">
        <f t="shared" si="62"/>
        <v>D2ds v4</v>
      </c>
      <c r="L158" s="8">
        <f>VLOOKUP(K158,'Web-SKUS'!A:E,2,FALSE)</f>
        <v>2</v>
      </c>
      <c r="M158" s="8" t="str">
        <f>VLOOKUP(K158,'Web-SKUS'!A:E,4,FALSE)</f>
        <v>8</v>
      </c>
      <c r="N158" t="s">
        <v>277</v>
      </c>
      <c r="O158" s="8">
        <v>2</v>
      </c>
      <c r="P158" t="s">
        <v>157</v>
      </c>
      <c r="Q158">
        <f>IFERROR(VLOOKUP(B158,PercentCPU!B:F,4,FALSE),"")</f>
        <v>2.2333083921974533</v>
      </c>
      <c r="R158">
        <f>IFERROR(VLOOKUP(B158,MemoryAvailable!B:F,3,FALSE),"")</f>
        <v>5645.1428336040299</v>
      </c>
      <c r="S158" s="2">
        <f t="shared" si="44"/>
        <v>0.31089565019482057</v>
      </c>
      <c r="T158">
        <f t="shared" si="45"/>
        <v>1</v>
      </c>
      <c r="U158" s="8">
        <f t="shared" si="46"/>
        <v>2</v>
      </c>
      <c r="V158" s="8" t="str">
        <f t="shared" si="47"/>
        <v>F Series</v>
      </c>
      <c r="W158" s="8">
        <f>IFERROR(VLOOKUP(B158,Write_Bytes_ps!B:F,4,FALSE)/1024/1024,"")</f>
        <v>0.12941586391190424</v>
      </c>
      <c r="X158" s="8">
        <f>IFERROR(VLOOKUP(B158,Read_Bytes_ps!B:F,4,FALSE)/1024/1024,"")</f>
        <v>0.21449919732761025</v>
      </c>
      <c r="Y158" s="8">
        <f>IFERROR(VLOOKUP(B158,Writes_ps!B:F,5,FALSE),"")</f>
        <v>178.58895874023401</v>
      </c>
      <c r="Z158" s="8">
        <f>IFERROR(VLOOKUP(B158,Reads_ps!B:F,5,FALSE),"")</f>
        <v>375.06301879882801</v>
      </c>
      <c r="AA158" s="120">
        <f t="shared" si="60"/>
        <v>0.34391506123951449</v>
      </c>
      <c r="AB158" s="122">
        <f t="shared" si="61"/>
        <v>554</v>
      </c>
      <c r="AC158" s="122" t="str">
        <f t="shared" si="48"/>
        <v>D2ds v4</v>
      </c>
      <c r="AD158" s="8" t="s">
        <v>290</v>
      </c>
      <c r="AE158" s="8">
        <f>IFERROR(VLOOKUP(AD158,'Web-SKUS'!A:E,2,FALSE),"")</f>
        <v>2</v>
      </c>
      <c r="AF158" s="8">
        <f>_xlfn.NUMBERVALUE(IFERROR(VLOOKUP(AD158,'Web-SKUS'!A:E,4,FALSE),""))</f>
        <v>4</v>
      </c>
      <c r="AG158" s="8">
        <f>IFERROR(VLOOKUP(AD158,VM_Performance_Stats!A:G,7,FALSE),0)</f>
        <v>4</v>
      </c>
      <c r="AH158" s="8">
        <f>IFERROR(VLOOKUP(AD158,VM_Performance_Stats!A:I,8,FALSE),"")</f>
        <v>3200</v>
      </c>
      <c r="AI158" s="8">
        <f t="shared" si="49"/>
        <v>1</v>
      </c>
      <c r="AJ158" s="8">
        <f t="shared" si="50"/>
        <v>1</v>
      </c>
      <c r="AK158" s="8">
        <f>IFERROR(IF(VLOOKUP(AD158,VM_Performance_Stats!A:I,8,FALSE)&gt;AB158,1,0),0)</f>
        <v>1</v>
      </c>
      <c r="AL158" t="str">
        <f>IFERROR(VLOOKUP(AD158,'Web-SKUS'!A:G,7,FALSE),"")</f>
        <v>£31.2409/month</v>
      </c>
      <c r="AM158" s="116">
        <f t="shared" si="51"/>
        <v>31.2409</v>
      </c>
      <c r="AN158" t="str">
        <f>IFERROR(IF(C158=1,VLOOKUP(K158,'Web-SKUS'!A:G,7,FALSE),VLOOKUP(K158,'Web-SKUS'!A:G,6,FALSE)),"")</f>
        <v>£43.6621/month</v>
      </c>
      <c r="AO158" s="116">
        <f t="shared" si="52"/>
        <v>43.662100000000002</v>
      </c>
      <c r="AP158" s="116">
        <f t="shared" si="53"/>
        <v>31.2409</v>
      </c>
      <c r="AQ158" s="115">
        <f t="shared" si="54"/>
        <v>12.421200000000002</v>
      </c>
      <c r="AR158" s="244">
        <f t="shared" si="55"/>
        <v>149.05440000000004</v>
      </c>
      <c r="AS158" s="244" t="str">
        <f>VLOOKUP(B158,'Willie List'!B:M,12,FALSE)</f>
        <v>YES</v>
      </c>
      <c r="AT158" s="244" t="str">
        <f t="shared" si="56"/>
        <v>Standard_D2ds_v4</v>
      </c>
      <c r="AU158" s="244" t="str">
        <f t="shared" si="57"/>
        <v>D2ds v4</v>
      </c>
      <c r="AV158" s="238" t="str">
        <f t="shared" si="58"/>
        <v>F2s v2</v>
      </c>
      <c r="AW158" s="239">
        <f t="shared" si="59"/>
        <v>0</v>
      </c>
    </row>
    <row r="159" spans="1:49" s="245" customFormat="1">
      <c r="A159" s="245" t="s">
        <v>504</v>
      </c>
      <c r="B159" s="83" t="s">
        <v>505</v>
      </c>
      <c r="C159" s="228">
        <f>IFERROR(IF(VLOOKUP(B159,'Willie List'!B:B,1,FALSE) &lt;&gt; "",1,0),0)</f>
        <v>1</v>
      </c>
      <c r="D159" s="228">
        <v>1</v>
      </c>
      <c r="E159" s="101" t="s">
        <v>97</v>
      </c>
      <c r="F159" s="101" t="s">
        <v>313</v>
      </c>
      <c r="G159" s="101" t="s">
        <v>152</v>
      </c>
      <c r="H159" s="101" t="s">
        <v>153</v>
      </c>
      <c r="I159" s="101" t="s">
        <v>154</v>
      </c>
      <c r="J159" s="101" t="s">
        <v>56</v>
      </c>
      <c r="K159" s="228" t="str">
        <f t="shared" si="62"/>
        <v>D2ds v4</v>
      </c>
      <c r="L159" s="228">
        <f>VLOOKUP(K159,'Web-SKUS'!A:E,2,FALSE)</f>
        <v>2</v>
      </c>
      <c r="M159" s="228" t="str">
        <f>VLOOKUP(K159,'Web-SKUS'!A:E,4,FALSE)</f>
        <v>8</v>
      </c>
      <c r="N159" s="101" t="s">
        <v>277</v>
      </c>
      <c r="O159" s="228">
        <v>1</v>
      </c>
      <c r="P159" s="101" t="s">
        <v>157</v>
      </c>
      <c r="Q159" s="101">
        <f>IFERROR(VLOOKUP(B159,PercentCPU!B:F,4,FALSE),"")</f>
        <v>6.7710628742849748</v>
      </c>
      <c r="R159" s="101">
        <f>IFERROR(VLOOKUP(B159,MemoryAvailable!B:F,3,FALSE),"")</f>
        <v>6408.9453276113936</v>
      </c>
      <c r="S159" s="229">
        <f t="shared" si="44"/>
        <v>0.2176580410630623</v>
      </c>
      <c r="T159" s="101">
        <f t="shared" si="45"/>
        <v>1</v>
      </c>
      <c r="U159" s="228">
        <f t="shared" si="46"/>
        <v>2</v>
      </c>
      <c r="V159" s="228" t="str">
        <f t="shared" si="47"/>
        <v>F Series</v>
      </c>
      <c r="W159" s="8">
        <f>IFERROR(VLOOKUP(B159,Write_Bytes_ps!B:F,4,FALSE)/1024/1024,"")</f>
        <v>5.322239016280756E-2</v>
      </c>
      <c r="X159" s="8">
        <f>IFERROR(VLOOKUP(B159,Read_Bytes_ps!B:F,4,FALSE)/1024/1024,"")</f>
        <v>7.8126441415214774E-4</v>
      </c>
      <c r="Y159" s="8">
        <f>IFERROR(VLOOKUP(B159,Writes_ps!B:F,5,FALSE),"")</f>
        <v>206.06713153350901</v>
      </c>
      <c r="Z159" s="8">
        <f>IFERROR(VLOOKUP(B159,Reads_ps!B:F,5,FALSE),"")</f>
        <v>53.4474703280139</v>
      </c>
      <c r="AA159" s="230">
        <f t="shared" si="60"/>
        <v>5.4003654576959707E-2</v>
      </c>
      <c r="AB159" s="231">
        <f t="shared" si="61"/>
        <v>260</v>
      </c>
      <c r="AC159" s="231" t="str">
        <f t="shared" si="48"/>
        <v>D2ds v4</v>
      </c>
      <c r="AD159" s="228" t="s">
        <v>290</v>
      </c>
      <c r="AE159" s="228">
        <f>IFERROR(VLOOKUP(AD159,'Web-SKUS'!A:E,2,FALSE),"")</f>
        <v>2</v>
      </c>
      <c r="AF159" s="228">
        <f>_xlfn.NUMBERVALUE(IFERROR(VLOOKUP(AD159,'Web-SKUS'!A:E,4,FALSE),""))</f>
        <v>4</v>
      </c>
      <c r="AG159" s="228">
        <f>IFERROR(VLOOKUP(AD159,VM_Performance_Stats!A:G,7,FALSE),0)</f>
        <v>4</v>
      </c>
      <c r="AH159" s="228">
        <f>IFERROR(VLOOKUP(AD159,VM_Performance_Stats!A:I,8,FALSE),"")</f>
        <v>3200</v>
      </c>
      <c r="AI159" s="228">
        <f t="shared" si="49"/>
        <v>1</v>
      </c>
      <c r="AJ159" s="228">
        <f t="shared" si="50"/>
        <v>1</v>
      </c>
      <c r="AK159" s="228">
        <f>IFERROR(IF(VLOOKUP(AD159,VM_Performance_Stats!A:I,8,FALSE)&gt;AB159,1,0),0)</f>
        <v>1</v>
      </c>
      <c r="AL159" t="str">
        <f>IFERROR(VLOOKUP(AD159,'Web-SKUS'!A:G,7,FALSE),"")</f>
        <v>£31.2409/month</v>
      </c>
      <c r="AM159" s="232">
        <f t="shared" si="51"/>
        <v>31.2409</v>
      </c>
      <c r="AN159" t="str">
        <f>IFERROR(IF(C159=1,VLOOKUP(K159,'Web-SKUS'!A:G,7,FALSE),VLOOKUP(K159,'Web-SKUS'!A:G,6,FALSE)),"")</f>
        <v>£43.6621/month</v>
      </c>
      <c r="AO159" s="232">
        <f t="shared" si="52"/>
        <v>43.662100000000002</v>
      </c>
      <c r="AP159" s="232">
        <f t="shared" si="53"/>
        <v>31.2409</v>
      </c>
      <c r="AQ159" s="225">
        <f t="shared" si="54"/>
        <v>12.421200000000002</v>
      </c>
      <c r="AR159" s="251">
        <f t="shared" si="55"/>
        <v>149.05440000000004</v>
      </c>
      <c r="AS159" s="251" t="str">
        <f>VLOOKUP(B159,'Willie List'!B:M,12,FALSE)</f>
        <v>NO</v>
      </c>
      <c r="AT159" s="251" t="str">
        <f t="shared" si="56"/>
        <v>Standard_D2ds_v4</v>
      </c>
      <c r="AU159" s="251" t="str">
        <f t="shared" si="57"/>
        <v>D2ds v4</v>
      </c>
      <c r="AV159" s="245" t="str">
        <f t="shared" si="58"/>
        <v>F2s v2</v>
      </c>
      <c r="AW159" s="246">
        <f t="shared" si="59"/>
        <v>0</v>
      </c>
    </row>
    <row r="160" spans="1:49" s="238" customFormat="1">
      <c r="A160" s="238" t="s">
        <v>506</v>
      </c>
      <c r="B160" t="s">
        <v>507</v>
      </c>
      <c r="C160" s="8">
        <f>IFERROR(IF(VLOOKUP(B160,'Willie List'!B:B,1,FALSE) &lt;&gt; "",1,0),0)</f>
        <v>1</v>
      </c>
      <c r="D160" s="8"/>
      <c r="E160" t="s">
        <v>99</v>
      </c>
      <c r="F160" t="s">
        <v>430</v>
      </c>
      <c r="G160" t="s">
        <v>152</v>
      </c>
      <c r="H160" t="s">
        <v>153</v>
      </c>
      <c r="I160" t="s">
        <v>276</v>
      </c>
      <c r="J160" t="s">
        <v>57</v>
      </c>
      <c r="K160" s="8" t="str">
        <f t="shared" si="62"/>
        <v>D4ds v4</v>
      </c>
      <c r="L160" s="8">
        <f>VLOOKUP(K160,'Web-SKUS'!A:E,2,FALSE)</f>
        <v>4</v>
      </c>
      <c r="M160" s="8" t="str">
        <f>VLOOKUP(K160,'Web-SKUS'!A:E,4,FALSE)</f>
        <v>16</v>
      </c>
      <c r="N160" t="s">
        <v>277</v>
      </c>
      <c r="O160" s="8">
        <v>4</v>
      </c>
      <c r="P160" t="s">
        <v>157</v>
      </c>
      <c r="Q160">
        <f>IFERROR(VLOOKUP(B160,PercentCPU!B:F,4,FALSE),"")</f>
        <v>5.8707180304783471</v>
      </c>
      <c r="R160">
        <f>IFERROR(VLOOKUP(B160,MemoryAvailable!B:F,3,FALSE),"")</f>
        <v>3322.5470198363091</v>
      </c>
      <c r="S160" s="2">
        <f t="shared" si="44"/>
        <v>0.79720782349631902</v>
      </c>
      <c r="T160">
        <f t="shared" si="45"/>
        <v>1</v>
      </c>
      <c r="U160" s="8">
        <f t="shared" si="46"/>
        <v>13</v>
      </c>
      <c r="V160" s="8">
        <f t="shared" si="47"/>
        <v>0</v>
      </c>
      <c r="W160" s="8">
        <f>IFERROR(VLOOKUP(B160,Write_Bytes_ps!B:F,4,FALSE)/1024/1024,"")</f>
        <v>0.51817401680855013</v>
      </c>
      <c r="X160" s="8">
        <f>IFERROR(VLOOKUP(B160,Read_Bytes_ps!B:F,4,FALSE)/1024/1024,"")</f>
        <v>0.39717824338837188</v>
      </c>
      <c r="Y160" s="8">
        <f>IFERROR(VLOOKUP(B160,Writes_ps!B:F,5,FALSE),"")</f>
        <v>590.508056640625</v>
      </c>
      <c r="Z160" s="8">
        <f>IFERROR(VLOOKUP(B160,Reads_ps!B:F,5,FALSE),"")</f>
        <v>1975.53674316406</v>
      </c>
      <c r="AA160" s="120">
        <f t="shared" si="60"/>
        <v>0.91535226019692195</v>
      </c>
      <c r="AB160" s="122">
        <f t="shared" si="61"/>
        <v>2567</v>
      </c>
      <c r="AC160" s="122" t="str">
        <f t="shared" si="48"/>
        <v>D4ds v4</v>
      </c>
      <c r="AD160" s="8" t="s">
        <v>420</v>
      </c>
      <c r="AE160" s="8">
        <f>IFERROR(VLOOKUP(AD160,'Web-SKUS'!A:E,2,FALSE),"")</f>
        <v>4</v>
      </c>
      <c r="AF160" s="8">
        <f>_xlfn.NUMBERVALUE(IFERROR(VLOOKUP(AD160,'Web-SKUS'!A:E,4,FALSE),""))</f>
        <v>16</v>
      </c>
      <c r="AG160" s="8">
        <f>IFERROR(VLOOKUP(AD160,VM_Performance_Stats!A:G,7,FALSE),0)</f>
        <v>8</v>
      </c>
      <c r="AH160" s="8">
        <f>IFERROR(VLOOKUP(AD160,VM_Performance_Stats!A:I,8,FALSE),"")</f>
        <v>6400</v>
      </c>
      <c r="AI160" s="8">
        <f t="shared" si="49"/>
        <v>1</v>
      </c>
      <c r="AJ160" s="8">
        <f t="shared" si="50"/>
        <v>1</v>
      </c>
      <c r="AK160" s="8">
        <f>IFERROR(IF(VLOOKUP(AD160,VM_Performance_Stats!A:I,8,FALSE)&gt;AB160,1,0),0)</f>
        <v>1</v>
      </c>
      <c r="AL160" t="str">
        <f>IFERROR(VLOOKUP(AD160,'Web-SKUS'!A:G,7,FALSE),"")</f>
        <v>£87.3242/month</v>
      </c>
      <c r="AM160" s="116">
        <f t="shared" si="51"/>
        <v>87.324200000000005</v>
      </c>
      <c r="AN160" t="str">
        <f>IFERROR(IF(C160=1,VLOOKUP(K160,'Web-SKUS'!A:G,7,FALSE),VLOOKUP(K160,'Web-SKUS'!A:G,6,FALSE)),"")</f>
        <v>£87.3242/month</v>
      </c>
      <c r="AO160" s="116">
        <f t="shared" si="52"/>
        <v>87.324200000000005</v>
      </c>
      <c r="AP160" s="116">
        <f t="shared" si="53"/>
        <v>87.324200000000005</v>
      </c>
      <c r="AQ160" s="115">
        <f t="shared" si="54"/>
        <v>0</v>
      </c>
      <c r="AR160" s="244">
        <f t="shared" si="55"/>
        <v>0</v>
      </c>
      <c r="AS160" s="244" t="str">
        <f>VLOOKUP(B160,'Willie List'!B:M,12,FALSE)</f>
        <v>YES</v>
      </c>
      <c r="AT160" s="244" t="str">
        <f t="shared" si="56"/>
        <v>Standard_D4ds_v4</v>
      </c>
      <c r="AU160" s="244" t="str">
        <f t="shared" si="57"/>
        <v>D4ds v4</v>
      </c>
      <c r="AV160" s="238" t="str">
        <f t="shared" si="58"/>
        <v>D4ds v4</v>
      </c>
      <c r="AW160" s="239">
        <f t="shared" si="59"/>
        <v>1</v>
      </c>
    </row>
    <row r="161" spans="1:49" s="238" customFormat="1">
      <c r="A161" s="238" t="s">
        <v>501</v>
      </c>
      <c r="B161" t="s">
        <v>508</v>
      </c>
      <c r="C161" s="8">
        <f>IFERROR(IF(VLOOKUP(B161,'Willie List'!B:B,1,FALSE) &lt;&gt; "",1,0),0)</f>
        <v>1</v>
      </c>
      <c r="D161" s="8"/>
      <c r="E161" t="s">
        <v>99</v>
      </c>
      <c r="F161" t="s">
        <v>450</v>
      </c>
      <c r="G161" t="s">
        <v>152</v>
      </c>
      <c r="H161" t="s">
        <v>153</v>
      </c>
      <c r="I161" t="s">
        <v>154</v>
      </c>
      <c r="J161" t="s">
        <v>57</v>
      </c>
      <c r="K161" s="8" t="str">
        <f t="shared" si="62"/>
        <v>D4ds v4</v>
      </c>
      <c r="L161" s="8">
        <f>VLOOKUP(K161,'Web-SKUS'!A:E,2,FALSE)</f>
        <v>4</v>
      </c>
      <c r="M161" s="8" t="str">
        <f>VLOOKUP(K161,'Web-SKUS'!A:E,4,FALSE)</f>
        <v>16</v>
      </c>
      <c r="N161" t="s">
        <v>277</v>
      </c>
      <c r="O161" s="8">
        <v>1</v>
      </c>
      <c r="P161" t="s">
        <v>157</v>
      </c>
      <c r="Q161">
        <f>IFERROR(VLOOKUP(B161,PercentCPU!B:F,4,FALSE),"")</f>
        <v>4.8523391739676525</v>
      </c>
      <c r="R161">
        <f>IFERROR(VLOOKUP(B161,MemoryAvailable!B:F,3,FALSE),"")</f>
        <v>11947.152186070944</v>
      </c>
      <c r="S161" s="2">
        <f t="shared" si="44"/>
        <v>0.27080369958063089</v>
      </c>
      <c r="T161">
        <f t="shared" si="45"/>
        <v>1</v>
      </c>
      <c r="U161" s="8">
        <f t="shared" si="46"/>
        <v>4</v>
      </c>
      <c r="V161" s="8" t="str">
        <f t="shared" si="47"/>
        <v>D Series</v>
      </c>
      <c r="W161" s="8">
        <f>IFERROR(VLOOKUP(B161,Write_Bytes_ps!B:F,4,FALSE)/1024/1024,"")</f>
        <v>0.49054199457410924</v>
      </c>
      <c r="X161" s="8">
        <f>IFERROR(VLOOKUP(B161,Read_Bytes_ps!B:F,4,FALSE)/1024/1024,"")</f>
        <v>6.1437490896067517E-5</v>
      </c>
      <c r="Y161" s="8">
        <f>IFERROR(VLOOKUP(B161,Writes_ps!B:F,5,FALSE),"")</f>
        <v>298.07172116451301</v>
      </c>
      <c r="Z161" s="8">
        <f>IFERROR(VLOOKUP(B161,Reads_ps!B:F,5,FALSE),"")</f>
        <v>2746.58202592526</v>
      </c>
      <c r="AA161" s="120">
        <f t="shared" si="60"/>
        <v>0.49060343206500528</v>
      </c>
      <c r="AB161" s="122">
        <f t="shared" si="61"/>
        <v>3045</v>
      </c>
      <c r="AC161" s="122" t="str">
        <f t="shared" si="48"/>
        <v>D4ds v4</v>
      </c>
      <c r="AD161" s="8" t="s">
        <v>290</v>
      </c>
      <c r="AE161" s="8">
        <f>IFERROR(VLOOKUP(AD161,'Web-SKUS'!A:E,2,FALSE),"")</f>
        <v>2</v>
      </c>
      <c r="AF161" s="8">
        <f>_xlfn.NUMBERVALUE(IFERROR(VLOOKUP(AD161,'Web-SKUS'!A:E,4,FALSE),""))</f>
        <v>4</v>
      </c>
      <c r="AG161" s="8">
        <f>IFERROR(VLOOKUP(AD161,VM_Performance_Stats!A:G,7,FALSE),0)</f>
        <v>4</v>
      </c>
      <c r="AH161" s="8">
        <f>IFERROR(VLOOKUP(AD161,VM_Performance_Stats!A:I,8,FALSE),"")</f>
        <v>3200</v>
      </c>
      <c r="AI161" s="8">
        <f t="shared" si="49"/>
        <v>1</v>
      </c>
      <c r="AJ161" s="8">
        <f t="shared" si="50"/>
        <v>1</v>
      </c>
      <c r="AK161" s="8">
        <f>IFERROR(IF(VLOOKUP(AD161,VM_Performance_Stats!A:I,8,FALSE)&gt;AB161,1,0),0)</f>
        <v>1</v>
      </c>
      <c r="AL161" t="str">
        <f>IFERROR(VLOOKUP(AD161,'Web-SKUS'!A:G,7,FALSE),"")</f>
        <v>£31.2409/month</v>
      </c>
      <c r="AM161" s="116">
        <f t="shared" si="51"/>
        <v>31.2409</v>
      </c>
      <c r="AN161" t="str">
        <f>IFERROR(IF(C161=1,VLOOKUP(K161,'Web-SKUS'!A:G,7,FALSE),VLOOKUP(K161,'Web-SKUS'!A:G,6,FALSE)),"")</f>
        <v>£87.3242/month</v>
      </c>
      <c r="AO161" s="116">
        <f t="shared" si="52"/>
        <v>87.324200000000005</v>
      </c>
      <c r="AP161" s="116">
        <f t="shared" si="53"/>
        <v>31.2409</v>
      </c>
      <c r="AQ161" s="115">
        <f t="shared" si="54"/>
        <v>56.083300000000008</v>
      </c>
      <c r="AR161" s="244">
        <f t="shared" si="55"/>
        <v>672.9996000000001</v>
      </c>
      <c r="AS161" s="244" t="str">
        <f>VLOOKUP(B161,'Willie List'!B:M,12,FALSE)</f>
        <v>Yes</v>
      </c>
      <c r="AT161" s="244" t="str">
        <f t="shared" si="56"/>
        <v>Standard_D4ds_v4</v>
      </c>
      <c r="AU161" s="244" t="str">
        <f t="shared" si="57"/>
        <v>D4ds v4</v>
      </c>
      <c r="AV161" s="238" t="str">
        <f t="shared" si="58"/>
        <v>F2s v2</v>
      </c>
      <c r="AW161" s="239">
        <f t="shared" si="59"/>
        <v>0</v>
      </c>
    </row>
    <row r="162" spans="1:49" s="238" customFormat="1">
      <c r="A162" s="238" t="s">
        <v>509</v>
      </c>
      <c r="B162" t="s">
        <v>510</v>
      </c>
      <c r="C162" s="8">
        <f>IFERROR(IF(VLOOKUP(B162,'Willie List'!B:B,1,FALSE) &lt;&gt; "",1,0),0)</f>
        <v>1</v>
      </c>
      <c r="D162" s="8"/>
      <c r="E162" t="s">
        <v>99</v>
      </c>
      <c r="F162" t="s">
        <v>477</v>
      </c>
      <c r="G162" t="s">
        <v>152</v>
      </c>
      <c r="H162" t="s">
        <v>153</v>
      </c>
      <c r="I162" t="s">
        <v>276</v>
      </c>
      <c r="J162" t="s">
        <v>56</v>
      </c>
      <c r="K162" s="8" t="str">
        <f t="shared" si="62"/>
        <v>D2ds v4</v>
      </c>
      <c r="L162" s="8">
        <f>VLOOKUP(K162,'Web-SKUS'!A:E,2,FALSE)</f>
        <v>2</v>
      </c>
      <c r="M162" s="8" t="str">
        <f>VLOOKUP(K162,'Web-SKUS'!A:E,4,FALSE)</f>
        <v>8</v>
      </c>
      <c r="N162" t="s">
        <v>277</v>
      </c>
      <c r="O162" s="8">
        <v>2</v>
      </c>
      <c r="P162" t="s">
        <v>157</v>
      </c>
      <c r="Q162">
        <f>IFERROR(VLOOKUP(B162,PercentCPU!B:F,4,FALSE),"")</f>
        <v>35.364827485486011</v>
      </c>
      <c r="R162">
        <f>IFERROR(VLOOKUP(B162,MemoryAvailable!B:F,3,FALSE),"")</f>
        <v>5520.9860087151101</v>
      </c>
      <c r="S162" s="2">
        <f t="shared" si="44"/>
        <v>0.32605151260801879</v>
      </c>
      <c r="T162">
        <f t="shared" si="45"/>
        <v>1</v>
      </c>
      <c r="U162" s="8">
        <f t="shared" si="46"/>
        <v>3</v>
      </c>
      <c r="V162" s="8">
        <f t="shared" si="47"/>
        <v>0</v>
      </c>
      <c r="W162" s="8">
        <f>IFERROR(VLOOKUP(B162,Write_Bytes_ps!B:F,4,FALSE)/1024/1024,"")</f>
        <v>1.0812529544476361</v>
      </c>
      <c r="X162" s="8">
        <f>IFERROR(VLOOKUP(B162,Read_Bytes_ps!B:F,4,FALSE)/1024/1024,"")</f>
        <v>8.7460483225402189E-2</v>
      </c>
      <c r="Y162" s="8">
        <f>IFERROR(VLOOKUP(B162,Writes_ps!B:F,5,FALSE),"")</f>
        <v>458.72937011718801</v>
      </c>
      <c r="Z162" s="8">
        <f>IFERROR(VLOOKUP(B162,Reads_ps!B:F,5,FALSE),"")</f>
        <v>746.704345703125</v>
      </c>
      <c r="AA162" s="120">
        <f t="shared" si="60"/>
        <v>1.1687134376730384</v>
      </c>
      <c r="AB162" s="122">
        <f t="shared" si="61"/>
        <v>1206</v>
      </c>
      <c r="AC162" s="122" t="str">
        <f t="shared" si="48"/>
        <v>D2ds v4</v>
      </c>
      <c r="AD162" s="8" t="s">
        <v>290</v>
      </c>
      <c r="AE162" s="8">
        <f>IFERROR(VLOOKUP(AD162,'Web-SKUS'!A:E,2,FALSE),"")</f>
        <v>2</v>
      </c>
      <c r="AF162" s="8">
        <f>_xlfn.NUMBERVALUE(IFERROR(VLOOKUP(AD162,'Web-SKUS'!A:E,4,FALSE),""))</f>
        <v>4</v>
      </c>
      <c r="AG162" s="8">
        <f>IFERROR(VLOOKUP(AD162,VM_Performance_Stats!A:G,7,FALSE),0)</f>
        <v>4</v>
      </c>
      <c r="AH162" s="8">
        <f>IFERROR(VLOOKUP(AD162,VM_Performance_Stats!A:I,8,FALSE),"")</f>
        <v>3200</v>
      </c>
      <c r="AI162" s="8">
        <f t="shared" si="49"/>
        <v>1</v>
      </c>
      <c r="AJ162" s="8">
        <f t="shared" si="50"/>
        <v>1</v>
      </c>
      <c r="AK162" s="8">
        <f>IFERROR(IF(VLOOKUP(AD162,VM_Performance_Stats!A:I,8,FALSE)&gt;AB162,1,0),0)</f>
        <v>1</v>
      </c>
      <c r="AL162" t="str">
        <f>IFERROR(VLOOKUP(AD162,'Web-SKUS'!A:G,7,FALSE),"")</f>
        <v>£31.2409/month</v>
      </c>
      <c r="AM162" s="116">
        <f t="shared" si="51"/>
        <v>31.2409</v>
      </c>
      <c r="AN162" t="str">
        <f>IFERROR(IF(C162=1,VLOOKUP(K162,'Web-SKUS'!A:G,7,FALSE),VLOOKUP(K162,'Web-SKUS'!A:G,6,FALSE)),"")</f>
        <v>£43.6621/month</v>
      </c>
      <c r="AO162" s="116">
        <f t="shared" si="52"/>
        <v>43.662100000000002</v>
      </c>
      <c r="AP162" s="116">
        <f t="shared" si="53"/>
        <v>31.2409</v>
      </c>
      <c r="AQ162" s="115">
        <f t="shared" si="54"/>
        <v>12.421200000000002</v>
      </c>
      <c r="AR162" s="244">
        <f t="shared" si="55"/>
        <v>149.05440000000004</v>
      </c>
      <c r="AS162" s="244" t="str">
        <f>VLOOKUP(B162,'Willie List'!B:M,12,FALSE)</f>
        <v>Yes</v>
      </c>
      <c r="AT162" s="244" t="str">
        <f t="shared" si="56"/>
        <v>Standard_D2ds_v4</v>
      </c>
      <c r="AU162" s="244" t="str">
        <f t="shared" si="57"/>
        <v>D2ds v4</v>
      </c>
      <c r="AV162" s="238" t="str">
        <f t="shared" si="58"/>
        <v>F2s v2</v>
      </c>
      <c r="AW162" s="239">
        <f t="shared" si="59"/>
        <v>0</v>
      </c>
    </row>
    <row r="163" spans="1:49" s="245" customFormat="1">
      <c r="A163" s="245" t="s">
        <v>511</v>
      </c>
      <c r="B163" t="s">
        <v>512</v>
      </c>
      <c r="C163" s="8">
        <f>IFERROR(IF(VLOOKUP(B163,'Willie List'!B:B,1,FALSE) &lt;&gt; "",1,0),0)</f>
        <v>1</v>
      </c>
      <c r="D163" s="8"/>
      <c r="E163" t="s">
        <v>99</v>
      </c>
      <c r="F163" t="s">
        <v>480</v>
      </c>
      <c r="G163" t="s">
        <v>152</v>
      </c>
      <c r="H163" t="s">
        <v>153</v>
      </c>
      <c r="I163" t="s">
        <v>276</v>
      </c>
      <c r="J163" t="s">
        <v>56</v>
      </c>
      <c r="K163" s="8" t="str">
        <f t="shared" si="62"/>
        <v>D2ds v4</v>
      </c>
      <c r="L163" s="8">
        <f>VLOOKUP(K163,'Web-SKUS'!A:E,2,FALSE)</f>
        <v>2</v>
      </c>
      <c r="M163" s="8" t="str">
        <f>VLOOKUP(K163,'Web-SKUS'!A:E,4,FALSE)</f>
        <v>8</v>
      </c>
      <c r="N163" t="s">
        <v>277</v>
      </c>
      <c r="O163" s="8">
        <v>1</v>
      </c>
      <c r="P163" t="s">
        <v>157</v>
      </c>
      <c r="Q163">
        <f>IFERROR(VLOOKUP(B163,PercentCPU!B:F,4,FALSE),"")</f>
        <v>4.139307029577596</v>
      </c>
      <c r="R163">
        <f>IFERROR(VLOOKUP(B163,MemoryAvailable!B:F,3,FALSE),"")</f>
        <v>5692.1444685159895</v>
      </c>
      <c r="S163" s="2">
        <f t="shared" si="44"/>
        <v>0.30515814593310675</v>
      </c>
      <c r="T163">
        <f t="shared" si="45"/>
        <v>1</v>
      </c>
      <c r="U163" s="8">
        <f t="shared" si="46"/>
        <v>2</v>
      </c>
      <c r="V163" s="8" t="str">
        <f t="shared" si="47"/>
        <v>F Series</v>
      </c>
      <c r="W163" s="8">
        <f>IFERROR(VLOOKUP(B163,Write_Bytes_ps!B:F,4,FALSE)/1024/1024,"")</f>
        <v>0.16166554981911491</v>
      </c>
      <c r="X163" s="8">
        <f>IFERROR(VLOOKUP(B163,Read_Bytes_ps!B:F,4,FALSE)/1024/1024,"")</f>
        <v>0.39375377737822526</v>
      </c>
      <c r="Y163" s="8">
        <f>IFERROR(VLOOKUP(B163,Writes_ps!B:F,5,FALSE),"")</f>
        <v>110.692016601563</v>
      </c>
      <c r="Z163" s="8">
        <f>IFERROR(VLOOKUP(B163,Reads_ps!B:F,5,FALSE),"")</f>
        <v>259.63732910156301</v>
      </c>
      <c r="AA163" s="120">
        <f t="shared" si="60"/>
        <v>0.55541932719734022</v>
      </c>
      <c r="AB163" s="122">
        <f t="shared" si="61"/>
        <v>371</v>
      </c>
      <c r="AC163" s="122" t="str">
        <f t="shared" si="48"/>
        <v>D2ds v4</v>
      </c>
      <c r="AD163" s="8" t="s">
        <v>290</v>
      </c>
      <c r="AE163" s="8">
        <f>IFERROR(VLOOKUP(AD163,'Web-SKUS'!A:E,2,FALSE),"")</f>
        <v>2</v>
      </c>
      <c r="AF163" s="8">
        <f>_xlfn.NUMBERVALUE(IFERROR(VLOOKUP(AD163,'Web-SKUS'!A:E,4,FALSE),""))</f>
        <v>4</v>
      </c>
      <c r="AG163" s="8">
        <f>IFERROR(VLOOKUP(AD163,VM_Performance_Stats!A:G,7,FALSE),0)</f>
        <v>4</v>
      </c>
      <c r="AH163" s="8">
        <f>IFERROR(VLOOKUP(AD163,VM_Performance_Stats!A:I,8,FALSE),"")</f>
        <v>3200</v>
      </c>
      <c r="AI163" s="8">
        <f t="shared" si="49"/>
        <v>1</v>
      </c>
      <c r="AJ163" s="8">
        <f t="shared" si="50"/>
        <v>1</v>
      </c>
      <c r="AK163" s="8">
        <f>IFERROR(IF(VLOOKUP(AD163,VM_Performance_Stats!A:I,8,FALSE)&gt;AB163,1,0),0)</f>
        <v>1</v>
      </c>
      <c r="AL163" t="str">
        <f>IFERROR(VLOOKUP(AD163,'Web-SKUS'!A:G,7,FALSE),"")</f>
        <v>£31.2409/month</v>
      </c>
      <c r="AM163" s="116">
        <f t="shared" si="51"/>
        <v>31.2409</v>
      </c>
      <c r="AN163" t="str">
        <f>IFERROR(IF(C163=1,VLOOKUP(K163,'Web-SKUS'!A:G,7,FALSE),VLOOKUP(K163,'Web-SKUS'!A:G,6,FALSE)),"")</f>
        <v>£43.6621/month</v>
      </c>
      <c r="AO163" s="116">
        <f t="shared" si="52"/>
        <v>43.662100000000002</v>
      </c>
      <c r="AP163" s="116">
        <f t="shared" si="53"/>
        <v>31.2409</v>
      </c>
      <c r="AQ163" s="115">
        <f t="shared" si="54"/>
        <v>12.421200000000002</v>
      </c>
      <c r="AR163" s="251">
        <f t="shared" si="55"/>
        <v>149.05440000000004</v>
      </c>
      <c r="AS163" s="251" t="str">
        <f>VLOOKUP(B163,'Willie List'!B:M,12,FALSE)</f>
        <v>YES</v>
      </c>
      <c r="AT163" s="251" t="str">
        <f t="shared" si="56"/>
        <v>Standard_D2ds_v4</v>
      </c>
      <c r="AU163" s="251" t="str">
        <f t="shared" si="57"/>
        <v>D2ds v4</v>
      </c>
      <c r="AV163" s="245" t="str">
        <f t="shared" si="58"/>
        <v>F2s v2</v>
      </c>
      <c r="AW163" s="246">
        <f t="shared" si="59"/>
        <v>0</v>
      </c>
    </row>
    <row r="164" spans="1:49" s="245" customFormat="1">
      <c r="A164" s="245" t="s">
        <v>511</v>
      </c>
      <c r="B164" t="s">
        <v>513</v>
      </c>
      <c r="C164" s="8">
        <f>IFERROR(IF(VLOOKUP(B164,'Willie List'!B:B,1,FALSE) &lt;&gt; "",1,0),0)</f>
        <v>1</v>
      </c>
      <c r="D164" s="8"/>
      <c r="E164" t="s">
        <v>99</v>
      </c>
      <c r="F164" t="s">
        <v>482</v>
      </c>
      <c r="G164" t="s">
        <v>152</v>
      </c>
      <c r="H164" t="s">
        <v>153</v>
      </c>
      <c r="I164" t="s">
        <v>154</v>
      </c>
      <c r="J164" t="s">
        <v>514</v>
      </c>
      <c r="K164" s="8" t="str">
        <f t="shared" si="62"/>
        <v>D2s v3</v>
      </c>
      <c r="L164" s="8">
        <f>VLOOKUP(K164,'Web-SKUS'!A:E,2,FALSE)</f>
        <v>2</v>
      </c>
      <c r="M164" s="8" t="str">
        <f>VLOOKUP(K164,'Web-SKUS'!A:E,4,FALSE)</f>
        <v>8</v>
      </c>
      <c r="N164" t="s">
        <v>277</v>
      </c>
      <c r="O164" s="8">
        <v>1</v>
      </c>
      <c r="P164" t="s">
        <v>157</v>
      </c>
      <c r="Q164">
        <f>IFERROR(VLOOKUP(B164,PercentCPU!B:F,4,FALSE),"")</f>
        <v>11.853504406696965</v>
      </c>
      <c r="R164">
        <f>IFERROR(VLOOKUP(B164,MemoryAvailable!B:F,3,FALSE),"")</f>
        <v>5000.4160475768576</v>
      </c>
      <c r="S164" s="2">
        <f t="shared" si="44"/>
        <v>0.38959765044227812</v>
      </c>
      <c r="T164">
        <f t="shared" si="45"/>
        <v>1</v>
      </c>
      <c r="U164" s="8">
        <f t="shared" si="46"/>
        <v>3</v>
      </c>
      <c r="V164" s="8">
        <f t="shared" si="47"/>
        <v>0</v>
      </c>
      <c r="W164" s="8">
        <f>IFERROR(VLOOKUP(B164,Write_Bytes_ps!B:F,4,FALSE)/1024/1024,"")</f>
        <v>8.1159738284062047E-2</v>
      </c>
      <c r="X164" s="8">
        <f>IFERROR(VLOOKUP(B164,Read_Bytes_ps!B:F,4,FALSE)/1024/1024,"")</f>
        <v>1.3971870251237162E-2</v>
      </c>
      <c r="Y164" s="8">
        <f>IFERROR(VLOOKUP(B164,Writes_ps!B:F,5,FALSE),"")</f>
        <v>818.49430312959305</v>
      </c>
      <c r="Z164" s="8">
        <f>IFERROR(VLOOKUP(B164,Reads_ps!B:F,5,FALSE),"")</f>
        <v>267.560658035796</v>
      </c>
      <c r="AA164" s="120">
        <f t="shared" si="60"/>
        <v>9.5131608535299214E-2</v>
      </c>
      <c r="AB164" s="122">
        <f t="shared" si="61"/>
        <v>1087</v>
      </c>
      <c r="AC164" s="122" t="str">
        <f t="shared" si="48"/>
        <v>D2s v3</v>
      </c>
      <c r="AD164" s="8" t="s">
        <v>290</v>
      </c>
      <c r="AE164" s="8">
        <f>IFERROR(VLOOKUP(AD164,'Web-SKUS'!A:E,2,FALSE),"")</f>
        <v>2</v>
      </c>
      <c r="AF164" s="8">
        <f>_xlfn.NUMBERVALUE(IFERROR(VLOOKUP(AD164,'Web-SKUS'!A:E,4,FALSE),""))</f>
        <v>4</v>
      </c>
      <c r="AG164" s="8">
        <f>IFERROR(VLOOKUP(AD164,VM_Performance_Stats!A:G,7,FALSE),0)</f>
        <v>4</v>
      </c>
      <c r="AH164" s="8">
        <f>IFERROR(VLOOKUP(AD164,VM_Performance_Stats!A:I,8,FALSE),"")</f>
        <v>3200</v>
      </c>
      <c r="AI164" s="8">
        <f t="shared" si="49"/>
        <v>1</v>
      </c>
      <c r="AJ164" s="8">
        <f t="shared" si="50"/>
        <v>1</v>
      </c>
      <c r="AK164" s="8">
        <f>IFERROR(IF(VLOOKUP(AD164,VM_Performance_Stats!A:I,8,FALSE)&gt;AB164,1,0),0)</f>
        <v>1</v>
      </c>
      <c r="AL164" t="str">
        <f>IFERROR(VLOOKUP(AD164,'Web-SKUS'!A:G,7,FALSE),"")</f>
        <v>£31.2409/month</v>
      </c>
      <c r="AM164" s="116">
        <f t="shared" si="51"/>
        <v>31.2409</v>
      </c>
      <c r="AN164" t="str">
        <f>IFERROR(IF(C164=1,VLOOKUP(K164,'Web-SKUS'!A:G,7,FALSE),VLOOKUP(K164,'Web-SKUS'!A:G,6,FALSE)),"")</f>
        <v>£41.6109/month</v>
      </c>
      <c r="AO164" s="116">
        <f t="shared" si="52"/>
        <v>41.610900000000001</v>
      </c>
      <c r="AP164" s="116">
        <f t="shared" si="53"/>
        <v>31.2409</v>
      </c>
      <c r="AQ164" s="115">
        <f t="shared" si="54"/>
        <v>10.370000000000001</v>
      </c>
      <c r="AR164" s="251">
        <f t="shared" si="55"/>
        <v>124.44000000000001</v>
      </c>
      <c r="AS164" s="251" t="str">
        <f>VLOOKUP(B164,'Willie List'!B:M,12,FALSE)</f>
        <v>YES</v>
      </c>
      <c r="AT164" s="251" t="str">
        <f t="shared" si="56"/>
        <v>Standard_D2s_v3</v>
      </c>
      <c r="AU164" s="251" t="str">
        <f t="shared" si="57"/>
        <v>D2s v3</v>
      </c>
      <c r="AV164" s="245" t="str">
        <f t="shared" si="58"/>
        <v>F2s v2</v>
      </c>
      <c r="AW164" s="246">
        <f t="shared" si="59"/>
        <v>0</v>
      </c>
    </row>
    <row r="165" spans="1:49" s="238" customFormat="1">
      <c r="A165" s="238" t="s">
        <v>515</v>
      </c>
      <c r="B165" t="s">
        <v>516</v>
      </c>
      <c r="C165" s="8">
        <f>IFERROR(IF(VLOOKUP(B165,'Willie List'!B:B,1,FALSE) &lt;&gt; "",1,0),0)</f>
        <v>1</v>
      </c>
      <c r="D165" s="8"/>
      <c r="E165" t="s">
        <v>99</v>
      </c>
      <c r="F165" t="s">
        <v>484</v>
      </c>
      <c r="G165" t="s">
        <v>152</v>
      </c>
      <c r="H165" t="s">
        <v>153</v>
      </c>
      <c r="I165" t="s">
        <v>154</v>
      </c>
      <c r="J165" t="s">
        <v>52</v>
      </c>
      <c r="K165" s="8" t="str">
        <f t="shared" si="62"/>
        <v>D32as v4</v>
      </c>
      <c r="L165" s="8">
        <f>VLOOKUP(K165,'Web-SKUS'!A:E,2,FALSE)</f>
        <v>32</v>
      </c>
      <c r="M165" s="8" t="str">
        <f>VLOOKUP(K165,'Web-SKUS'!A:E,4,FALSE)</f>
        <v>128</v>
      </c>
      <c r="N165" t="s">
        <v>277</v>
      </c>
      <c r="O165" s="8">
        <v>2</v>
      </c>
      <c r="P165" t="s">
        <v>157</v>
      </c>
      <c r="Q165">
        <f>IFERROR(VLOOKUP(B165,PercentCPU!B:F,4,FALSE),"")</f>
        <v>13.241251304064514</v>
      </c>
      <c r="R165">
        <f>IFERROR(VLOOKUP(B165,MemoryAvailable!B:F,3,FALSE),"")</f>
        <v>105948.04271879919</v>
      </c>
      <c r="S165" s="2">
        <f t="shared" si="44"/>
        <v>0.19168058228455209</v>
      </c>
      <c r="T165">
        <f t="shared" si="45"/>
        <v>5</v>
      </c>
      <c r="U165" s="8">
        <f t="shared" si="46"/>
        <v>25</v>
      </c>
      <c r="V165" s="8">
        <f t="shared" si="47"/>
        <v>0</v>
      </c>
      <c r="W165" s="8">
        <f>IFERROR(VLOOKUP(B165,Write_Bytes_ps!B:F,4,FALSE)/1024/1024,"")</f>
        <v>8.9982803466986366E-2</v>
      </c>
      <c r="X165" s="8">
        <f>IFERROR(VLOOKUP(B165,Read_Bytes_ps!B:F,4,FALSE)/1024/1024,"")</f>
        <v>1.3149875460081971E-2</v>
      </c>
      <c r="Y165" s="8">
        <f>IFERROR(VLOOKUP(B165,Writes_ps!B:F,5,FALSE),"")</f>
        <v>205.336167128613</v>
      </c>
      <c r="Z165" s="8">
        <f>IFERROR(VLOOKUP(B165,Reads_ps!B:F,5,FALSE),"")</f>
        <v>106.241684529503</v>
      </c>
      <c r="AA165" s="120">
        <f t="shared" si="60"/>
        <v>0.10313267892706834</v>
      </c>
      <c r="AB165" s="122">
        <f t="shared" si="61"/>
        <v>312</v>
      </c>
      <c r="AC165" s="122" t="str">
        <f t="shared" si="48"/>
        <v>D32as v4</v>
      </c>
      <c r="AD165" s="8" t="s">
        <v>517</v>
      </c>
      <c r="AE165" s="8">
        <f>IFERROR(VLOOKUP(AD165,'Web-SKUS'!A:E,2,FALSE),"")</f>
        <v>8</v>
      </c>
      <c r="AF165" s="8">
        <f>_xlfn.NUMBERVALUE(IFERROR(VLOOKUP(AD165,'Web-SKUS'!A:E,4,FALSE),""))</f>
        <v>32</v>
      </c>
      <c r="AG165" s="8">
        <f>IFERROR(VLOOKUP(AD165,VM_Performance_Stats!A:G,7,FALSE),0)</f>
        <v>16</v>
      </c>
      <c r="AH165" s="8">
        <f>IFERROR(VLOOKUP(AD165,VM_Performance_Stats!A:I,8,FALSE),"")</f>
        <v>12800</v>
      </c>
      <c r="AI165" s="8">
        <f t="shared" si="49"/>
        <v>1</v>
      </c>
      <c r="AJ165" s="8">
        <f t="shared" si="50"/>
        <v>1</v>
      </c>
      <c r="AK165" s="8">
        <f>IFERROR(IF(VLOOKUP(AD165,VM_Performance_Stats!A:I,8,FALSE)&gt;AB165,1,0),0)</f>
        <v>1</v>
      </c>
      <c r="AL165" t="str">
        <f>IFERROR(VLOOKUP(AD165,'Web-SKUS'!A:G,7,FALSE),"")</f>
        <v>£174.6483/month</v>
      </c>
      <c r="AM165" s="116">
        <f t="shared" si="51"/>
        <v>174.64830000000001</v>
      </c>
      <c r="AN165" t="str">
        <f>IFERROR(IF(C165=1,VLOOKUP(K165,'Web-SKUS'!A:G,7,FALSE),VLOOKUP(K165,'Web-SKUS'!A:G,6,FALSE)),"")</f>
        <v>£665.8071/month</v>
      </c>
      <c r="AO165" s="116">
        <f t="shared" si="52"/>
        <v>665.80709999999999</v>
      </c>
      <c r="AP165" s="116">
        <f t="shared" si="53"/>
        <v>174.64830000000001</v>
      </c>
      <c r="AQ165" s="115">
        <f t="shared" si="54"/>
        <v>491.15879999999999</v>
      </c>
      <c r="AR165" s="244">
        <f t="shared" si="55"/>
        <v>5893.9056</v>
      </c>
      <c r="AS165" s="244" t="str">
        <f>VLOOKUP(B165,'Willie List'!B:M,12,FALSE)</f>
        <v>NO</v>
      </c>
      <c r="AT165" s="244" t="str">
        <f t="shared" si="56"/>
        <v>Standard_D32as_v4</v>
      </c>
      <c r="AU165" s="244" t="str">
        <f t="shared" si="57"/>
        <v>D32as v4</v>
      </c>
      <c r="AV165" s="238" t="str">
        <f t="shared" si="58"/>
        <v>D8ds v4</v>
      </c>
      <c r="AW165" s="239">
        <f t="shared" si="59"/>
        <v>0</v>
      </c>
    </row>
    <row r="166" spans="1:49" s="238" customFormat="1">
      <c r="A166" s="238" t="s">
        <v>518</v>
      </c>
      <c r="B166" t="s">
        <v>519</v>
      </c>
      <c r="C166" s="8">
        <f>IFERROR(IF(VLOOKUP(B166,'Willie List'!B:B,1,FALSE) &lt;&gt; "",1,0),0)</f>
        <v>1</v>
      </c>
      <c r="D166" s="8"/>
      <c r="E166" t="s">
        <v>99</v>
      </c>
      <c r="F166" t="s">
        <v>496</v>
      </c>
      <c r="G166" t="s">
        <v>152</v>
      </c>
      <c r="H166" t="s">
        <v>153</v>
      </c>
      <c r="I166" t="s">
        <v>276</v>
      </c>
      <c r="J166" t="s">
        <v>43</v>
      </c>
      <c r="K166" s="8" t="str">
        <f t="shared" si="62"/>
        <v>D4 v3</v>
      </c>
      <c r="L166" s="8">
        <f>VLOOKUP(K166,'Web-SKUS'!A:E,2,FALSE)</f>
        <v>4</v>
      </c>
      <c r="M166" s="8" t="str">
        <f>VLOOKUP(K166,'Web-SKUS'!A:E,4,FALSE)</f>
        <v>16</v>
      </c>
      <c r="N166" t="s">
        <v>277</v>
      </c>
      <c r="O166" s="8">
        <v>2</v>
      </c>
      <c r="P166" t="s">
        <v>157</v>
      </c>
      <c r="Q166">
        <f>IFERROR(VLOOKUP(B166,PercentCPU!B:F,4,FALSE),"")</f>
        <v>62.293379757327635</v>
      </c>
      <c r="R166">
        <f>IFERROR(VLOOKUP(B166,MemoryAvailable!B:F,3,FALSE),"")</f>
        <v>10033.34342527867</v>
      </c>
      <c r="S166" s="2">
        <f t="shared" si="44"/>
        <v>0.38761331632820617</v>
      </c>
      <c r="T166">
        <f t="shared" si="45"/>
        <v>3</v>
      </c>
      <c r="U166" s="8">
        <f t="shared" si="46"/>
        <v>6</v>
      </c>
      <c r="V166" s="8" t="str">
        <f t="shared" si="47"/>
        <v>F Series</v>
      </c>
      <c r="W166" s="8">
        <f>IFERROR(VLOOKUP(B166,Write_Bytes_ps!B:F,4,FALSE)/1024/1024,"")</f>
        <v>0.4581588634746796</v>
      </c>
      <c r="X166" s="8">
        <f>IFERROR(VLOOKUP(B166,Read_Bytes_ps!B:F,4,FALSE)/1024/1024,"")</f>
        <v>0.41425911590849585</v>
      </c>
      <c r="Y166" s="8">
        <f>IFERROR(VLOOKUP(B166,Writes_ps!B:F,5,FALSE),"")</f>
        <v>1282.37780761719</v>
      </c>
      <c r="Z166" s="8">
        <f>IFERROR(VLOOKUP(B166,Reads_ps!B:F,5,FALSE),"")</f>
        <v>4973.3046875</v>
      </c>
      <c r="AA166" s="120">
        <f t="shared" si="60"/>
        <v>0.87241797938317545</v>
      </c>
      <c r="AB166" s="122">
        <f t="shared" si="61"/>
        <v>6256</v>
      </c>
      <c r="AC166" s="122" t="str">
        <f t="shared" si="48"/>
        <v>D4 v3</v>
      </c>
      <c r="AD166" s="8" t="s">
        <v>443</v>
      </c>
      <c r="AE166" s="8">
        <f>IFERROR(VLOOKUP(AD166,'Web-SKUS'!A:E,2,FALSE),"")</f>
        <v>4</v>
      </c>
      <c r="AF166" s="8">
        <f>_xlfn.NUMBERVALUE(IFERROR(VLOOKUP(AD166,'Web-SKUS'!A:E,4,FALSE),""))</f>
        <v>8</v>
      </c>
      <c r="AG166" s="8">
        <f>IFERROR(VLOOKUP(AD166,VM_Performance_Stats!A:G,7,FALSE),0)</f>
        <v>8</v>
      </c>
      <c r="AH166" s="8">
        <f>IFERROR(VLOOKUP(AD166,VM_Performance_Stats!A:I,8,FALSE),"")</f>
        <v>6400</v>
      </c>
      <c r="AI166" s="8">
        <f t="shared" si="49"/>
        <v>1</v>
      </c>
      <c r="AJ166" s="8">
        <f t="shared" si="50"/>
        <v>1</v>
      </c>
      <c r="AK166" s="8">
        <f>IFERROR(IF(VLOOKUP(AD166,VM_Performance_Stats!A:I,8,FALSE)&gt;AB166,1,0),0)</f>
        <v>1</v>
      </c>
      <c r="AL166" t="str">
        <f>IFERROR(VLOOKUP(AD166,'Web-SKUS'!A:G,7,FALSE),"")</f>
        <v>£62.5415/month</v>
      </c>
      <c r="AM166" s="116">
        <f t="shared" si="51"/>
        <v>62.541499999999999</v>
      </c>
      <c r="AN166" t="str">
        <f>IFERROR(IF(C166=1,VLOOKUP(K166,'Web-SKUS'!A:G,7,FALSE),VLOOKUP(K166,'Web-SKUS'!A:G,6,FALSE)),"")</f>
        <v>£83.1620/month</v>
      </c>
      <c r="AO166" s="116">
        <f t="shared" si="52"/>
        <v>83.162000000000006</v>
      </c>
      <c r="AP166" s="116">
        <f t="shared" si="53"/>
        <v>62.541499999999999</v>
      </c>
      <c r="AQ166" s="115">
        <f t="shared" si="54"/>
        <v>20.620500000000007</v>
      </c>
      <c r="AR166" s="244">
        <f t="shared" si="55"/>
        <v>247.44600000000008</v>
      </c>
      <c r="AS166" s="244" t="str">
        <f>VLOOKUP(B166,'Willie List'!B:M,12,FALSE)</f>
        <v>YES</v>
      </c>
      <c r="AT166" s="244" t="str">
        <f t="shared" si="56"/>
        <v>Standard_D4_v3</v>
      </c>
      <c r="AU166" s="244" t="str">
        <f t="shared" si="57"/>
        <v>D4 v3</v>
      </c>
      <c r="AV166" s="238" t="str">
        <f t="shared" si="58"/>
        <v>F4s v2</v>
      </c>
      <c r="AW166" s="239">
        <f t="shared" si="59"/>
        <v>0</v>
      </c>
    </row>
    <row r="167" spans="1:49" s="238" customFormat="1">
      <c r="A167" s="238" t="s">
        <v>518</v>
      </c>
      <c r="B167" s="101" t="s">
        <v>520</v>
      </c>
      <c r="C167" s="228">
        <f>IFERROR(IF(VLOOKUP(B167,'Willie List'!B:B,1,FALSE) &lt;&gt; "",1,0),0)</f>
        <v>1</v>
      </c>
      <c r="D167" s="228"/>
      <c r="E167" s="101" t="s">
        <v>97</v>
      </c>
      <c r="F167" s="101" t="s">
        <v>417</v>
      </c>
      <c r="G167" s="101" t="s">
        <v>152</v>
      </c>
      <c r="H167" s="101" t="s">
        <v>153</v>
      </c>
      <c r="I167" s="101" t="s">
        <v>154</v>
      </c>
      <c r="J167" s="101" t="s">
        <v>57</v>
      </c>
      <c r="K167" s="228" t="str">
        <f t="shared" si="62"/>
        <v>D4ds v4</v>
      </c>
      <c r="L167" s="228">
        <f>VLOOKUP(K167,'Web-SKUS'!A:E,2,FALSE)</f>
        <v>4</v>
      </c>
      <c r="M167" s="228" t="str">
        <f>VLOOKUP(K167,'Web-SKUS'!A:E,4,FALSE)</f>
        <v>16</v>
      </c>
      <c r="N167" s="101" t="s">
        <v>277</v>
      </c>
      <c r="O167" s="228">
        <v>2</v>
      </c>
      <c r="P167" s="101" t="s">
        <v>157</v>
      </c>
      <c r="Q167" s="101">
        <f>IFERROR(VLOOKUP(B167,PercentCPU!B:F,4,FALSE),"")</f>
        <v>3.6103979949243024</v>
      </c>
      <c r="R167" s="101">
        <f>IFERROR(VLOOKUP(B167,MemoryAvailable!B:F,3,FALSE),"")</f>
        <v>14332.599439577312</v>
      </c>
      <c r="S167" s="229">
        <f t="shared" si="44"/>
        <v>0.12520755373673631</v>
      </c>
      <c r="T167" s="101">
        <f t="shared" si="45"/>
        <v>1</v>
      </c>
      <c r="U167" s="228">
        <f t="shared" si="46"/>
        <v>2</v>
      </c>
      <c r="V167" s="228" t="str">
        <f t="shared" si="47"/>
        <v>F Series</v>
      </c>
      <c r="W167" s="8">
        <f>IFERROR(VLOOKUP(B167,Write_Bytes_ps!B:F,4,FALSE)/1024/1024,"")</f>
        <v>0</v>
      </c>
      <c r="X167" s="8">
        <f>IFERROR(VLOOKUP(B167,Read_Bytes_ps!B:F,4,FALSE)/1024/1024,"")</f>
        <v>0</v>
      </c>
      <c r="Y167" s="8">
        <f>IFERROR(VLOOKUP(B167,Writes_ps!B:F,5,FALSE),"")</f>
        <v>1.3833547448519601</v>
      </c>
      <c r="Z167" s="8">
        <f>IFERROR(VLOOKUP(B167,Reads_ps!B:F,5,FALSE),"")</f>
        <v>2.53327599381341</v>
      </c>
      <c r="AA167" s="230">
        <f t="shared" si="60"/>
        <v>0</v>
      </c>
      <c r="AB167" s="231">
        <f t="shared" si="61"/>
        <v>4</v>
      </c>
      <c r="AC167" s="231" t="str">
        <f t="shared" si="48"/>
        <v>D4ds v4</v>
      </c>
      <c r="AD167" s="228" t="s">
        <v>290</v>
      </c>
      <c r="AE167" s="228">
        <f>IFERROR(VLOOKUP(AD167,'Web-SKUS'!A:E,2,FALSE),"")</f>
        <v>2</v>
      </c>
      <c r="AF167" s="228">
        <f>_xlfn.NUMBERVALUE(IFERROR(VLOOKUP(AD167,'Web-SKUS'!A:E,4,FALSE),""))</f>
        <v>4</v>
      </c>
      <c r="AG167" s="228">
        <f>IFERROR(VLOOKUP(AD167,VM_Performance_Stats!A:G,7,FALSE),0)</f>
        <v>4</v>
      </c>
      <c r="AH167" s="228">
        <f>IFERROR(VLOOKUP(AD167,VM_Performance_Stats!A:I,8,FALSE),"")</f>
        <v>3200</v>
      </c>
      <c r="AI167" s="228">
        <f t="shared" si="49"/>
        <v>1</v>
      </c>
      <c r="AJ167" s="228">
        <f t="shared" si="50"/>
        <v>1</v>
      </c>
      <c r="AK167" s="228">
        <f>IFERROR(IF(VLOOKUP(AD167,VM_Performance_Stats!A:I,8,FALSE)&gt;AB167,1,0),0)</f>
        <v>1</v>
      </c>
      <c r="AL167" t="str">
        <f>IFERROR(VLOOKUP(AD167,'Web-SKUS'!A:G,7,FALSE),"")</f>
        <v>£31.2409/month</v>
      </c>
      <c r="AM167" s="232">
        <f t="shared" si="51"/>
        <v>31.2409</v>
      </c>
      <c r="AN167" t="str">
        <f>IFERROR(IF(C167=1,VLOOKUP(K167,'Web-SKUS'!A:G,7,FALSE),VLOOKUP(K167,'Web-SKUS'!A:G,6,FALSE)),"")</f>
        <v>£87.3242/month</v>
      </c>
      <c r="AO167" s="232">
        <f t="shared" si="52"/>
        <v>87.324200000000005</v>
      </c>
      <c r="AP167" s="232">
        <f t="shared" si="53"/>
        <v>31.2409</v>
      </c>
      <c r="AQ167" s="225">
        <f t="shared" si="54"/>
        <v>56.083300000000008</v>
      </c>
      <c r="AR167" s="244">
        <f t="shared" si="55"/>
        <v>672.9996000000001</v>
      </c>
      <c r="AS167" s="244" t="str">
        <f>VLOOKUP(B167,'Willie List'!B:M,12,FALSE)</f>
        <v>YES</v>
      </c>
      <c r="AT167" s="244" t="str">
        <f t="shared" si="56"/>
        <v>Standard_D4ds_v4</v>
      </c>
      <c r="AU167" s="244" t="str">
        <f t="shared" si="57"/>
        <v>D4ds v4</v>
      </c>
      <c r="AV167" s="238" t="str">
        <f t="shared" si="58"/>
        <v>F2s v2</v>
      </c>
      <c r="AW167" s="239">
        <f t="shared" si="59"/>
        <v>0</v>
      </c>
    </row>
    <row r="168" spans="1:49" s="238" customFormat="1">
      <c r="A168" s="238" t="s">
        <v>518</v>
      </c>
      <c r="B168" t="s">
        <v>521</v>
      </c>
      <c r="C168" s="8">
        <f>IFERROR(IF(VLOOKUP(B168,'Willie List'!B:B,1,FALSE) &lt;&gt; "",1,0),0)</f>
        <v>1</v>
      </c>
      <c r="D168" s="8"/>
      <c r="E168" t="s">
        <v>99</v>
      </c>
      <c r="F168" t="s">
        <v>414</v>
      </c>
      <c r="G168" t="s">
        <v>152</v>
      </c>
      <c r="H168" t="s">
        <v>153</v>
      </c>
      <c r="I168" t="s">
        <v>154</v>
      </c>
      <c r="J168" t="s">
        <v>57</v>
      </c>
      <c r="K168" s="8" t="str">
        <f t="shared" si="62"/>
        <v>D4ds v4</v>
      </c>
      <c r="L168" s="8">
        <f>VLOOKUP(K168,'Web-SKUS'!A:E,2,FALSE)</f>
        <v>4</v>
      </c>
      <c r="M168" s="8" t="str">
        <f>VLOOKUP(K168,'Web-SKUS'!A:E,4,FALSE)</f>
        <v>16</v>
      </c>
      <c r="N168" t="s">
        <v>277</v>
      </c>
      <c r="O168" s="8">
        <v>2</v>
      </c>
      <c r="P168" t="s">
        <v>157</v>
      </c>
      <c r="Q168">
        <f>IFERROR(VLOOKUP(B168,PercentCPU!B:F,4,FALSE),"")</f>
        <v>30.413172995620652</v>
      </c>
      <c r="R168">
        <f>IFERROR(VLOOKUP(B168,MemoryAvailable!B:F,3,FALSE),"")</f>
        <v>9520.0476077355452</v>
      </c>
      <c r="S168" s="2">
        <f t="shared" si="44"/>
        <v>0.41894240675442229</v>
      </c>
      <c r="T168">
        <f t="shared" si="45"/>
        <v>2</v>
      </c>
      <c r="U168" s="8">
        <f t="shared" si="46"/>
        <v>7</v>
      </c>
      <c r="V168" s="8">
        <f t="shared" si="47"/>
        <v>0</v>
      </c>
      <c r="W168" s="8">
        <f>IFERROR(VLOOKUP(B168,Write_Bytes_ps!B:F,4,FALSE)/1024/1024,"")</f>
        <v>0</v>
      </c>
      <c r="X168" s="8">
        <f>IFERROR(VLOOKUP(B168,Read_Bytes_ps!B:F,4,FALSE)/1024/1024,"")</f>
        <v>0</v>
      </c>
      <c r="Y168" s="8">
        <f>IFERROR(VLOOKUP(B168,Writes_ps!B:F,5,FALSE),"")</f>
        <v>0.98140642068206196</v>
      </c>
      <c r="Z168" s="8">
        <f>IFERROR(VLOOKUP(B168,Reads_ps!B:F,5,FALSE),"")</f>
        <v>0.26670792266617299</v>
      </c>
      <c r="AA168" s="120">
        <f t="shared" si="60"/>
        <v>0</v>
      </c>
      <c r="AB168" s="122">
        <f t="shared" si="61"/>
        <v>2</v>
      </c>
      <c r="AC168" s="122" t="str">
        <f t="shared" si="48"/>
        <v>D4ds v4</v>
      </c>
      <c r="AD168" s="8" t="s">
        <v>370</v>
      </c>
      <c r="AE168" s="8">
        <f>IFERROR(VLOOKUP(AD168,'Web-SKUS'!A:E,2,FALSE),"")</f>
        <v>2</v>
      </c>
      <c r="AF168" s="8">
        <f>_xlfn.NUMBERVALUE(IFERROR(VLOOKUP(AD168,'Web-SKUS'!A:E,4,FALSE),""))</f>
        <v>16</v>
      </c>
      <c r="AG168" s="8">
        <f>IFERROR(VLOOKUP(AD168,VM_Performance_Stats!A:G,7,FALSE),0)</f>
        <v>4</v>
      </c>
      <c r="AH168" s="8">
        <f>IFERROR(VLOOKUP(AD168,VM_Performance_Stats!A:I,8,FALSE),"")</f>
        <v>3200</v>
      </c>
      <c r="AI168" s="8">
        <f t="shared" si="49"/>
        <v>1</v>
      </c>
      <c r="AJ168" s="8">
        <f t="shared" si="50"/>
        <v>1</v>
      </c>
      <c r="AK168" s="8">
        <f>IFERROR(IF(VLOOKUP(AD168,VM_Performance_Stats!A:I,8,FALSE)&gt;AB168,1,0),0)</f>
        <v>1</v>
      </c>
      <c r="AL168" t="str">
        <f>IFERROR(VLOOKUP(AD168,'Web-SKUS'!A:G,7,FALSE),"")</f>
        <v>£55.5230/month</v>
      </c>
      <c r="AM168" s="116">
        <f t="shared" si="51"/>
        <v>55.523000000000003</v>
      </c>
      <c r="AN168" t="str">
        <f>IFERROR(IF(C168=1,VLOOKUP(K168,'Web-SKUS'!A:G,7,FALSE),VLOOKUP(K168,'Web-SKUS'!A:G,6,FALSE)),"")</f>
        <v>£87.3242/month</v>
      </c>
      <c r="AO168" s="116">
        <f t="shared" si="52"/>
        <v>87.324200000000005</v>
      </c>
      <c r="AP168" s="116">
        <f t="shared" si="53"/>
        <v>55.523000000000003</v>
      </c>
      <c r="AQ168" s="115">
        <f t="shared" si="54"/>
        <v>31.801200000000001</v>
      </c>
      <c r="AR168" s="244">
        <f t="shared" si="55"/>
        <v>381.61440000000005</v>
      </c>
      <c r="AS168" s="244" t="str">
        <f>VLOOKUP(B168,'Willie List'!B:M,12,FALSE)</f>
        <v>YES</v>
      </c>
      <c r="AT168" s="244" t="str">
        <f t="shared" si="56"/>
        <v>Standard_D4ds_v4</v>
      </c>
      <c r="AU168" s="244" t="str">
        <f t="shared" si="57"/>
        <v>D4ds v4</v>
      </c>
      <c r="AV168" s="238" t="str">
        <f t="shared" si="58"/>
        <v>E2ds v4</v>
      </c>
      <c r="AW168" s="239">
        <f t="shared" si="59"/>
        <v>0</v>
      </c>
    </row>
    <row r="169" spans="1:49" s="238" customFormat="1">
      <c r="A169" s="238" t="s">
        <v>518</v>
      </c>
      <c r="B169" t="s">
        <v>522</v>
      </c>
      <c r="C169" s="8">
        <f>IFERROR(IF(VLOOKUP(B169,'Willie List'!B:B,1,FALSE) &lt;&gt; "",1,0),0)</f>
        <v>1</v>
      </c>
      <c r="D169" s="8"/>
      <c r="E169" t="s">
        <v>99</v>
      </c>
      <c r="F169" t="s">
        <v>477</v>
      </c>
      <c r="G169" t="s">
        <v>152</v>
      </c>
      <c r="H169" t="s">
        <v>153</v>
      </c>
      <c r="I169" t="s">
        <v>276</v>
      </c>
      <c r="J169" t="s">
        <v>56</v>
      </c>
      <c r="K169" s="8" t="str">
        <f t="shared" si="62"/>
        <v>D2ds v4</v>
      </c>
      <c r="L169" s="8">
        <f>VLOOKUP(K169,'Web-SKUS'!A:E,2,FALSE)</f>
        <v>2</v>
      </c>
      <c r="M169" s="8" t="str">
        <f>VLOOKUP(K169,'Web-SKUS'!A:E,4,FALSE)</f>
        <v>8</v>
      </c>
      <c r="N169" t="s">
        <v>277</v>
      </c>
      <c r="O169" s="8">
        <v>2</v>
      </c>
      <c r="P169" t="s">
        <v>157</v>
      </c>
      <c r="Q169">
        <f>IFERROR(VLOOKUP(B169,PercentCPU!B:F,4,FALSE),"")</f>
        <v>10.254593812995818</v>
      </c>
      <c r="R169">
        <f>IFERROR(VLOOKUP(B169,MemoryAvailable!B:F,3,FALSE),"")</f>
        <v>4594.5050262494997</v>
      </c>
      <c r="S169" s="2">
        <f t="shared" si="44"/>
        <v>0.43914733566290287</v>
      </c>
      <c r="T169">
        <f t="shared" si="45"/>
        <v>1</v>
      </c>
      <c r="U169" s="8">
        <f t="shared" si="46"/>
        <v>4</v>
      </c>
      <c r="V169" s="8" t="str">
        <f t="shared" si="47"/>
        <v>D Series</v>
      </c>
      <c r="W169" s="8">
        <f>IFERROR(VLOOKUP(B169,Write_Bytes_ps!B:F,4,FALSE)/1024/1024,"")</f>
        <v>0.18900576798558225</v>
      </c>
      <c r="X169" s="8">
        <f>IFERROR(VLOOKUP(B169,Read_Bytes_ps!B:F,4,FALSE)/1024/1024,"")</f>
        <v>9.2562223901809362E-2</v>
      </c>
      <c r="Y169" s="8">
        <f>IFERROR(VLOOKUP(B169,Writes_ps!B:F,5,FALSE),"")</f>
        <v>388.40695190429699</v>
      </c>
      <c r="Z169" s="8">
        <f>IFERROR(VLOOKUP(B169,Reads_ps!B:F,5,FALSE),"")</f>
        <v>1102.1474609375</v>
      </c>
      <c r="AA169" s="120">
        <f t="shared" si="60"/>
        <v>0.28156799188739162</v>
      </c>
      <c r="AB169" s="122">
        <f t="shared" si="61"/>
        <v>1491</v>
      </c>
      <c r="AC169" s="122" t="str">
        <f t="shared" si="48"/>
        <v>D2ds v4</v>
      </c>
      <c r="AD169" s="8" t="s">
        <v>290</v>
      </c>
      <c r="AE169" s="8">
        <f>IFERROR(VLOOKUP(AD169,'Web-SKUS'!A:E,2,FALSE),"")</f>
        <v>2</v>
      </c>
      <c r="AF169" s="8">
        <f>_xlfn.NUMBERVALUE(IFERROR(VLOOKUP(AD169,'Web-SKUS'!A:E,4,FALSE),""))</f>
        <v>4</v>
      </c>
      <c r="AG169" s="8">
        <f>IFERROR(VLOOKUP(AD169,VM_Performance_Stats!A:G,7,FALSE),0)</f>
        <v>4</v>
      </c>
      <c r="AH169" s="8">
        <f>IFERROR(VLOOKUP(AD169,VM_Performance_Stats!A:I,8,FALSE),"")</f>
        <v>3200</v>
      </c>
      <c r="AI169" s="8">
        <f t="shared" si="49"/>
        <v>1</v>
      </c>
      <c r="AJ169" s="8">
        <f t="shared" si="50"/>
        <v>1</v>
      </c>
      <c r="AK169" s="8">
        <f>IFERROR(IF(VLOOKUP(AD169,VM_Performance_Stats!A:I,8,FALSE)&gt;AB169,1,0),0)</f>
        <v>1</v>
      </c>
      <c r="AL169" t="str">
        <f>IFERROR(VLOOKUP(AD169,'Web-SKUS'!A:G,7,FALSE),"")</f>
        <v>£31.2409/month</v>
      </c>
      <c r="AM169" s="116">
        <f t="shared" si="51"/>
        <v>31.2409</v>
      </c>
      <c r="AN169" t="str">
        <f>IFERROR(IF(C169=1,VLOOKUP(K169,'Web-SKUS'!A:G,7,FALSE),VLOOKUP(K169,'Web-SKUS'!A:G,6,FALSE)),"")</f>
        <v>£43.6621/month</v>
      </c>
      <c r="AO169" s="116">
        <f t="shared" si="52"/>
        <v>43.662100000000002</v>
      </c>
      <c r="AP169" s="116">
        <f t="shared" si="53"/>
        <v>31.2409</v>
      </c>
      <c r="AQ169" s="115">
        <f t="shared" si="54"/>
        <v>12.421200000000002</v>
      </c>
      <c r="AR169" s="244">
        <f t="shared" si="55"/>
        <v>149.05440000000004</v>
      </c>
      <c r="AS169" s="244" t="str">
        <f>VLOOKUP(B169,'Willie List'!B:M,12,FALSE)</f>
        <v>YES</v>
      </c>
      <c r="AT169" s="244" t="str">
        <f t="shared" si="56"/>
        <v>Standard_D2ds_v4</v>
      </c>
      <c r="AU169" s="244" t="str">
        <f t="shared" si="57"/>
        <v>D2ds v4</v>
      </c>
      <c r="AV169" s="238" t="str">
        <f t="shared" si="58"/>
        <v>F2s v2</v>
      </c>
      <c r="AW169" s="239">
        <f t="shared" si="59"/>
        <v>0</v>
      </c>
    </row>
    <row r="170" spans="1:49" s="238" customFormat="1">
      <c r="A170" s="238" t="s">
        <v>518</v>
      </c>
      <c r="B170" t="s">
        <v>523</v>
      </c>
      <c r="C170" s="8">
        <f>IFERROR(IF(VLOOKUP(B170,'Willie List'!B:B,1,FALSE) &lt;&gt; "",1,0),0)</f>
        <v>1</v>
      </c>
      <c r="D170" s="8"/>
      <c r="E170" t="s">
        <v>99</v>
      </c>
      <c r="F170" t="s">
        <v>480</v>
      </c>
      <c r="G170" t="s">
        <v>152</v>
      </c>
      <c r="H170" t="s">
        <v>153</v>
      </c>
      <c r="I170" t="s">
        <v>276</v>
      </c>
      <c r="J170" t="s">
        <v>56</v>
      </c>
      <c r="K170" s="8" t="str">
        <f t="shared" si="62"/>
        <v>D2ds v4</v>
      </c>
      <c r="L170" s="8">
        <f>VLOOKUP(K170,'Web-SKUS'!A:E,2,FALSE)</f>
        <v>2</v>
      </c>
      <c r="M170" s="8" t="str">
        <f>VLOOKUP(K170,'Web-SKUS'!A:E,4,FALSE)</f>
        <v>8</v>
      </c>
      <c r="N170" t="s">
        <v>277</v>
      </c>
      <c r="O170" s="8">
        <v>1</v>
      </c>
      <c r="P170" t="s">
        <v>157</v>
      </c>
      <c r="Q170">
        <f>IFERROR(VLOOKUP(B170,PercentCPU!B:F,4,FALSE),"")</f>
        <v>4.4664190298947339</v>
      </c>
      <c r="R170">
        <f>IFERROR(VLOOKUP(B170,MemoryAvailable!B:F,3,FALSE),"")</f>
        <v>5714.5272478922334</v>
      </c>
      <c r="S170" s="2">
        <f t="shared" si="44"/>
        <v>0.3024258730600301</v>
      </c>
      <c r="T170">
        <f t="shared" si="45"/>
        <v>1</v>
      </c>
      <c r="U170" s="8">
        <f t="shared" si="46"/>
        <v>2</v>
      </c>
      <c r="V170" s="8" t="str">
        <f t="shared" si="47"/>
        <v>F Series</v>
      </c>
      <c r="W170" s="8">
        <f>IFERROR(VLOOKUP(B170,Write_Bytes_ps!B:F,4,FALSE)/1024/1024,"")</f>
        <v>0.16363319087682571</v>
      </c>
      <c r="X170" s="8">
        <f>IFERROR(VLOOKUP(B170,Read_Bytes_ps!B:F,4,FALSE)/1024/1024,"")</f>
        <v>0.393760434467473</v>
      </c>
      <c r="Y170" s="8">
        <f>IFERROR(VLOOKUP(B170,Writes_ps!B:F,5,FALSE),"")</f>
        <v>138.03062438964801</v>
      </c>
      <c r="Z170" s="8">
        <f>IFERROR(VLOOKUP(B170,Reads_ps!B:F,5,FALSE),"")</f>
        <v>746.73712158203102</v>
      </c>
      <c r="AA170" s="120">
        <f t="shared" si="60"/>
        <v>0.5573936253442987</v>
      </c>
      <c r="AB170" s="122">
        <f t="shared" si="61"/>
        <v>885</v>
      </c>
      <c r="AC170" s="122" t="str">
        <f t="shared" si="48"/>
        <v>D2ds v4</v>
      </c>
      <c r="AD170" s="8" t="s">
        <v>290</v>
      </c>
      <c r="AE170" s="8">
        <f>IFERROR(VLOOKUP(AD170,'Web-SKUS'!A:E,2,FALSE),"")</f>
        <v>2</v>
      </c>
      <c r="AF170" s="8">
        <f>_xlfn.NUMBERVALUE(IFERROR(VLOOKUP(AD170,'Web-SKUS'!A:E,4,FALSE),""))</f>
        <v>4</v>
      </c>
      <c r="AG170" s="8">
        <f>IFERROR(VLOOKUP(AD170,VM_Performance_Stats!A:G,7,FALSE),0)</f>
        <v>4</v>
      </c>
      <c r="AH170" s="8">
        <f>IFERROR(VLOOKUP(AD170,VM_Performance_Stats!A:I,8,FALSE),"")</f>
        <v>3200</v>
      </c>
      <c r="AI170" s="8">
        <f t="shared" si="49"/>
        <v>1</v>
      </c>
      <c r="AJ170" s="8">
        <f t="shared" si="50"/>
        <v>1</v>
      </c>
      <c r="AK170" s="8">
        <f>IFERROR(IF(VLOOKUP(AD170,VM_Performance_Stats!A:I,8,FALSE)&gt;AB170,1,0),0)</f>
        <v>1</v>
      </c>
      <c r="AL170" t="str">
        <f>IFERROR(VLOOKUP(AD170,'Web-SKUS'!A:G,7,FALSE),"")</f>
        <v>£31.2409/month</v>
      </c>
      <c r="AM170" s="116">
        <f t="shared" si="51"/>
        <v>31.2409</v>
      </c>
      <c r="AN170" t="str">
        <f>IFERROR(IF(C170=1,VLOOKUP(K170,'Web-SKUS'!A:G,7,FALSE),VLOOKUP(K170,'Web-SKUS'!A:G,6,FALSE)),"")</f>
        <v>£43.6621/month</v>
      </c>
      <c r="AO170" s="116">
        <f t="shared" si="52"/>
        <v>43.662100000000002</v>
      </c>
      <c r="AP170" s="116">
        <f t="shared" si="53"/>
        <v>31.2409</v>
      </c>
      <c r="AQ170" s="115">
        <f t="shared" si="54"/>
        <v>12.421200000000002</v>
      </c>
      <c r="AR170" s="244">
        <f t="shared" si="55"/>
        <v>149.05440000000004</v>
      </c>
      <c r="AS170" s="244" t="str">
        <f>VLOOKUP(B170,'Willie List'!B:M,12,FALSE)</f>
        <v>YES</v>
      </c>
      <c r="AT170" s="244" t="str">
        <f t="shared" si="56"/>
        <v>Standard_D2ds_v4</v>
      </c>
      <c r="AU170" s="244" t="str">
        <f t="shared" si="57"/>
        <v>D2ds v4</v>
      </c>
      <c r="AV170" s="238" t="str">
        <f t="shared" si="58"/>
        <v>F2s v2</v>
      </c>
      <c r="AW170" s="239">
        <f t="shared" si="59"/>
        <v>0</v>
      </c>
    </row>
    <row r="171" spans="1:49" s="245" customFormat="1">
      <c r="A171" s="245" t="s">
        <v>511</v>
      </c>
      <c r="B171" t="s">
        <v>524</v>
      </c>
      <c r="C171" s="8">
        <f>IFERROR(IF(VLOOKUP(B171,'Willie List'!B:B,1,FALSE) &lt;&gt; "",1,0),0)</f>
        <v>1</v>
      </c>
      <c r="D171" s="8"/>
      <c r="E171" t="s">
        <v>99</v>
      </c>
      <c r="F171" t="s">
        <v>496</v>
      </c>
      <c r="G171" t="s">
        <v>152</v>
      </c>
      <c r="H171" t="s">
        <v>153</v>
      </c>
      <c r="I171" t="s">
        <v>276</v>
      </c>
      <c r="J171" t="s">
        <v>43</v>
      </c>
      <c r="K171" s="8" t="str">
        <f t="shared" si="62"/>
        <v>D4 v3</v>
      </c>
      <c r="L171" s="8">
        <f>VLOOKUP(K171,'Web-SKUS'!A:E,2,FALSE)</f>
        <v>4</v>
      </c>
      <c r="M171" s="8" t="str">
        <f>VLOOKUP(K171,'Web-SKUS'!A:E,4,FALSE)</f>
        <v>16</v>
      </c>
      <c r="N171" t="s">
        <v>277</v>
      </c>
      <c r="O171" s="8">
        <v>2</v>
      </c>
      <c r="P171" t="s">
        <v>157</v>
      </c>
      <c r="Q171">
        <f>IFERROR(VLOOKUP(B171,PercentCPU!B:F,4,FALSE),"")</f>
        <v>10.130969551396289</v>
      </c>
      <c r="R171">
        <f>IFERROR(VLOOKUP(B171,MemoryAvailable!B:F,3,FALSE),"")</f>
        <v>10856.249705313781</v>
      </c>
      <c r="S171" s="2">
        <f t="shared" si="44"/>
        <v>0.3373871029471569</v>
      </c>
      <c r="T171">
        <f t="shared" si="45"/>
        <v>1</v>
      </c>
      <c r="U171" s="8">
        <f t="shared" si="46"/>
        <v>5</v>
      </c>
      <c r="V171" s="8">
        <f t="shared" si="47"/>
        <v>0</v>
      </c>
      <c r="W171" s="8">
        <f>IFERROR(VLOOKUP(B171,Write_Bytes_ps!B:F,4,FALSE)/1024/1024,"")</f>
        <v>0.21097966381699829</v>
      </c>
      <c r="X171" s="8">
        <f>IFERROR(VLOOKUP(B171,Read_Bytes_ps!B:F,4,FALSE)/1024/1024,"")</f>
        <v>0.41282283475939086</v>
      </c>
      <c r="Y171" s="8">
        <f>IFERROR(VLOOKUP(B171,Writes_ps!B:F,5,FALSE),"")</f>
        <v>162.15150451660199</v>
      </c>
      <c r="Z171" s="8">
        <f>IFERROR(VLOOKUP(B171,Reads_ps!B:F,5,FALSE),"")</f>
        <v>258.655517578125</v>
      </c>
      <c r="AA171" s="120">
        <f t="shared" si="60"/>
        <v>0.62380249857638914</v>
      </c>
      <c r="AB171" s="122">
        <f t="shared" si="61"/>
        <v>421</v>
      </c>
      <c r="AC171" s="122" t="str">
        <f t="shared" si="48"/>
        <v>D4 v3</v>
      </c>
      <c r="AD171" s="8" t="s">
        <v>412</v>
      </c>
      <c r="AE171" s="8">
        <f>IFERROR(VLOOKUP(AD171,'Web-SKUS'!A:E,2,FALSE),"")</f>
        <v>2</v>
      </c>
      <c r="AF171" s="8">
        <f>_xlfn.NUMBERVALUE(IFERROR(VLOOKUP(AD171,'Web-SKUS'!A:E,4,FALSE),""))</f>
        <v>8</v>
      </c>
      <c r="AG171" s="8">
        <f>IFERROR(VLOOKUP(AD171,VM_Performance_Stats!A:G,7,FALSE),0)</f>
        <v>4</v>
      </c>
      <c r="AH171" s="8">
        <f>IFERROR(VLOOKUP(AD171,VM_Performance_Stats!A:I,8,FALSE),"")</f>
        <v>3200</v>
      </c>
      <c r="AI171" s="8">
        <f t="shared" si="49"/>
        <v>1</v>
      </c>
      <c r="AJ171" s="8">
        <f t="shared" si="50"/>
        <v>1</v>
      </c>
      <c r="AK171" s="8">
        <f>IFERROR(IF(VLOOKUP(AD171,VM_Performance_Stats!A:I,8,FALSE)&gt;AB171,1,0),0)</f>
        <v>1</v>
      </c>
      <c r="AL171" t="str">
        <f>IFERROR(VLOOKUP(AD171,'Web-SKUS'!A:G,7,FALSE),"")</f>
        <v>£43.6621/month</v>
      </c>
      <c r="AM171" s="116">
        <f t="shared" si="51"/>
        <v>43.662100000000002</v>
      </c>
      <c r="AN171" t="str">
        <f>IFERROR(IF(C171=1,VLOOKUP(K171,'Web-SKUS'!A:G,7,FALSE),VLOOKUP(K171,'Web-SKUS'!A:G,6,FALSE)),"")</f>
        <v>£83.1620/month</v>
      </c>
      <c r="AO171" s="116">
        <f t="shared" si="52"/>
        <v>83.162000000000006</v>
      </c>
      <c r="AP171" s="116">
        <f t="shared" si="53"/>
        <v>43.662100000000002</v>
      </c>
      <c r="AQ171" s="115">
        <f t="shared" si="54"/>
        <v>39.499900000000004</v>
      </c>
      <c r="AR171" s="251">
        <f t="shared" si="55"/>
        <v>473.99880000000007</v>
      </c>
      <c r="AS171" s="251" t="str">
        <f>VLOOKUP(B171,'Willie List'!B:M,12,FALSE)</f>
        <v>YES</v>
      </c>
      <c r="AT171" s="251" t="str">
        <f t="shared" si="56"/>
        <v>Standard_D4_v3</v>
      </c>
      <c r="AU171" s="251" t="str">
        <f t="shared" si="57"/>
        <v>D4 v3</v>
      </c>
      <c r="AV171" s="245" t="str">
        <f t="shared" si="58"/>
        <v>D2ds v4</v>
      </c>
      <c r="AW171" s="246">
        <f t="shared" si="59"/>
        <v>0</v>
      </c>
    </row>
    <row r="172" spans="1:49" s="238" customFormat="1">
      <c r="A172" s="238" t="s">
        <v>525</v>
      </c>
      <c r="B172" s="101" t="s">
        <v>526</v>
      </c>
      <c r="C172" s="228">
        <f>IFERROR(IF(VLOOKUP(B172,'Willie List'!B:B,1,FALSE) &lt;&gt; "",1,0),0)</f>
        <v>1</v>
      </c>
      <c r="D172" s="228"/>
      <c r="E172" s="101" t="s">
        <v>97</v>
      </c>
      <c r="F172" s="101" t="s">
        <v>527</v>
      </c>
      <c r="G172" s="101" t="s">
        <v>152</v>
      </c>
      <c r="H172" s="101" t="s">
        <v>153</v>
      </c>
      <c r="I172" s="101" t="s">
        <v>276</v>
      </c>
      <c r="J172" s="101" t="s">
        <v>41</v>
      </c>
      <c r="K172" s="228" t="str">
        <f t="shared" si="62"/>
        <v>D2 v3</v>
      </c>
      <c r="L172" s="228">
        <f>VLOOKUP(K172,'Web-SKUS'!A:E,2,FALSE)</f>
        <v>2</v>
      </c>
      <c r="M172" s="228" t="str">
        <f>VLOOKUP(K172,'Web-SKUS'!A:E,4,FALSE)</f>
        <v>8</v>
      </c>
      <c r="N172" s="101" t="s">
        <v>277</v>
      </c>
      <c r="O172" s="228">
        <v>2</v>
      </c>
      <c r="P172" s="101" t="s">
        <v>157</v>
      </c>
      <c r="Q172" s="101">
        <f>IFERROR(VLOOKUP(B172,PercentCPU!B:F,4,FALSE),"")</f>
        <v>91.915094731251415</v>
      </c>
      <c r="R172" s="101">
        <f>IFERROR(VLOOKUP(B172,MemoryAvailable!B:F,3,FALSE),"")</f>
        <v>4461.3521902494804</v>
      </c>
      <c r="S172" s="229">
        <f t="shared" si="44"/>
        <v>0.45540134396368648</v>
      </c>
      <c r="T172" s="101">
        <f t="shared" si="45"/>
        <v>2</v>
      </c>
      <c r="U172" s="228">
        <f t="shared" si="46"/>
        <v>4</v>
      </c>
      <c r="V172" s="228" t="str">
        <f t="shared" si="47"/>
        <v>F Series</v>
      </c>
      <c r="W172" s="8">
        <f>IFERROR(VLOOKUP(B172,Write_Bytes_ps!B:F,4,FALSE)/1024/1024,"")</f>
        <v>0.40621872187562474</v>
      </c>
      <c r="X172" s="8">
        <f>IFERROR(VLOOKUP(B172,Read_Bytes_ps!B:F,4,FALSE)/1024/1024,"")</f>
        <v>6.4257669807531947E-2</v>
      </c>
      <c r="Y172" s="8">
        <f>IFERROR(VLOOKUP(B172,Writes_ps!B:F,5,FALSE),"")</f>
        <v>510.63098144531301</v>
      </c>
      <c r="Z172" s="8">
        <f>IFERROR(VLOOKUP(B172,Reads_ps!B:F,5,FALSE),"")</f>
        <v>450.63265991210898</v>
      </c>
      <c r="AA172" s="230">
        <f t="shared" si="60"/>
        <v>0.47047639168315669</v>
      </c>
      <c r="AB172" s="231">
        <f t="shared" si="61"/>
        <v>962</v>
      </c>
      <c r="AC172" s="231" t="str">
        <f t="shared" si="48"/>
        <v>D2 v3</v>
      </c>
      <c r="AD172" s="228" t="s">
        <v>290</v>
      </c>
      <c r="AE172" s="228">
        <f>IFERROR(VLOOKUP(AD172,'Web-SKUS'!A:E,2,FALSE),"")</f>
        <v>2</v>
      </c>
      <c r="AF172" s="228">
        <f>_xlfn.NUMBERVALUE(IFERROR(VLOOKUP(AD172,'Web-SKUS'!A:E,4,FALSE),""))</f>
        <v>4</v>
      </c>
      <c r="AG172" s="228">
        <f>IFERROR(VLOOKUP(AD172,VM_Performance_Stats!A:G,7,FALSE),0)</f>
        <v>4</v>
      </c>
      <c r="AH172" s="228">
        <f>IFERROR(VLOOKUP(AD172,VM_Performance_Stats!A:I,8,FALSE),"")</f>
        <v>3200</v>
      </c>
      <c r="AI172" s="228">
        <f t="shared" si="49"/>
        <v>1</v>
      </c>
      <c r="AJ172" s="228">
        <f t="shared" si="50"/>
        <v>1</v>
      </c>
      <c r="AK172" s="228">
        <f>IFERROR(IF(VLOOKUP(AD172,VM_Performance_Stats!A:I,8,FALSE)&gt;AB172,1,0),0)</f>
        <v>1</v>
      </c>
      <c r="AL172" t="str">
        <f>IFERROR(VLOOKUP(AD172,'Web-SKUS'!A:G,7,FALSE),"")</f>
        <v>£31.2409/month</v>
      </c>
      <c r="AM172" s="232">
        <f t="shared" si="51"/>
        <v>31.2409</v>
      </c>
      <c r="AN172" t="str">
        <f>IFERROR(IF(C172=1,VLOOKUP(K172,'Web-SKUS'!A:G,7,FALSE),VLOOKUP(K172,'Web-SKUS'!A:G,6,FALSE)),"")</f>
        <v>£41.6109/month</v>
      </c>
      <c r="AO172" s="232">
        <f t="shared" si="52"/>
        <v>41.610900000000001</v>
      </c>
      <c r="AP172" s="232">
        <f t="shared" si="53"/>
        <v>31.2409</v>
      </c>
      <c r="AQ172" s="225">
        <f t="shared" si="54"/>
        <v>10.370000000000001</v>
      </c>
      <c r="AR172" s="244">
        <f t="shared" si="55"/>
        <v>124.44000000000001</v>
      </c>
      <c r="AS172" s="244" t="str">
        <f>VLOOKUP(B172,'Willie List'!B:M,12,FALSE)</f>
        <v>YES</v>
      </c>
      <c r="AT172" s="244" t="str">
        <f t="shared" si="56"/>
        <v>Standard_D2_v3</v>
      </c>
      <c r="AU172" s="244" t="str">
        <f t="shared" si="57"/>
        <v>D2 v3</v>
      </c>
      <c r="AV172" s="238" t="str">
        <f t="shared" si="58"/>
        <v>F2s v2</v>
      </c>
      <c r="AW172" s="239">
        <f t="shared" si="59"/>
        <v>0</v>
      </c>
    </row>
    <row r="173" spans="1:49" s="80" customFormat="1">
      <c r="A173" s="80" t="s">
        <v>528</v>
      </c>
      <c r="B173" t="s">
        <v>529</v>
      </c>
      <c r="C173" s="8">
        <f>IFERROR(IF(VLOOKUP(B173,'Willie List'!B:B,1,FALSE) &lt;&gt; "",1,0),0)</f>
        <v>1</v>
      </c>
      <c r="D173" s="8"/>
      <c r="E173" t="s">
        <v>99</v>
      </c>
      <c r="F173" t="s">
        <v>477</v>
      </c>
      <c r="G173" t="s">
        <v>152</v>
      </c>
      <c r="H173" t="s">
        <v>153</v>
      </c>
      <c r="I173" t="s">
        <v>276</v>
      </c>
      <c r="J173" t="s">
        <v>56</v>
      </c>
      <c r="K173" s="8" t="str">
        <f t="shared" si="62"/>
        <v>D2ds v4</v>
      </c>
      <c r="L173" s="8">
        <f>VLOOKUP(K173,'Web-SKUS'!A:E,2,FALSE)</f>
        <v>2</v>
      </c>
      <c r="M173" s="8" t="str">
        <f>VLOOKUP(K173,'Web-SKUS'!A:E,4,FALSE)</f>
        <v>8</v>
      </c>
      <c r="N173" t="s">
        <v>277</v>
      </c>
      <c r="O173" s="8">
        <v>2</v>
      </c>
      <c r="P173" t="s">
        <v>157</v>
      </c>
      <c r="Q173">
        <f>IFERROR(VLOOKUP(B173,PercentCPU!B:F,4,FALSE),"")</f>
        <v>55.888190319975465</v>
      </c>
      <c r="R173">
        <f>IFERROR(VLOOKUP(B173,MemoryAvailable!B:F,3,FALSE),"")</f>
        <v>3848.6427864681491</v>
      </c>
      <c r="S173" s="2">
        <f t="shared" si="44"/>
        <v>0.53019497235496227</v>
      </c>
      <c r="T173">
        <f t="shared" si="45"/>
        <v>2</v>
      </c>
      <c r="U173" s="8">
        <f t="shared" si="46"/>
        <v>4</v>
      </c>
      <c r="V173" s="8" t="str">
        <f t="shared" si="47"/>
        <v>F Series</v>
      </c>
      <c r="W173" s="8">
        <f>IFERROR(VLOOKUP(B173,Write_Bytes_ps!B:F,4,FALSE)/1024/1024,"")</f>
        <v>1.0811160543970297</v>
      </c>
      <c r="X173" s="8">
        <f>IFERROR(VLOOKUP(B173,Read_Bytes_ps!B:F,4,FALSE)/1024/1024,"")</f>
        <v>0.18253481063803345</v>
      </c>
      <c r="Y173" s="8">
        <f>IFERROR(VLOOKUP(B173,Writes_ps!B:F,5,FALSE),"")</f>
        <v>458.42739868164102</v>
      </c>
      <c r="Z173" s="8">
        <f>IFERROR(VLOOKUP(B173,Reads_ps!B:F,5,FALSE),"")</f>
        <v>1056.94653320313</v>
      </c>
      <c r="AA173" s="120">
        <f t="shared" si="60"/>
        <v>1.2636508650350633</v>
      </c>
      <c r="AB173" s="122">
        <f t="shared" si="61"/>
        <v>1516</v>
      </c>
      <c r="AC173" s="122" t="str">
        <f t="shared" si="48"/>
        <v>D2ds v4</v>
      </c>
      <c r="AD173" s="8" t="s">
        <v>290</v>
      </c>
      <c r="AE173" s="8">
        <f>IFERROR(VLOOKUP(AD173,'Web-SKUS'!A:E,2,FALSE),"")</f>
        <v>2</v>
      </c>
      <c r="AF173" s="8">
        <f>_xlfn.NUMBERVALUE(IFERROR(VLOOKUP(AD173,'Web-SKUS'!A:E,4,FALSE),""))</f>
        <v>4</v>
      </c>
      <c r="AG173" s="8">
        <f>IFERROR(VLOOKUP(AD173,VM_Performance_Stats!A:G,7,FALSE),0)</f>
        <v>4</v>
      </c>
      <c r="AH173" s="8">
        <f>IFERROR(VLOOKUP(AD173,VM_Performance_Stats!A:I,8,FALSE),"")</f>
        <v>3200</v>
      </c>
      <c r="AI173" s="8">
        <f t="shared" si="49"/>
        <v>1</v>
      </c>
      <c r="AJ173" s="8">
        <f t="shared" si="50"/>
        <v>1</v>
      </c>
      <c r="AK173" s="8">
        <f>IFERROR(IF(VLOOKUP(AD173,VM_Performance_Stats!A:I,8,FALSE)&gt;AB173,1,0),0)</f>
        <v>1</v>
      </c>
      <c r="AL173" t="str">
        <f>IFERROR(VLOOKUP(AD173,'Web-SKUS'!A:G,7,FALSE),"")</f>
        <v>£31.2409/month</v>
      </c>
      <c r="AM173" s="116">
        <f t="shared" si="51"/>
        <v>31.2409</v>
      </c>
      <c r="AN173" t="str">
        <f>IFERROR(IF(C173=1,VLOOKUP(K173,'Web-SKUS'!A:G,7,FALSE),VLOOKUP(K173,'Web-SKUS'!A:G,6,FALSE)),"")</f>
        <v>£43.6621/month</v>
      </c>
      <c r="AO173" s="116">
        <f t="shared" si="52"/>
        <v>43.662100000000002</v>
      </c>
      <c r="AP173" s="116">
        <f t="shared" si="53"/>
        <v>31.2409</v>
      </c>
      <c r="AQ173" s="115">
        <f t="shared" si="54"/>
        <v>12.421200000000002</v>
      </c>
      <c r="AR173" s="257">
        <f t="shared" si="55"/>
        <v>149.05440000000004</v>
      </c>
      <c r="AS173" s="257" t="str">
        <f>VLOOKUP(B173,'Willie List'!B:M,12,FALSE)</f>
        <v>YES</v>
      </c>
      <c r="AT173" s="257" t="str">
        <f t="shared" si="56"/>
        <v>Standard_D2ds_v4</v>
      </c>
      <c r="AU173" s="257" t="str">
        <f t="shared" si="57"/>
        <v>D2ds v4</v>
      </c>
      <c r="AV173" s="80" t="str">
        <f t="shared" si="58"/>
        <v>F2s v2</v>
      </c>
      <c r="AW173" s="252">
        <f t="shared" si="59"/>
        <v>0</v>
      </c>
    </row>
    <row r="174" spans="1:49" s="245" customFormat="1">
      <c r="A174" s="245" t="s">
        <v>487</v>
      </c>
      <c r="B174" t="s">
        <v>530</v>
      </c>
      <c r="C174" s="8">
        <f>IFERROR(IF(VLOOKUP(B174,'Willie List'!B:B,1,FALSE) &lt;&gt; "",1,0),0)</f>
        <v>1</v>
      </c>
      <c r="D174" s="8"/>
      <c r="E174" t="s">
        <v>99</v>
      </c>
      <c r="F174" t="s">
        <v>480</v>
      </c>
      <c r="G174" t="s">
        <v>152</v>
      </c>
      <c r="H174" t="s">
        <v>153</v>
      </c>
      <c r="I174" t="s">
        <v>276</v>
      </c>
      <c r="J174" t="s">
        <v>56</v>
      </c>
      <c r="K174" s="8" t="str">
        <f t="shared" si="62"/>
        <v>D2ds v4</v>
      </c>
      <c r="L174" s="8">
        <f>VLOOKUP(K174,'Web-SKUS'!A:E,2,FALSE)</f>
        <v>2</v>
      </c>
      <c r="M174" s="8" t="str">
        <f>VLOOKUP(K174,'Web-SKUS'!A:E,4,FALSE)</f>
        <v>8</v>
      </c>
      <c r="N174" t="s">
        <v>277</v>
      </c>
      <c r="O174" s="8">
        <v>1</v>
      </c>
      <c r="P174" t="s">
        <v>157</v>
      </c>
      <c r="Q174">
        <f>IFERROR(VLOOKUP(B174,PercentCPU!B:F,4,FALSE),"")</f>
        <v>4.0734213674985451</v>
      </c>
      <c r="R174">
        <f>IFERROR(VLOOKUP(B174,MemoryAvailable!B:F,3,FALSE),"")</f>
        <v>5810.4594550036509</v>
      </c>
      <c r="S174" s="2">
        <f t="shared" si="44"/>
        <v>0.29071539855912465</v>
      </c>
      <c r="T174">
        <f t="shared" si="45"/>
        <v>1</v>
      </c>
      <c r="U174" s="8">
        <f t="shared" si="46"/>
        <v>2</v>
      </c>
      <c r="V174" s="8" t="str">
        <f t="shared" si="47"/>
        <v>F Series</v>
      </c>
      <c r="W174" s="8">
        <f>IFERROR(VLOOKUP(B174,Write_Bytes_ps!B:F,4,FALSE)/1024/1024,"")</f>
        <v>0.16113128089242515</v>
      </c>
      <c r="X174" s="8">
        <f>IFERROR(VLOOKUP(B174,Read_Bytes_ps!B:F,4,FALSE)/1024/1024,"")</f>
        <v>0.39385986679389001</v>
      </c>
      <c r="Y174" s="8">
        <f>IFERROR(VLOOKUP(B174,Writes_ps!B:F,5,FALSE),"")</f>
        <v>98.108459472656307</v>
      </c>
      <c r="Z174" s="8">
        <f>IFERROR(VLOOKUP(B174,Reads_ps!B:F,5,FALSE),"")</f>
        <v>198.08207702636699</v>
      </c>
      <c r="AA174" s="120">
        <f t="shared" si="60"/>
        <v>0.55499114768631519</v>
      </c>
      <c r="AB174" s="122">
        <f t="shared" si="61"/>
        <v>297</v>
      </c>
      <c r="AC174" s="122" t="str">
        <f t="shared" si="48"/>
        <v>D2ds v4</v>
      </c>
      <c r="AD174" s="8" t="s">
        <v>290</v>
      </c>
      <c r="AE174" s="8">
        <f>IFERROR(VLOOKUP(AD174,'Web-SKUS'!A:E,2,FALSE),"")</f>
        <v>2</v>
      </c>
      <c r="AF174" s="8">
        <f>_xlfn.NUMBERVALUE(IFERROR(VLOOKUP(AD174,'Web-SKUS'!A:E,4,FALSE),""))</f>
        <v>4</v>
      </c>
      <c r="AG174" s="8">
        <f>IFERROR(VLOOKUP(AD174,VM_Performance_Stats!A:G,7,FALSE),0)</f>
        <v>4</v>
      </c>
      <c r="AH174" s="8">
        <f>IFERROR(VLOOKUP(AD174,VM_Performance_Stats!A:I,8,FALSE),"")</f>
        <v>3200</v>
      </c>
      <c r="AI174" s="8">
        <f t="shared" si="49"/>
        <v>1</v>
      </c>
      <c r="AJ174" s="8">
        <f t="shared" si="50"/>
        <v>1</v>
      </c>
      <c r="AK174" s="8">
        <f>IFERROR(IF(VLOOKUP(AD174,VM_Performance_Stats!A:I,8,FALSE)&gt;AB174,1,0),0)</f>
        <v>1</v>
      </c>
      <c r="AL174" t="str">
        <f>IFERROR(VLOOKUP(AD174,'Web-SKUS'!A:G,7,FALSE),"")</f>
        <v>£31.2409/month</v>
      </c>
      <c r="AM174" s="116">
        <f t="shared" si="51"/>
        <v>31.2409</v>
      </c>
      <c r="AN174" t="str">
        <f>IFERROR(IF(C174=1,VLOOKUP(K174,'Web-SKUS'!A:G,7,FALSE),VLOOKUP(K174,'Web-SKUS'!A:G,6,FALSE)),"")</f>
        <v>£43.6621/month</v>
      </c>
      <c r="AO174" s="116">
        <f t="shared" si="52"/>
        <v>43.662100000000002</v>
      </c>
      <c r="AP174" s="116">
        <f t="shared" si="53"/>
        <v>31.2409</v>
      </c>
      <c r="AQ174" s="115">
        <f t="shared" si="54"/>
        <v>12.421200000000002</v>
      </c>
      <c r="AR174" s="251">
        <f t="shared" si="55"/>
        <v>149.05440000000004</v>
      </c>
      <c r="AS174" s="251" t="str">
        <f>VLOOKUP(B174,'Willie List'!B:M,12,FALSE)</f>
        <v>YES</v>
      </c>
      <c r="AT174" s="251" t="str">
        <f t="shared" si="56"/>
        <v>Standard_D2ds_v4</v>
      </c>
      <c r="AU174" s="251" t="str">
        <f t="shared" si="57"/>
        <v>D2ds v4</v>
      </c>
      <c r="AV174" s="245" t="str">
        <f t="shared" si="58"/>
        <v>F2s v2</v>
      </c>
      <c r="AW174" s="246">
        <f t="shared" si="59"/>
        <v>0</v>
      </c>
    </row>
    <row r="175" spans="1:49" s="238" customFormat="1">
      <c r="A175" s="238" t="s">
        <v>531</v>
      </c>
      <c r="B175" t="s">
        <v>532</v>
      </c>
      <c r="C175" s="8">
        <f>IFERROR(IF(VLOOKUP(B175,'Willie List'!B:B,1,FALSE) &lt;&gt; "",1,0),0)</f>
        <v>1</v>
      </c>
      <c r="D175" s="8"/>
      <c r="E175" t="s">
        <v>99</v>
      </c>
      <c r="F175" t="s">
        <v>477</v>
      </c>
      <c r="G175" t="s">
        <v>152</v>
      </c>
      <c r="H175" t="s">
        <v>153</v>
      </c>
      <c r="I175" t="s">
        <v>276</v>
      </c>
      <c r="J175" t="s">
        <v>56</v>
      </c>
      <c r="K175" s="8" t="str">
        <f t="shared" si="62"/>
        <v>D2ds v4</v>
      </c>
      <c r="L175" s="8">
        <f>VLOOKUP(K175,'Web-SKUS'!A:E,2,FALSE)</f>
        <v>2</v>
      </c>
      <c r="M175" s="8" t="str">
        <f>VLOOKUP(K175,'Web-SKUS'!A:E,4,FALSE)</f>
        <v>8</v>
      </c>
      <c r="N175" t="s">
        <v>277</v>
      </c>
      <c r="O175" s="8">
        <v>2</v>
      </c>
      <c r="P175" t="s">
        <v>157</v>
      </c>
      <c r="Q175">
        <f>IFERROR(VLOOKUP(B175,PercentCPU!B:F,4,FALSE),"")</f>
        <v>55.464744409140785</v>
      </c>
      <c r="R175">
        <f>IFERROR(VLOOKUP(B175,MemoryAvailable!B:F,3,FALSE),"")</f>
        <v>4534.3502473498229</v>
      </c>
      <c r="S175" s="2">
        <f t="shared" si="44"/>
        <v>0.44649044832155482</v>
      </c>
      <c r="T175">
        <f t="shared" si="45"/>
        <v>2</v>
      </c>
      <c r="U175" s="8">
        <f t="shared" si="46"/>
        <v>4</v>
      </c>
      <c r="V175" s="8" t="str">
        <f t="shared" si="47"/>
        <v>F Series</v>
      </c>
      <c r="W175" s="8">
        <f>IFERROR(VLOOKUP(B175,Write_Bytes_ps!B:F,4,FALSE)/1024/1024,"")</f>
        <v>0.43558562387142552</v>
      </c>
      <c r="X175" s="8">
        <f>IFERROR(VLOOKUP(B175,Read_Bytes_ps!B:F,4,FALSE)/1024/1024,"")</f>
        <v>8.6428571158008519E-2</v>
      </c>
      <c r="Y175" s="8">
        <f>IFERROR(VLOOKUP(B175,Writes_ps!B:F,5,FALSE),"")</f>
        <v>263.470703125</v>
      </c>
      <c r="Z175" s="8">
        <f>IFERROR(VLOOKUP(B175,Reads_ps!B:F,5,FALSE),"")</f>
        <v>654.14978027343795</v>
      </c>
      <c r="AA175" s="120">
        <f t="shared" si="60"/>
        <v>0.52201419502943402</v>
      </c>
      <c r="AB175" s="122">
        <f t="shared" si="61"/>
        <v>918</v>
      </c>
      <c r="AC175" s="122" t="str">
        <f t="shared" si="48"/>
        <v>D2ds v4</v>
      </c>
      <c r="AD175" s="8" t="s">
        <v>290</v>
      </c>
      <c r="AE175" s="8">
        <f>IFERROR(VLOOKUP(AD175,'Web-SKUS'!A:E,2,FALSE),"")</f>
        <v>2</v>
      </c>
      <c r="AF175" s="8">
        <f>_xlfn.NUMBERVALUE(IFERROR(VLOOKUP(AD175,'Web-SKUS'!A:E,4,FALSE),""))</f>
        <v>4</v>
      </c>
      <c r="AG175" s="8">
        <f>IFERROR(VLOOKUP(AD175,VM_Performance_Stats!A:G,7,FALSE),0)</f>
        <v>4</v>
      </c>
      <c r="AH175" s="8">
        <f>IFERROR(VLOOKUP(AD175,VM_Performance_Stats!A:I,8,FALSE),"")</f>
        <v>3200</v>
      </c>
      <c r="AI175" s="8">
        <f t="shared" si="49"/>
        <v>1</v>
      </c>
      <c r="AJ175" s="8">
        <f t="shared" si="50"/>
        <v>1</v>
      </c>
      <c r="AK175" s="8">
        <f>IFERROR(IF(VLOOKUP(AD175,VM_Performance_Stats!A:I,8,FALSE)&gt;AB175,1,0),0)</f>
        <v>1</v>
      </c>
      <c r="AL175" t="str">
        <f>IFERROR(VLOOKUP(AD175,'Web-SKUS'!A:G,7,FALSE),"")</f>
        <v>£31.2409/month</v>
      </c>
      <c r="AM175" s="116">
        <f t="shared" si="51"/>
        <v>31.2409</v>
      </c>
      <c r="AN175" t="str">
        <f>IFERROR(IF(C175=1,VLOOKUP(K175,'Web-SKUS'!A:G,7,FALSE),VLOOKUP(K175,'Web-SKUS'!A:G,6,FALSE)),"")</f>
        <v>£43.6621/month</v>
      </c>
      <c r="AO175" s="116">
        <f t="shared" si="52"/>
        <v>43.662100000000002</v>
      </c>
      <c r="AP175" s="116">
        <f t="shared" si="53"/>
        <v>31.2409</v>
      </c>
      <c r="AQ175" s="115">
        <f t="shared" si="54"/>
        <v>12.421200000000002</v>
      </c>
      <c r="AR175" s="244">
        <f t="shared" si="55"/>
        <v>149.05440000000004</v>
      </c>
      <c r="AS175" s="244" t="str">
        <f>VLOOKUP(B175,'Willie List'!B:M,12,FALSE)</f>
        <v>YES</v>
      </c>
      <c r="AT175" s="244" t="str">
        <f t="shared" si="56"/>
        <v>Standard_D2ds_v4</v>
      </c>
      <c r="AU175" s="244" t="str">
        <f t="shared" si="57"/>
        <v>D2ds v4</v>
      </c>
      <c r="AV175" s="238" t="str">
        <f t="shared" si="58"/>
        <v>F2s v2</v>
      </c>
      <c r="AW175" s="239">
        <f t="shared" si="59"/>
        <v>0</v>
      </c>
    </row>
    <row r="176" spans="1:49" s="238" customFormat="1">
      <c r="A176" s="238" t="s">
        <v>518</v>
      </c>
      <c r="B176" t="s">
        <v>533</v>
      </c>
      <c r="C176" s="8">
        <f>IFERROR(IF(VLOOKUP(B176,'Willie List'!B:B,1,FALSE) &lt;&gt; "",1,0),0)</f>
        <v>1</v>
      </c>
      <c r="D176" s="8"/>
      <c r="E176" t="s">
        <v>99</v>
      </c>
      <c r="F176" t="s">
        <v>480</v>
      </c>
      <c r="G176" t="s">
        <v>152</v>
      </c>
      <c r="H176" t="s">
        <v>153</v>
      </c>
      <c r="I176" t="s">
        <v>276</v>
      </c>
      <c r="J176" t="s">
        <v>56</v>
      </c>
      <c r="K176" s="8" t="str">
        <f t="shared" si="62"/>
        <v>D2ds v4</v>
      </c>
      <c r="L176" s="8">
        <f>VLOOKUP(K176,'Web-SKUS'!A:E,2,FALSE)</f>
        <v>2</v>
      </c>
      <c r="M176" s="8" t="str">
        <f>VLOOKUP(K176,'Web-SKUS'!A:E,4,FALSE)</f>
        <v>8</v>
      </c>
      <c r="N176" t="s">
        <v>277</v>
      </c>
      <c r="O176" s="8">
        <v>1</v>
      </c>
      <c r="P176" t="s">
        <v>157</v>
      </c>
      <c r="Q176">
        <f>IFERROR(VLOOKUP(B176,PercentCPU!B:F,4,FALSE),"")</f>
        <v>4.0295992225553219</v>
      </c>
      <c r="R176">
        <f>IFERROR(VLOOKUP(B176,MemoryAvailable!B:F,3,FALSE),"")</f>
        <v>5754.6719025975553</v>
      </c>
      <c r="S176" s="2">
        <f t="shared" si="44"/>
        <v>0.29752540251494686</v>
      </c>
      <c r="T176">
        <f t="shared" si="45"/>
        <v>1</v>
      </c>
      <c r="U176" s="8">
        <f t="shared" si="46"/>
        <v>2</v>
      </c>
      <c r="V176" s="8" t="str">
        <f t="shared" si="47"/>
        <v>F Series</v>
      </c>
      <c r="W176" s="8">
        <f>IFERROR(VLOOKUP(B176,Write_Bytes_ps!B:F,4,FALSE)/1024/1024,"")</f>
        <v>0.16105373655060681</v>
      </c>
      <c r="X176" s="8">
        <f>IFERROR(VLOOKUP(B176,Read_Bytes_ps!B:F,4,FALSE)/1024/1024,"")</f>
        <v>0.39367429428552669</v>
      </c>
      <c r="Y176" s="8">
        <f>IFERROR(VLOOKUP(B176,Writes_ps!B:F,5,FALSE),"")</f>
        <v>95.681655883789105</v>
      </c>
      <c r="Z176" s="8">
        <f>IFERROR(VLOOKUP(B176,Reads_ps!B:F,5,FALSE),"")</f>
        <v>108.83211517334</v>
      </c>
      <c r="AA176" s="120">
        <f t="shared" si="60"/>
        <v>0.55472803083613353</v>
      </c>
      <c r="AB176" s="122">
        <f t="shared" si="61"/>
        <v>205</v>
      </c>
      <c r="AC176" s="122" t="str">
        <f t="shared" si="48"/>
        <v>D2ds v4</v>
      </c>
      <c r="AD176" s="8" t="s">
        <v>290</v>
      </c>
      <c r="AE176" s="8">
        <f>IFERROR(VLOOKUP(AD176,'Web-SKUS'!A:E,2,FALSE),"")</f>
        <v>2</v>
      </c>
      <c r="AF176" s="8">
        <f>_xlfn.NUMBERVALUE(IFERROR(VLOOKUP(AD176,'Web-SKUS'!A:E,4,FALSE),""))</f>
        <v>4</v>
      </c>
      <c r="AG176" s="8">
        <f>IFERROR(VLOOKUP(AD176,VM_Performance_Stats!A:G,7,FALSE),0)</f>
        <v>4</v>
      </c>
      <c r="AH176" s="8">
        <f>IFERROR(VLOOKUP(AD176,VM_Performance_Stats!A:I,8,FALSE),"")</f>
        <v>3200</v>
      </c>
      <c r="AI176" s="8">
        <f t="shared" si="49"/>
        <v>1</v>
      </c>
      <c r="AJ176" s="8">
        <f t="shared" si="50"/>
        <v>1</v>
      </c>
      <c r="AK176" s="8">
        <f>IFERROR(IF(VLOOKUP(AD176,VM_Performance_Stats!A:I,8,FALSE)&gt;AB176,1,0),0)</f>
        <v>1</v>
      </c>
      <c r="AL176" t="str">
        <f>IFERROR(VLOOKUP(AD176,'Web-SKUS'!A:G,7,FALSE),"")</f>
        <v>£31.2409/month</v>
      </c>
      <c r="AM176" s="116">
        <f t="shared" si="51"/>
        <v>31.2409</v>
      </c>
      <c r="AN176" t="str">
        <f>IFERROR(IF(C176=1,VLOOKUP(K176,'Web-SKUS'!A:G,7,FALSE),VLOOKUP(K176,'Web-SKUS'!A:G,6,FALSE)),"")</f>
        <v>£43.6621/month</v>
      </c>
      <c r="AO176" s="116">
        <f t="shared" si="52"/>
        <v>43.662100000000002</v>
      </c>
      <c r="AP176" s="116">
        <f t="shared" si="53"/>
        <v>31.2409</v>
      </c>
      <c r="AQ176" s="115">
        <f t="shared" si="54"/>
        <v>12.421200000000002</v>
      </c>
      <c r="AR176" s="244">
        <f t="shared" si="55"/>
        <v>149.05440000000004</v>
      </c>
      <c r="AS176" s="244" t="str">
        <f>VLOOKUP(B176,'Willie List'!B:M,12,FALSE)</f>
        <v>YES</v>
      </c>
      <c r="AT176" s="244" t="str">
        <f t="shared" si="56"/>
        <v>Standard_D2ds_v4</v>
      </c>
      <c r="AU176" s="244" t="str">
        <f t="shared" si="57"/>
        <v>D2ds v4</v>
      </c>
      <c r="AV176" s="238" t="str">
        <f t="shared" si="58"/>
        <v>F2s v2</v>
      </c>
      <c r="AW176" s="239">
        <f t="shared" si="59"/>
        <v>0</v>
      </c>
    </row>
    <row r="177" spans="1:49">
      <c r="B177" t="s">
        <v>534</v>
      </c>
      <c r="C177" s="8">
        <f>IFERROR(IF(VLOOKUP(B177,'Willie List'!B:B,1,FALSE) &lt;&gt; "",1,0),0)</f>
        <v>0</v>
      </c>
      <c r="D177" s="8"/>
      <c r="E177" t="s">
        <v>95</v>
      </c>
      <c r="F177" t="s">
        <v>535</v>
      </c>
      <c r="G177" t="s">
        <v>152</v>
      </c>
      <c r="H177" t="s">
        <v>153</v>
      </c>
      <c r="I177" t="s">
        <v>154</v>
      </c>
      <c r="J177" t="s">
        <v>79</v>
      </c>
      <c r="K177" s="8" t="str">
        <f t="shared" si="62"/>
        <v>F8s v2</v>
      </c>
      <c r="L177" s="8">
        <f>VLOOKUP(K177,'Web-SKUS'!A:E,2,FALSE)</f>
        <v>8</v>
      </c>
      <c r="M177" s="8" t="str">
        <f>VLOOKUP(K177,'Web-SKUS'!A:E,4,FALSE)</f>
        <v>16</v>
      </c>
      <c r="N177" t="s">
        <v>277</v>
      </c>
      <c r="O177">
        <v>5</v>
      </c>
      <c r="P177" t="s">
        <v>157</v>
      </c>
      <c r="Q177" t="str">
        <f>IFERROR(VLOOKUP(B177,PercentCPU!B:F,4,FALSE),"")</f>
        <v/>
      </c>
      <c r="R177" t="str">
        <f>IFERROR(VLOOKUP(B177,MemoryAvailable!B:F,3,FALSE),"")</f>
        <v/>
      </c>
      <c r="S177" s="2" t="str">
        <f t="shared" si="44"/>
        <v/>
      </c>
      <c r="T177" t="str">
        <f t="shared" si="45"/>
        <v/>
      </c>
      <c r="U177" s="8">
        <f t="shared" si="46"/>
        <v>0</v>
      </c>
      <c r="V177" s="8" t="str">
        <f t="shared" si="47"/>
        <v/>
      </c>
      <c r="W177" s="8" t="str">
        <f>IFERROR(VLOOKUP(B177,Write_Bytes_ps!B:F,4,FALSE)/1024/1024,"")</f>
        <v/>
      </c>
      <c r="X177" s="8" t="str">
        <f>IFERROR(VLOOKUP(B177,Read_Bytes_ps!B:F,4,FALSE)/1024/1024,"")</f>
        <v/>
      </c>
      <c r="Y177" s="8" t="str">
        <f>IFERROR(VLOOKUP(B177,Writes_ps!B:F,5,FALSE),"")</f>
        <v/>
      </c>
      <c r="Z177" s="8" t="str">
        <f>IFERROR(VLOOKUP(B177,Reads_ps!B:F,5,FALSE),"")</f>
        <v/>
      </c>
      <c r="AA177" s="8">
        <f t="shared" si="60"/>
        <v>0</v>
      </c>
      <c r="AB177" s="122">
        <f t="shared" si="61"/>
        <v>0</v>
      </c>
      <c r="AC177" s="122" t="str">
        <f t="shared" si="48"/>
        <v>F8s v2</v>
      </c>
      <c r="AE177" s="8" t="str">
        <f>IFERROR(VLOOKUP(AD177,'Web-SKUS'!A:E,2,FALSE),"")</f>
        <v/>
      </c>
      <c r="AF177" s="8">
        <f>_xlfn.NUMBERVALUE(IFERROR(VLOOKUP(AD177,'Web-SKUS'!A:E,4,FALSE),""))</f>
        <v>0</v>
      </c>
      <c r="AG177" s="8">
        <f>IFERROR(VLOOKUP(AD177,VM_Performance_Stats!A:G,7,FALSE),0)</f>
        <v>0</v>
      </c>
      <c r="AH177" s="8" t="str">
        <f>IFERROR(VLOOKUP(AD177,VM_Performance_Stats!A:I,8,FALSE),"")</f>
        <v/>
      </c>
      <c r="AI177" s="8">
        <f t="shared" si="49"/>
        <v>1</v>
      </c>
      <c r="AJ177" s="8">
        <f t="shared" si="50"/>
        <v>0</v>
      </c>
      <c r="AK177" s="8">
        <f>IFERROR(IF(VLOOKUP(AD177,VM_Performance_Stats!A:I,8,FALSE)&gt;AB177,1,0),0)</f>
        <v>0</v>
      </c>
      <c r="AL177" t="str">
        <f>IFERROR(VLOOKUP(AD177,'Web-SKUS'!A:G,7,FALSE),"")</f>
        <v/>
      </c>
      <c r="AM177" s="116" t="str">
        <f t="shared" si="51"/>
        <v/>
      </c>
      <c r="AN177" t="str">
        <f>IFERROR(IF(C177=1,VLOOKUP(K177,'Web-SKUS'!A:G,7,FALSE),VLOOKUP(K177,'Web-SKUS'!A:G,6,FALSE)),"")</f>
        <v>£211.1014/month</v>
      </c>
      <c r="AO177" s="116">
        <f t="shared" si="52"/>
        <v>211.10140000000001</v>
      </c>
      <c r="AP177" s="116">
        <f t="shared" si="53"/>
        <v>211.10140000000001</v>
      </c>
      <c r="AQ177" s="115">
        <f t="shared" si="54"/>
        <v>0</v>
      </c>
      <c r="AR177" s="115">
        <f t="shared" si="55"/>
        <v>0</v>
      </c>
      <c r="AS177" s="115" t="e">
        <f>VLOOKUP(B177,'Willie List'!B:M,12,FALSE)</f>
        <v>#N/A</v>
      </c>
      <c r="AT177" s="115" t="str">
        <f t="shared" si="56"/>
        <v>Standard_F8s_v2</v>
      </c>
      <c r="AU177" s="115" t="str">
        <f t="shared" si="57"/>
        <v>F8s v2</v>
      </c>
      <c r="AV177">
        <f t="shared" si="58"/>
        <v>0</v>
      </c>
      <c r="AW177" s="8">
        <f t="shared" si="59"/>
        <v>0</v>
      </c>
    </row>
    <row r="178" spans="1:49" s="80" customFormat="1">
      <c r="A178" s="80" t="s">
        <v>536</v>
      </c>
      <c r="B178" t="s">
        <v>537</v>
      </c>
      <c r="C178" s="8">
        <f>IFERROR(IF(VLOOKUP(B178,'Willie List'!B:B,1,FALSE) &lt;&gt; "",1,0),0)</f>
        <v>1</v>
      </c>
      <c r="D178" s="8"/>
      <c r="E178" t="s">
        <v>99</v>
      </c>
      <c r="F178" t="s">
        <v>538</v>
      </c>
      <c r="G178" t="s">
        <v>295</v>
      </c>
      <c r="H178" t="s">
        <v>153</v>
      </c>
      <c r="I178" t="s">
        <v>276</v>
      </c>
      <c r="J178" t="s">
        <v>466</v>
      </c>
      <c r="K178" s="8" t="str">
        <f t="shared" si="62"/>
        <v>D4s v3</v>
      </c>
      <c r="L178" s="8">
        <f>VLOOKUP(K178,'Web-SKUS'!A:E,2,FALSE)</f>
        <v>4</v>
      </c>
      <c r="M178" s="8" t="str">
        <f>VLOOKUP(K178,'Web-SKUS'!A:E,4,FALSE)</f>
        <v>16</v>
      </c>
      <c r="N178" t="s">
        <v>277</v>
      </c>
      <c r="O178" s="8">
        <v>2</v>
      </c>
      <c r="P178" t="s">
        <v>157</v>
      </c>
      <c r="Q178">
        <f>IFERROR(VLOOKUP(B178,PercentCPU!B:F,4,FALSE),"")</f>
        <v>33.025203099400322</v>
      </c>
      <c r="R178">
        <f>IFERROR(VLOOKUP(B178,MemoryAvailable!B:F,3,FALSE),"")</f>
        <v>11365.769925060093</v>
      </c>
      <c r="S178" s="2">
        <f t="shared" si="44"/>
        <v>0.30628845672240645</v>
      </c>
      <c r="T178">
        <f t="shared" si="45"/>
        <v>2</v>
      </c>
      <c r="U178" s="8">
        <f t="shared" si="46"/>
        <v>5</v>
      </c>
      <c r="V178" s="8">
        <f t="shared" si="47"/>
        <v>0</v>
      </c>
      <c r="W178" s="8">
        <f>IFERROR(VLOOKUP(B178,Write_Bytes_ps!B:F,4,FALSE)/1024/1024,"")</f>
        <v>0.371233961499499</v>
      </c>
      <c r="X178" s="8">
        <f>IFERROR(VLOOKUP(B178,Read_Bytes_ps!B:F,4,FALSE)/1024/1024,"")</f>
        <v>0.41186170184228299</v>
      </c>
      <c r="Y178" s="8">
        <f>IFERROR(VLOOKUP(B178,Writes_ps!B:F,5,FALSE),"")</f>
        <v>505.04617309570301</v>
      </c>
      <c r="Z178" s="8">
        <f>IFERROR(VLOOKUP(B178,Reads_ps!B:F,5,FALSE),"")</f>
        <v>275.04541015625</v>
      </c>
      <c r="AA178" s="120">
        <f t="shared" si="60"/>
        <v>0.78309566334178204</v>
      </c>
      <c r="AB178" s="122">
        <f t="shared" si="61"/>
        <v>781</v>
      </c>
      <c r="AC178" s="122" t="str">
        <f t="shared" si="48"/>
        <v>D4s v3</v>
      </c>
      <c r="AD178" s="8" t="s">
        <v>412</v>
      </c>
      <c r="AE178" s="8">
        <f>IFERROR(VLOOKUP(AD178,'Web-SKUS'!A:E,2,FALSE),"")</f>
        <v>2</v>
      </c>
      <c r="AF178" s="8">
        <f>_xlfn.NUMBERVALUE(IFERROR(VLOOKUP(AD178,'Web-SKUS'!A:E,4,FALSE),""))</f>
        <v>8</v>
      </c>
      <c r="AG178" s="8">
        <f>IFERROR(VLOOKUP(AD178,VM_Performance_Stats!A:G,7,FALSE),0)</f>
        <v>4</v>
      </c>
      <c r="AH178" s="8">
        <f>IFERROR(VLOOKUP(AD178,VM_Performance_Stats!A:I,8,FALSE),"")</f>
        <v>3200</v>
      </c>
      <c r="AI178" s="8">
        <f t="shared" si="49"/>
        <v>1</v>
      </c>
      <c r="AJ178" s="8">
        <f t="shared" si="50"/>
        <v>1</v>
      </c>
      <c r="AK178" s="8">
        <f>IFERROR(IF(VLOOKUP(AD178,VM_Performance_Stats!A:I,8,FALSE)&gt;AB178,1,0),0)</f>
        <v>1</v>
      </c>
      <c r="AL178" t="str">
        <f>IFERROR(VLOOKUP(AD178,'Web-SKUS'!A:G,7,FALSE),"")</f>
        <v>£43.6621/month</v>
      </c>
      <c r="AM178" s="116">
        <f t="shared" si="51"/>
        <v>43.662100000000002</v>
      </c>
      <c r="AN178" t="str">
        <f>IFERROR(IF(C178=1,VLOOKUP(K178,'Web-SKUS'!A:G,7,FALSE),VLOOKUP(K178,'Web-SKUS'!A:G,6,FALSE)),"")</f>
        <v>£83.1620/month</v>
      </c>
      <c r="AO178" s="116">
        <f t="shared" si="52"/>
        <v>83.162000000000006</v>
      </c>
      <c r="AP178" s="116">
        <f t="shared" si="53"/>
        <v>43.662100000000002</v>
      </c>
      <c r="AQ178" s="115">
        <f t="shared" si="54"/>
        <v>39.499900000000004</v>
      </c>
      <c r="AR178" s="257">
        <f t="shared" si="55"/>
        <v>473.99880000000007</v>
      </c>
      <c r="AS178" s="257" t="str">
        <f>VLOOKUP(B178,'Willie List'!B:M,12,FALSE)</f>
        <v>YES</v>
      </c>
      <c r="AT178" s="257" t="str">
        <f t="shared" si="56"/>
        <v>Standard_D4s_v3</v>
      </c>
      <c r="AU178" s="257" t="str">
        <f t="shared" si="57"/>
        <v>D4s v3</v>
      </c>
      <c r="AV178" s="80" t="str">
        <f t="shared" si="58"/>
        <v>D2ds v4</v>
      </c>
      <c r="AW178" s="252">
        <f t="shared" si="59"/>
        <v>0</v>
      </c>
    </row>
    <row r="179" spans="1:49" s="238" customFormat="1">
      <c r="A179" s="238" t="s">
        <v>539</v>
      </c>
      <c r="B179" t="s">
        <v>540</v>
      </c>
      <c r="C179" s="8">
        <f>IFERROR(IF(VLOOKUP(B179,'Willie List'!B:B,1,FALSE) &lt;&gt; "",1,0),0)</f>
        <v>1</v>
      </c>
      <c r="D179" s="8"/>
      <c r="E179" t="s">
        <v>99</v>
      </c>
      <c r="F179" t="s">
        <v>538</v>
      </c>
      <c r="G179" t="s">
        <v>295</v>
      </c>
      <c r="H179" t="s">
        <v>153</v>
      </c>
      <c r="I179" t="s">
        <v>276</v>
      </c>
      <c r="J179" t="s">
        <v>466</v>
      </c>
      <c r="K179" s="8" t="str">
        <f t="shared" si="62"/>
        <v>D4s v3</v>
      </c>
      <c r="L179" s="8">
        <f>VLOOKUP(K179,'Web-SKUS'!A:E,2,FALSE)</f>
        <v>4</v>
      </c>
      <c r="M179" s="8" t="str">
        <f>VLOOKUP(K179,'Web-SKUS'!A:E,4,FALSE)</f>
        <v>16</v>
      </c>
      <c r="N179" t="s">
        <v>277</v>
      </c>
      <c r="O179">
        <v>2</v>
      </c>
      <c r="P179" t="s">
        <v>157</v>
      </c>
      <c r="Q179" t="str">
        <f>IFERROR(VLOOKUP(B179,PercentCPU!B:F,4,FALSE),"")</f>
        <v/>
      </c>
      <c r="R179" t="str">
        <f>IFERROR(VLOOKUP(B179,MemoryAvailable!B:F,3,FALSE),"")</f>
        <v/>
      </c>
      <c r="S179" s="2" t="str">
        <f t="shared" si="44"/>
        <v/>
      </c>
      <c r="T179" t="str">
        <f t="shared" si="45"/>
        <v/>
      </c>
      <c r="U179" s="8">
        <f t="shared" si="46"/>
        <v>0</v>
      </c>
      <c r="V179" s="8" t="str">
        <f t="shared" si="47"/>
        <v/>
      </c>
      <c r="W179" s="8" t="str">
        <f>IFERROR(VLOOKUP(B179,Write_Bytes_ps!B:F,4,FALSE)/1024/1024,"")</f>
        <v/>
      </c>
      <c r="X179" s="8" t="str">
        <f>IFERROR(VLOOKUP(B179,Read_Bytes_ps!B:F,4,FALSE)/1024/1024,"")</f>
        <v/>
      </c>
      <c r="Y179" s="8" t="str">
        <f>IFERROR(VLOOKUP(B179,Writes_ps!B:F,5,FALSE),"")</f>
        <v/>
      </c>
      <c r="Z179" s="8" t="str">
        <f>IFERROR(VLOOKUP(B179,Reads_ps!B:F,5,FALSE),"")</f>
        <v/>
      </c>
      <c r="AA179" s="120">
        <f t="shared" si="60"/>
        <v>0</v>
      </c>
      <c r="AB179" s="122">
        <f t="shared" ref="AB179:AB210" si="63">ROUNDUP(SUM(Y179:Z179),0)</f>
        <v>0</v>
      </c>
      <c r="AC179" s="122" t="str">
        <f t="shared" si="48"/>
        <v>D4s v3</v>
      </c>
      <c r="AD179" s="8" t="s">
        <v>420</v>
      </c>
      <c r="AE179" s="8">
        <f>IFERROR(VLOOKUP(AD179,'Web-SKUS'!A:E,2,FALSE),"")</f>
        <v>4</v>
      </c>
      <c r="AF179" s="8">
        <f>_xlfn.NUMBERVALUE(IFERROR(VLOOKUP(AD179,'Web-SKUS'!A:E,4,FALSE),""))</f>
        <v>16</v>
      </c>
      <c r="AG179" s="8">
        <f>IFERROR(VLOOKUP(AD179,VM_Performance_Stats!A:G,7,FALSE),0)</f>
        <v>8</v>
      </c>
      <c r="AH179" s="8">
        <f>IFERROR(VLOOKUP(AD179,VM_Performance_Stats!A:I,8,FALSE),"")</f>
        <v>6400</v>
      </c>
      <c r="AI179" s="8">
        <f t="shared" si="49"/>
        <v>1</v>
      </c>
      <c r="AJ179" s="8">
        <f t="shared" si="50"/>
        <v>1</v>
      </c>
      <c r="AK179" s="8">
        <f>IFERROR(IF(VLOOKUP(AD179,VM_Performance_Stats!A:I,8,FALSE)&gt;AB179,1,0),0)</f>
        <v>1</v>
      </c>
      <c r="AL179" t="str">
        <f>IFERROR(VLOOKUP(AD179,'Web-SKUS'!A:G,7,FALSE),"")</f>
        <v>£87.3242/month</v>
      </c>
      <c r="AM179" s="116">
        <f t="shared" si="51"/>
        <v>87.324200000000005</v>
      </c>
      <c r="AN179" t="str">
        <f>IFERROR(IF(C179=1,VLOOKUP(K179,'Web-SKUS'!A:G,7,FALSE),VLOOKUP(K179,'Web-SKUS'!A:G,6,FALSE)),"")</f>
        <v>£83.1620/month</v>
      </c>
      <c r="AO179" s="116">
        <f t="shared" si="52"/>
        <v>83.162000000000006</v>
      </c>
      <c r="AP179" s="116">
        <f t="shared" si="53"/>
        <v>87.324200000000005</v>
      </c>
      <c r="AQ179" s="115">
        <f t="shared" si="54"/>
        <v>-4.1621999999999986</v>
      </c>
      <c r="AR179" s="244">
        <f t="shared" si="55"/>
        <v>-49.946399999999983</v>
      </c>
      <c r="AS179" s="244" t="str">
        <f>VLOOKUP(B179,'Willie List'!B:M,12,FALSE)</f>
        <v>YES</v>
      </c>
      <c r="AT179" s="244" t="str">
        <f t="shared" si="56"/>
        <v>Standard_D4s_v3</v>
      </c>
      <c r="AU179" s="244" t="str">
        <f t="shared" si="57"/>
        <v>D4s v3</v>
      </c>
      <c r="AV179" s="238" t="str">
        <f t="shared" si="58"/>
        <v>D4ds v4</v>
      </c>
      <c r="AW179" s="239">
        <f t="shared" si="59"/>
        <v>0</v>
      </c>
    </row>
    <row r="180" spans="1:49" s="238" customFormat="1">
      <c r="A180" s="238" t="s">
        <v>541</v>
      </c>
      <c r="B180" t="s">
        <v>542</v>
      </c>
      <c r="C180" s="8">
        <f>IFERROR(IF(VLOOKUP(B180,'Willie List'!B:B,1,FALSE) &lt;&gt; "",1,0),0)</f>
        <v>1</v>
      </c>
      <c r="D180" s="8"/>
      <c r="E180" t="s">
        <v>99</v>
      </c>
      <c r="F180" t="s">
        <v>538</v>
      </c>
      <c r="G180" t="s">
        <v>295</v>
      </c>
      <c r="H180" t="s">
        <v>153</v>
      </c>
      <c r="I180" t="s">
        <v>276</v>
      </c>
      <c r="J180" t="s">
        <v>466</v>
      </c>
      <c r="K180" s="8" t="str">
        <f t="shared" si="62"/>
        <v>D4s v3</v>
      </c>
      <c r="L180" s="8">
        <f>VLOOKUP(K180,'Web-SKUS'!A:E,2,FALSE)</f>
        <v>4</v>
      </c>
      <c r="M180" s="8" t="str">
        <f>VLOOKUP(K180,'Web-SKUS'!A:E,4,FALSE)</f>
        <v>16</v>
      </c>
      <c r="N180" t="s">
        <v>277</v>
      </c>
      <c r="O180" s="8">
        <v>2</v>
      </c>
      <c r="P180" t="s">
        <v>157</v>
      </c>
      <c r="Q180">
        <f>IFERROR(VLOOKUP(B180,PercentCPU!B:F,4,FALSE),"")</f>
        <v>17.296502537071934</v>
      </c>
      <c r="R180">
        <f>IFERROR(VLOOKUP(B180,MemoryAvailable!B:F,3,FALSE),"")</f>
        <v>11019.586142719156</v>
      </c>
      <c r="S180" s="2">
        <f t="shared" si="44"/>
        <v>0.32741783796880153</v>
      </c>
      <c r="T180">
        <f t="shared" si="45"/>
        <v>1</v>
      </c>
      <c r="U180" s="8">
        <f t="shared" si="46"/>
        <v>5</v>
      </c>
      <c r="V180" s="8">
        <f t="shared" si="47"/>
        <v>0</v>
      </c>
      <c r="W180" s="8">
        <f>IFERROR(VLOOKUP(B180,Write_Bytes_ps!B:F,4,FALSE)/1024/1024,"")</f>
        <v>0.25384299023324269</v>
      </c>
      <c r="X180" s="8">
        <f>IFERROR(VLOOKUP(B180,Read_Bytes_ps!B:F,4,FALSE)/1024/1024,"")</f>
        <v>0.41353570407890278</v>
      </c>
      <c r="Y180" s="8">
        <f>IFERROR(VLOOKUP(B180,Writes_ps!B:F,5,FALSE),"")</f>
        <v>515.993408203125</v>
      </c>
      <c r="Z180" s="8">
        <f>IFERROR(VLOOKUP(B180,Reads_ps!B:F,5,FALSE),"")</f>
        <v>233.57925415039099</v>
      </c>
      <c r="AA180" s="120">
        <f t="shared" si="60"/>
        <v>0.66737869431214547</v>
      </c>
      <c r="AB180" s="122">
        <f t="shared" si="63"/>
        <v>750</v>
      </c>
      <c r="AC180" s="122" t="str">
        <f t="shared" si="48"/>
        <v>D4s v3</v>
      </c>
      <c r="AD180" s="8" t="s">
        <v>412</v>
      </c>
      <c r="AE180" s="8">
        <f>IFERROR(VLOOKUP(AD180,'Web-SKUS'!A:E,2,FALSE),"")</f>
        <v>2</v>
      </c>
      <c r="AF180" s="8">
        <f>_xlfn.NUMBERVALUE(IFERROR(VLOOKUP(AD180,'Web-SKUS'!A:E,4,FALSE),""))</f>
        <v>8</v>
      </c>
      <c r="AG180" s="8">
        <f>IFERROR(VLOOKUP(AD180,VM_Performance_Stats!A:G,7,FALSE),0)</f>
        <v>4</v>
      </c>
      <c r="AH180" s="8">
        <f>IFERROR(VLOOKUP(AD180,VM_Performance_Stats!A:I,8,FALSE),"")</f>
        <v>3200</v>
      </c>
      <c r="AI180" s="8">
        <f t="shared" si="49"/>
        <v>1</v>
      </c>
      <c r="AJ180" s="8">
        <f t="shared" si="50"/>
        <v>1</v>
      </c>
      <c r="AK180" s="8">
        <f>IFERROR(IF(VLOOKUP(AD180,VM_Performance_Stats!A:I,8,FALSE)&gt;AB180,1,0),0)</f>
        <v>1</v>
      </c>
      <c r="AL180" t="str">
        <f>IFERROR(VLOOKUP(AD180,'Web-SKUS'!A:G,7,FALSE),"")</f>
        <v>£43.6621/month</v>
      </c>
      <c r="AM180" s="116">
        <f t="shared" si="51"/>
        <v>43.662100000000002</v>
      </c>
      <c r="AN180" t="str">
        <f>IFERROR(IF(C180=1,VLOOKUP(K180,'Web-SKUS'!A:G,7,FALSE),VLOOKUP(K180,'Web-SKUS'!A:G,6,FALSE)),"")</f>
        <v>£83.1620/month</v>
      </c>
      <c r="AO180" s="116">
        <f t="shared" si="52"/>
        <v>83.162000000000006</v>
      </c>
      <c r="AP180" s="116">
        <f t="shared" si="53"/>
        <v>43.662100000000002</v>
      </c>
      <c r="AQ180" s="115">
        <f t="shared" si="54"/>
        <v>39.499900000000004</v>
      </c>
      <c r="AR180" s="244">
        <f t="shared" si="55"/>
        <v>473.99880000000007</v>
      </c>
      <c r="AS180" s="244" t="str">
        <f>VLOOKUP(B180,'Willie List'!B:M,12,FALSE)</f>
        <v>YES</v>
      </c>
      <c r="AT180" s="244" t="str">
        <f t="shared" si="56"/>
        <v>Standard_D4s_v3</v>
      </c>
      <c r="AU180" s="244" t="str">
        <f t="shared" si="57"/>
        <v>D4s v3</v>
      </c>
      <c r="AV180" s="238" t="str">
        <f t="shared" si="58"/>
        <v>D2ds v4</v>
      </c>
      <c r="AW180" s="239">
        <f t="shared" si="59"/>
        <v>0</v>
      </c>
    </row>
    <row r="181" spans="1:49" s="238" customFormat="1">
      <c r="A181" s="238" t="s">
        <v>506</v>
      </c>
      <c r="B181" t="s">
        <v>543</v>
      </c>
      <c r="C181" s="8">
        <f>IFERROR(IF(VLOOKUP(B181,'Willie List'!B:B,1,FALSE) &lt;&gt; "",1,0),0)</f>
        <v>1</v>
      </c>
      <c r="D181" s="8"/>
      <c r="E181" t="s">
        <v>99</v>
      </c>
      <c r="F181" t="s">
        <v>538</v>
      </c>
      <c r="G181" t="s">
        <v>295</v>
      </c>
      <c r="H181" t="s">
        <v>153</v>
      </c>
      <c r="I181" t="s">
        <v>276</v>
      </c>
      <c r="J181" t="s">
        <v>466</v>
      </c>
      <c r="K181" s="8" t="str">
        <f t="shared" si="62"/>
        <v>D4s v3</v>
      </c>
      <c r="L181" s="8">
        <f>VLOOKUP(K181,'Web-SKUS'!A:E,2,FALSE)</f>
        <v>4</v>
      </c>
      <c r="M181" s="8" t="str">
        <f>VLOOKUP(K181,'Web-SKUS'!A:E,4,FALSE)</f>
        <v>16</v>
      </c>
      <c r="N181" t="s">
        <v>277</v>
      </c>
      <c r="O181">
        <v>2</v>
      </c>
      <c r="P181" t="s">
        <v>157</v>
      </c>
      <c r="Q181" t="str">
        <f>IFERROR(VLOOKUP(B181,PercentCPU!B:F,4,FALSE),"")</f>
        <v/>
      </c>
      <c r="R181" t="str">
        <f>IFERROR(VLOOKUP(B181,MemoryAvailable!B:F,3,FALSE),"")</f>
        <v/>
      </c>
      <c r="S181" s="2" t="str">
        <f t="shared" si="44"/>
        <v/>
      </c>
      <c r="T181" t="str">
        <f t="shared" si="45"/>
        <v/>
      </c>
      <c r="U181" s="8">
        <f t="shared" si="46"/>
        <v>0</v>
      </c>
      <c r="V181" s="8" t="str">
        <f t="shared" si="47"/>
        <v/>
      </c>
      <c r="W181" s="8" t="str">
        <f>IFERROR(VLOOKUP(B181,Write_Bytes_ps!B:F,4,FALSE)/1024/1024,"")</f>
        <v/>
      </c>
      <c r="X181" s="8" t="str">
        <f>IFERROR(VLOOKUP(B181,Read_Bytes_ps!B:F,4,FALSE)/1024/1024,"")</f>
        <v/>
      </c>
      <c r="Y181" s="8" t="str">
        <f>IFERROR(VLOOKUP(B181,Writes_ps!B:F,5,FALSE),"")</f>
        <v/>
      </c>
      <c r="Z181" s="8" t="str">
        <f>IFERROR(VLOOKUP(B181,Reads_ps!B:F,5,FALSE),"")</f>
        <v/>
      </c>
      <c r="AA181" s="120">
        <f t="shared" si="60"/>
        <v>0</v>
      </c>
      <c r="AB181" s="122">
        <f t="shared" si="63"/>
        <v>0</v>
      </c>
      <c r="AC181" s="122" t="str">
        <f t="shared" si="48"/>
        <v>D4s v3</v>
      </c>
      <c r="AD181" s="8" t="s">
        <v>420</v>
      </c>
      <c r="AE181" s="8">
        <f>IFERROR(VLOOKUP(AD181,'Web-SKUS'!A:E,2,FALSE),"")</f>
        <v>4</v>
      </c>
      <c r="AF181" s="8">
        <f>_xlfn.NUMBERVALUE(IFERROR(VLOOKUP(AD181,'Web-SKUS'!A:E,4,FALSE),""))</f>
        <v>16</v>
      </c>
      <c r="AG181" s="8">
        <f>IFERROR(VLOOKUP(AD181,VM_Performance_Stats!A:G,7,FALSE),0)</f>
        <v>8</v>
      </c>
      <c r="AH181" s="8">
        <f>IFERROR(VLOOKUP(AD181,VM_Performance_Stats!A:I,8,FALSE),"")</f>
        <v>6400</v>
      </c>
      <c r="AI181" s="8">
        <f t="shared" si="49"/>
        <v>1</v>
      </c>
      <c r="AJ181" s="8">
        <f t="shared" si="50"/>
        <v>1</v>
      </c>
      <c r="AK181" s="8">
        <f>IFERROR(IF(VLOOKUP(AD181,VM_Performance_Stats!A:I,8,FALSE)&gt;AB181,1,0),0)</f>
        <v>1</v>
      </c>
      <c r="AL181" t="str">
        <f>IFERROR(VLOOKUP(AD181,'Web-SKUS'!A:G,7,FALSE),"")</f>
        <v>£87.3242/month</v>
      </c>
      <c r="AM181" s="116">
        <f t="shared" si="51"/>
        <v>87.324200000000005</v>
      </c>
      <c r="AN181" t="str">
        <f>IFERROR(IF(C181=1,VLOOKUP(K181,'Web-SKUS'!A:G,7,FALSE),VLOOKUP(K181,'Web-SKUS'!A:G,6,FALSE)),"")</f>
        <v>£83.1620/month</v>
      </c>
      <c r="AO181" s="116">
        <f t="shared" si="52"/>
        <v>83.162000000000006</v>
      </c>
      <c r="AP181" s="116">
        <f t="shared" si="53"/>
        <v>87.324200000000005</v>
      </c>
      <c r="AQ181" s="115">
        <f t="shared" si="54"/>
        <v>-4.1621999999999986</v>
      </c>
      <c r="AR181" s="244">
        <f t="shared" si="55"/>
        <v>-49.946399999999983</v>
      </c>
      <c r="AS181" s="244" t="str">
        <f>VLOOKUP(B181,'Willie List'!B:M,12,FALSE)</f>
        <v>YES</v>
      </c>
      <c r="AT181" s="244" t="str">
        <f t="shared" si="56"/>
        <v>Standard_D4s_v3</v>
      </c>
      <c r="AU181" s="244" t="str">
        <f t="shared" si="57"/>
        <v>D4s v3</v>
      </c>
      <c r="AV181" s="238" t="str">
        <f t="shared" si="58"/>
        <v>D4ds v4</v>
      </c>
      <c r="AW181" s="239">
        <f t="shared" si="59"/>
        <v>0</v>
      </c>
    </row>
    <row r="182" spans="1:49" s="238" customFormat="1">
      <c r="A182" s="238" t="s">
        <v>544</v>
      </c>
      <c r="B182" t="s">
        <v>545</v>
      </c>
      <c r="C182" s="8">
        <f>IFERROR(IF(VLOOKUP(B182,'Willie List'!B:B,1,FALSE) &lt;&gt; "",1,0),0)</f>
        <v>1</v>
      </c>
      <c r="D182" s="8"/>
      <c r="E182" t="s">
        <v>99</v>
      </c>
      <c r="F182" t="s">
        <v>538</v>
      </c>
      <c r="G182" t="s">
        <v>295</v>
      </c>
      <c r="H182" t="s">
        <v>153</v>
      </c>
      <c r="I182" t="s">
        <v>276</v>
      </c>
      <c r="J182" t="s">
        <v>466</v>
      </c>
      <c r="K182" s="8" t="str">
        <f t="shared" si="62"/>
        <v>D4s v3</v>
      </c>
      <c r="L182" s="8">
        <f>VLOOKUP(K182,'Web-SKUS'!A:E,2,FALSE)</f>
        <v>4</v>
      </c>
      <c r="M182" s="8" t="str">
        <f>VLOOKUP(K182,'Web-SKUS'!A:E,4,FALSE)</f>
        <v>16</v>
      </c>
      <c r="N182" t="s">
        <v>277</v>
      </c>
      <c r="O182">
        <v>2</v>
      </c>
      <c r="P182" t="s">
        <v>157</v>
      </c>
      <c r="Q182" t="str">
        <f>IFERROR(VLOOKUP(B182,PercentCPU!B:F,4,FALSE),"")</f>
        <v/>
      </c>
      <c r="R182" t="str">
        <f>IFERROR(VLOOKUP(B182,MemoryAvailable!B:F,3,FALSE),"")</f>
        <v/>
      </c>
      <c r="S182" s="2" t="str">
        <f t="shared" si="44"/>
        <v/>
      </c>
      <c r="T182" t="str">
        <f t="shared" si="45"/>
        <v/>
      </c>
      <c r="U182" s="8">
        <f t="shared" si="46"/>
        <v>0</v>
      </c>
      <c r="V182" s="8" t="str">
        <f t="shared" si="47"/>
        <v/>
      </c>
      <c r="W182" s="8" t="str">
        <f>IFERROR(VLOOKUP(B182,Write_Bytes_ps!B:F,4,FALSE)/1024/1024,"")</f>
        <v/>
      </c>
      <c r="X182" s="8" t="str">
        <f>IFERROR(VLOOKUP(B182,Read_Bytes_ps!B:F,4,FALSE)/1024/1024,"")</f>
        <v/>
      </c>
      <c r="Y182" s="8" t="str">
        <f>IFERROR(VLOOKUP(B182,Writes_ps!B:F,5,FALSE),"")</f>
        <v/>
      </c>
      <c r="Z182" s="8" t="str">
        <f>IFERROR(VLOOKUP(B182,Reads_ps!B:F,5,FALSE),"")</f>
        <v/>
      </c>
      <c r="AA182" s="120">
        <f t="shared" si="60"/>
        <v>0</v>
      </c>
      <c r="AB182" s="122">
        <f t="shared" si="63"/>
        <v>0</v>
      </c>
      <c r="AC182" s="122" t="str">
        <f t="shared" si="48"/>
        <v>D4s v3</v>
      </c>
      <c r="AD182" s="8" t="s">
        <v>420</v>
      </c>
      <c r="AE182" s="8">
        <f>IFERROR(VLOOKUP(AD182,'Web-SKUS'!A:E,2,FALSE),"")</f>
        <v>4</v>
      </c>
      <c r="AF182" s="8">
        <f>_xlfn.NUMBERVALUE(IFERROR(VLOOKUP(AD182,'Web-SKUS'!A:E,4,FALSE),""))</f>
        <v>16</v>
      </c>
      <c r="AG182" s="8">
        <f>IFERROR(VLOOKUP(AD182,VM_Performance_Stats!A:G,7,FALSE),0)</f>
        <v>8</v>
      </c>
      <c r="AH182" s="8">
        <f>IFERROR(VLOOKUP(AD182,VM_Performance_Stats!A:I,8,FALSE),"")</f>
        <v>6400</v>
      </c>
      <c r="AI182" s="8">
        <f t="shared" si="49"/>
        <v>1</v>
      </c>
      <c r="AJ182" s="8">
        <f t="shared" si="50"/>
        <v>1</v>
      </c>
      <c r="AK182" s="8">
        <f>IFERROR(IF(VLOOKUP(AD182,VM_Performance_Stats!A:I,8,FALSE)&gt;AB182,1,0),0)</f>
        <v>1</v>
      </c>
      <c r="AL182" t="str">
        <f>IFERROR(VLOOKUP(AD182,'Web-SKUS'!A:G,7,FALSE),"")</f>
        <v>£87.3242/month</v>
      </c>
      <c r="AM182" s="116">
        <f t="shared" si="51"/>
        <v>87.324200000000005</v>
      </c>
      <c r="AN182" t="str">
        <f>IFERROR(IF(C182=1,VLOOKUP(K182,'Web-SKUS'!A:G,7,FALSE),VLOOKUP(K182,'Web-SKUS'!A:G,6,FALSE)),"")</f>
        <v>£83.1620/month</v>
      </c>
      <c r="AO182" s="116">
        <f t="shared" si="52"/>
        <v>83.162000000000006</v>
      </c>
      <c r="AP182" s="116">
        <f t="shared" si="53"/>
        <v>87.324200000000005</v>
      </c>
      <c r="AQ182" s="115">
        <f t="shared" si="54"/>
        <v>-4.1621999999999986</v>
      </c>
      <c r="AR182" s="244">
        <f t="shared" si="55"/>
        <v>-49.946399999999983</v>
      </c>
      <c r="AS182" s="244" t="str">
        <f>VLOOKUP(B182,'Willie List'!B:M,12,FALSE)</f>
        <v>YES</v>
      </c>
      <c r="AT182" s="244" t="str">
        <f t="shared" si="56"/>
        <v>Standard_D4s_v3</v>
      </c>
      <c r="AU182" s="244" t="str">
        <f t="shared" si="57"/>
        <v>D4s v3</v>
      </c>
      <c r="AV182" s="238" t="str">
        <f t="shared" si="58"/>
        <v>D4ds v4</v>
      </c>
      <c r="AW182" s="239">
        <f t="shared" si="59"/>
        <v>0</v>
      </c>
    </row>
    <row r="183" spans="1:49" s="245" customFormat="1">
      <c r="A183" s="245" t="s">
        <v>487</v>
      </c>
      <c r="B183" t="s">
        <v>546</v>
      </c>
      <c r="C183" s="8">
        <f>IFERROR(IF(VLOOKUP(B183,'Willie List'!B:B,1,FALSE) &lt;&gt; "",1,0),0)</f>
        <v>1</v>
      </c>
      <c r="D183" s="8">
        <v>1</v>
      </c>
      <c r="E183" t="s">
        <v>99</v>
      </c>
      <c r="F183" t="s">
        <v>547</v>
      </c>
      <c r="G183" t="s">
        <v>152</v>
      </c>
      <c r="H183" t="s">
        <v>153</v>
      </c>
      <c r="I183" t="s">
        <v>276</v>
      </c>
      <c r="J183" t="s">
        <v>57</v>
      </c>
      <c r="K183" s="8" t="str">
        <f t="shared" ref="K183:K191" si="64">IFERROR(REPLACE(REPLACE(J183,FIND("Standard_",J183,1),9,""),FIND("_",REPLACE(J183,FIND("Standard_",J183,1),9,""),1),1," "),REPLACE(J183,FIND("Standard_",J183,1),9,""))</f>
        <v>D4ds v4</v>
      </c>
      <c r="L183" s="8">
        <f>VLOOKUP(K183,'Web-SKUS'!A:E,2,FALSE)</f>
        <v>4</v>
      </c>
      <c r="M183" s="8" t="str">
        <f>VLOOKUP(K183,'Web-SKUS'!A:E,4,FALSE)</f>
        <v>16</v>
      </c>
      <c r="N183" t="s">
        <v>548</v>
      </c>
      <c r="O183" s="8">
        <v>2</v>
      </c>
      <c r="P183" t="s">
        <v>157</v>
      </c>
      <c r="Q183">
        <f>IFERROR(VLOOKUP(B183,PercentCPU!B:F,4,FALSE),"")</f>
        <v>2.0917923926433009</v>
      </c>
      <c r="R183">
        <f>IFERROR(VLOOKUP(B183,MemoryAvailable!B:F,3,FALSE),"")</f>
        <v>1797.8258708811268</v>
      </c>
      <c r="S183" s="2">
        <f t="shared" si="44"/>
        <v>0.89026941706047813</v>
      </c>
      <c r="T183">
        <f t="shared" si="45"/>
        <v>1</v>
      </c>
      <c r="U183" s="8">
        <f t="shared" si="46"/>
        <v>14</v>
      </c>
      <c r="V183" s="8">
        <f t="shared" si="47"/>
        <v>0</v>
      </c>
      <c r="W183" s="8">
        <f>IFERROR(VLOOKUP(B183,Write_Bytes_ps!B:F,4,FALSE)/1024/1024,"")</f>
        <v>0.19968515440904439</v>
      </c>
      <c r="X183" s="8">
        <f>IFERROR(VLOOKUP(B183,Read_Bytes_ps!B:F,4,FALSE)/1024/1024,"")</f>
        <v>0.41527403086461323</v>
      </c>
      <c r="Y183" s="8">
        <f>IFERROR(VLOOKUP(B183,Writes_ps!B:F,5,FALSE),"")</f>
        <v>509.57235717773398</v>
      </c>
      <c r="Z183" s="8">
        <f>IFERROR(VLOOKUP(B183,Reads_ps!B:F,5,FALSE),"")</f>
        <v>369.66561889648398</v>
      </c>
      <c r="AA183" s="120">
        <f t="shared" si="60"/>
        <v>0.61495918527365756</v>
      </c>
      <c r="AB183" s="122">
        <f t="shared" si="63"/>
        <v>880</v>
      </c>
      <c r="AC183" s="122" t="str">
        <f t="shared" si="48"/>
        <v>D4ds v4</v>
      </c>
      <c r="AD183" s="8" t="s">
        <v>370</v>
      </c>
      <c r="AE183" s="8">
        <f>IFERROR(VLOOKUP(AD183,'Web-SKUS'!A:E,2,FALSE),"")</f>
        <v>2</v>
      </c>
      <c r="AF183" s="8">
        <f>_xlfn.NUMBERVALUE(IFERROR(VLOOKUP(AD183,'Web-SKUS'!A:E,4,FALSE),""))</f>
        <v>16</v>
      </c>
      <c r="AG183" s="8">
        <f>IFERROR(VLOOKUP(AD183,VM_Performance_Stats!A:G,7,FALSE),0)</f>
        <v>4</v>
      </c>
      <c r="AH183" s="8">
        <f>IFERROR(VLOOKUP(AD183,VM_Performance_Stats!A:I,8,FALSE),"")</f>
        <v>3200</v>
      </c>
      <c r="AI183" s="8">
        <f t="shared" si="49"/>
        <v>1</v>
      </c>
      <c r="AJ183" s="8">
        <f t="shared" si="50"/>
        <v>1</v>
      </c>
      <c r="AK183" s="8">
        <f>IFERROR(IF(VLOOKUP(AD183,VM_Performance_Stats!A:I,8,FALSE)&gt;AB183,1,0),0)</f>
        <v>1</v>
      </c>
      <c r="AL183" t="str">
        <f>IFERROR(VLOOKUP(AD183,'Web-SKUS'!A:G,7,FALSE),"")</f>
        <v>£55.5230/month</v>
      </c>
      <c r="AM183" s="116">
        <f t="shared" si="51"/>
        <v>55.523000000000003</v>
      </c>
      <c r="AN183" t="str">
        <f>IFERROR(IF(C183=1,VLOOKUP(K183,'Web-SKUS'!A:G,7,FALSE),VLOOKUP(K183,'Web-SKUS'!A:G,6,FALSE)),"")</f>
        <v>£87.3242/month</v>
      </c>
      <c r="AO183" s="116">
        <f t="shared" si="52"/>
        <v>87.324200000000005</v>
      </c>
      <c r="AP183" s="116">
        <f t="shared" si="53"/>
        <v>55.523000000000003</v>
      </c>
      <c r="AQ183" s="115">
        <f t="shared" si="54"/>
        <v>31.801200000000001</v>
      </c>
      <c r="AR183" s="251">
        <f t="shared" si="55"/>
        <v>381.61440000000005</v>
      </c>
      <c r="AS183" s="251" t="str">
        <f>VLOOKUP(B183,'Willie List'!B:M,12,FALSE)</f>
        <v>YES</v>
      </c>
      <c r="AT183" s="251" t="str">
        <f t="shared" si="56"/>
        <v>Standard_D4ds_v4</v>
      </c>
      <c r="AU183" s="251" t="str">
        <f t="shared" si="57"/>
        <v>D4ds v4</v>
      </c>
      <c r="AV183" s="245" t="str">
        <f t="shared" si="58"/>
        <v>E2ds v4</v>
      </c>
      <c r="AW183" s="246">
        <f t="shared" si="59"/>
        <v>0</v>
      </c>
    </row>
    <row r="184" spans="1:49" s="245" customFormat="1">
      <c r="A184" s="245" t="s">
        <v>487</v>
      </c>
      <c r="B184" s="245" t="s">
        <v>549</v>
      </c>
      <c r="C184" s="246">
        <f>IFERROR(IF(VLOOKUP(B184,'Willie List'!B:B,1,FALSE) &lt;&gt; "",1,0),0)</f>
        <v>1</v>
      </c>
      <c r="D184" s="246"/>
      <c r="E184" s="245" t="s">
        <v>101</v>
      </c>
      <c r="F184" s="245" t="s">
        <v>550</v>
      </c>
      <c r="G184" s="245" t="s">
        <v>288</v>
      </c>
      <c r="H184" s="245" t="s">
        <v>153</v>
      </c>
      <c r="I184" s="245" t="s">
        <v>276</v>
      </c>
      <c r="J184" s="245" t="s">
        <v>57</v>
      </c>
      <c r="K184" s="246" t="str">
        <f t="shared" si="64"/>
        <v>D4ds v4</v>
      </c>
      <c r="L184" s="246">
        <f>VLOOKUP(K184,'Web-SKUS'!A:E,2,FALSE)</f>
        <v>4</v>
      </c>
      <c r="M184" s="246" t="str">
        <f>VLOOKUP(K184,'Web-SKUS'!A:E,4,FALSE)</f>
        <v>16</v>
      </c>
      <c r="N184" s="245" t="s">
        <v>277</v>
      </c>
      <c r="O184" s="246">
        <v>2</v>
      </c>
      <c r="P184" s="245" t="s">
        <v>157</v>
      </c>
      <c r="Q184" s="245">
        <f>IFERROR(VLOOKUP(B184,PercentCPU!B:F,4,FALSE),"")</f>
        <v>10.096710394750286</v>
      </c>
      <c r="R184" s="245">
        <f>IFERROR(VLOOKUP(B184,MemoryAvailable!B:F,3,FALSE),"")</f>
        <v>12764.613179098149</v>
      </c>
      <c r="S184" s="247">
        <f t="shared" si="44"/>
        <v>0.22090984014293524</v>
      </c>
      <c r="T184" s="245">
        <f t="shared" si="45"/>
        <v>1</v>
      </c>
      <c r="U184" s="246">
        <f t="shared" si="46"/>
        <v>4</v>
      </c>
      <c r="V184" s="246" t="str">
        <f t="shared" si="47"/>
        <v>D Series</v>
      </c>
      <c r="W184" s="8">
        <f>IFERROR(VLOOKUP(B184,Write_Bytes_ps!B:F,4,FALSE)/1024/1024,"")</f>
        <v>0.15806065540559047</v>
      </c>
      <c r="X184" s="8">
        <f>IFERROR(VLOOKUP(B184,Read_Bytes_ps!B:F,4,FALSE)/1024/1024,"")</f>
        <v>6.9596217777484161E-3</v>
      </c>
      <c r="Y184" s="8">
        <f>IFERROR(VLOOKUP(B184,Writes_ps!B:F,5,FALSE),"")</f>
        <v>338.25161743164102</v>
      </c>
      <c r="Z184" s="8">
        <f>IFERROR(VLOOKUP(B184,Reads_ps!B:F,5,FALSE),"")</f>
        <v>543.02258300781295</v>
      </c>
      <c r="AA184" s="248">
        <f t="shared" si="60"/>
        <v>0.16502027718333889</v>
      </c>
      <c r="AB184" s="249">
        <f t="shared" si="63"/>
        <v>882</v>
      </c>
      <c r="AC184" s="249" t="str">
        <f t="shared" si="48"/>
        <v>D4ds v4</v>
      </c>
      <c r="AD184" s="246" t="s">
        <v>290</v>
      </c>
      <c r="AE184" s="246">
        <f>IFERROR(VLOOKUP(AD184,'Web-SKUS'!A:E,2,FALSE),"")</f>
        <v>2</v>
      </c>
      <c r="AF184" s="246">
        <f>_xlfn.NUMBERVALUE(IFERROR(VLOOKUP(AD184,'Web-SKUS'!A:E,4,FALSE),""))</f>
        <v>4</v>
      </c>
      <c r="AG184" s="246">
        <f>IFERROR(VLOOKUP(AD184,VM_Performance_Stats!A:G,7,FALSE),0)</f>
        <v>4</v>
      </c>
      <c r="AH184" s="246">
        <f>IFERROR(VLOOKUP(AD184,VM_Performance_Stats!A:I,8,FALSE),"")</f>
        <v>3200</v>
      </c>
      <c r="AI184" s="246">
        <f t="shared" si="49"/>
        <v>1</v>
      </c>
      <c r="AJ184" s="246">
        <f t="shared" si="50"/>
        <v>1</v>
      </c>
      <c r="AK184" s="246">
        <f>IFERROR(IF(VLOOKUP(AD184,VM_Performance_Stats!A:I,8,FALSE)&gt;AB184,1,0),0)</f>
        <v>1</v>
      </c>
      <c r="AL184" t="str">
        <f>IFERROR(VLOOKUP(AD184,'Web-SKUS'!A:G,7,FALSE),"")</f>
        <v>£31.2409/month</v>
      </c>
      <c r="AM184" s="250">
        <f t="shared" si="51"/>
        <v>31.2409</v>
      </c>
      <c r="AN184" t="str">
        <f>IFERROR(IF(C184=1,VLOOKUP(K184,'Web-SKUS'!A:G,7,FALSE),VLOOKUP(K184,'Web-SKUS'!A:G,6,FALSE)),"")</f>
        <v>£87.3242/month</v>
      </c>
      <c r="AO184" s="250">
        <f t="shared" si="52"/>
        <v>87.324200000000005</v>
      </c>
      <c r="AP184" s="250">
        <f t="shared" si="53"/>
        <v>31.2409</v>
      </c>
      <c r="AQ184" s="251">
        <f t="shared" si="54"/>
        <v>56.083300000000008</v>
      </c>
      <c r="AR184" s="251">
        <f t="shared" si="55"/>
        <v>672.9996000000001</v>
      </c>
      <c r="AS184" s="251" t="str">
        <f>VLOOKUP(B184,'Willie List'!B:M,12,FALSE)</f>
        <v>YES</v>
      </c>
      <c r="AT184" s="251" t="str">
        <f t="shared" si="56"/>
        <v>Standard_D4ds_v4</v>
      </c>
      <c r="AU184" s="251" t="str">
        <f t="shared" si="57"/>
        <v>D4ds v4</v>
      </c>
      <c r="AV184" s="245" t="str">
        <f t="shared" si="58"/>
        <v>F2s v2</v>
      </c>
      <c r="AW184" s="246">
        <f t="shared" si="59"/>
        <v>0</v>
      </c>
    </row>
    <row r="185" spans="1:49" s="238" customFormat="1">
      <c r="A185" s="238" t="s">
        <v>506</v>
      </c>
      <c r="B185" s="245" t="s">
        <v>551</v>
      </c>
      <c r="C185" s="246">
        <f>IFERROR(IF(VLOOKUP(B185,'Willie List'!B:B,1,FALSE) &lt;&gt; "",1,0),0)</f>
        <v>1</v>
      </c>
      <c r="D185" s="246"/>
      <c r="E185" s="245" t="s">
        <v>101</v>
      </c>
      <c r="F185" s="245" t="s">
        <v>552</v>
      </c>
      <c r="G185" s="245" t="s">
        <v>288</v>
      </c>
      <c r="H185" s="245" t="s">
        <v>153</v>
      </c>
      <c r="I185" s="245" t="s">
        <v>154</v>
      </c>
      <c r="J185" s="245" t="s">
        <v>553</v>
      </c>
      <c r="K185" s="246" t="str">
        <f t="shared" si="64"/>
        <v>A2 v2</v>
      </c>
      <c r="L185" s="246">
        <f>VLOOKUP(K185,'Web-SKUS'!A:E,2,FALSE)</f>
        <v>2</v>
      </c>
      <c r="M185" s="246" t="str">
        <f>VLOOKUP(K185,'Web-SKUS'!A:E,4,FALSE)</f>
        <v>4</v>
      </c>
      <c r="N185" s="245" t="s">
        <v>277</v>
      </c>
      <c r="O185" s="246">
        <v>1</v>
      </c>
      <c r="P185" s="245" t="s">
        <v>157</v>
      </c>
      <c r="Q185" s="245">
        <f>IFERROR(VLOOKUP(B185,PercentCPU!B:F,4,FALSE),"")</f>
        <v>20.159452778241526</v>
      </c>
      <c r="R185" s="245">
        <f>IFERROR(VLOOKUP(B185,MemoryAvailable!B:F,3,FALSE),"")</f>
        <v>1802.9299527258054</v>
      </c>
      <c r="S185" s="247">
        <f t="shared" si="44"/>
        <v>0.55983155451030142</v>
      </c>
      <c r="T185" s="245">
        <f t="shared" si="45"/>
        <v>1</v>
      </c>
      <c r="U185" s="246">
        <f t="shared" si="46"/>
        <v>2</v>
      </c>
      <c r="V185" s="246" t="str">
        <f t="shared" si="47"/>
        <v>F Series</v>
      </c>
      <c r="W185" s="8">
        <f>IFERROR(VLOOKUP(B185,Write_Bytes_ps!B:F,4,FALSE)/1024/1024,"")</f>
        <v>0.11441069502076612</v>
      </c>
      <c r="X185" s="8">
        <f>IFERROR(VLOOKUP(B185,Read_Bytes_ps!B:F,4,FALSE)/1024/1024,"")</f>
        <v>0</v>
      </c>
      <c r="Y185" s="8">
        <f>IFERROR(VLOOKUP(B185,Writes_ps!B:F,5,FALSE),"")</f>
        <v>186.45801312476101</v>
      </c>
      <c r="Z185" s="8">
        <f>IFERROR(VLOOKUP(B185,Reads_ps!B:F,5,FALSE),"")</f>
        <v>92.193893549753298</v>
      </c>
      <c r="AA185" s="248">
        <f t="shared" si="60"/>
        <v>0.11441069502076612</v>
      </c>
      <c r="AB185" s="249">
        <f t="shared" si="63"/>
        <v>279</v>
      </c>
      <c r="AC185" s="249" t="str">
        <f t="shared" si="48"/>
        <v>A2 v2</v>
      </c>
      <c r="AD185" s="246" t="s">
        <v>290</v>
      </c>
      <c r="AE185" s="246">
        <f>IFERROR(VLOOKUP(AD185,'Web-SKUS'!A:E,2,FALSE),"")</f>
        <v>2</v>
      </c>
      <c r="AF185" s="246">
        <f>_xlfn.NUMBERVALUE(IFERROR(VLOOKUP(AD185,'Web-SKUS'!A:E,4,FALSE),""))</f>
        <v>4</v>
      </c>
      <c r="AG185" s="246">
        <f>IFERROR(VLOOKUP(AD185,VM_Performance_Stats!A:G,7,FALSE),0)</f>
        <v>4</v>
      </c>
      <c r="AH185" s="246">
        <f>IFERROR(VLOOKUP(AD185,VM_Performance_Stats!A:I,8,FALSE),"")</f>
        <v>3200</v>
      </c>
      <c r="AI185" s="246">
        <f t="shared" si="49"/>
        <v>1</v>
      </c>
      <c r="AJ185" s="246">
        <f t="shared" si="50"/>
        <v>1</v>
      </c>
      <c r="AK185" s="246">
        <f>IFERROR(IF(VLOOKUP(AD185,VM_Performance_Stats!A:I,8,FALSE)&gt;AB185,1,0),0)</f>
        <v>1</v>
      </c>
      <c r="AL185" t="str">
        <f>IFERROR(VLOOKUP(AD185,'Web-SKUS'!A:G,7,FALSE),"")</f>
        <v>£31.2409/month</v>
      </c>
      <c r="AM185" s="250">
        <f t="shared" si="51"/>
        <v>31.2409</v>
      </c>
      <c r="AN185" t="str">
        <f>IFERROR(IF(C185=1,VLOOKUP(K185,'Web-SKUS'!A:G,7,FALSE),VLOOKUP(K185,'Web-SKUS'!A:G,6,FALSE)),"")</f>
        <v>£47.3346/month</v>
      </c>
      <c r="AO185" s="250">
        <f t="shared" si="52"/>
        <v>47.334600000000002</v>
      </c>
      <c r="AP185" s="250">
        <f t="shared" si="53"/>
        <v>31.2409</v>
      </c>
      <c r="AQ185" s="251">
        <f t="shared" si="54"/>
        <v>16.093700000000002</v>
      </c>
      <c r="AR185" s="244">
        <f t="shared" si="55"/>
        <v>193.12440000000004</v>
      </c>
      <c r="AS185" s="244">
        <f>VLOOKUP(B185,'Willie List'!B:M,12,FALSE)</f>
        <v>0</v>
      </c>
      <c r="AT185" s="244" t="str">
        <f t="shared" si="56"/>
        <v>Standard_A2_v2</v>
      </c>
      <c r="AU185" s="244" t="str">
        <f t="shared" si="57"/>
        <v>A2 v2</v>
      </c>
      <c r="AV185" s="238" t="str">
        <f t="shared" si="58"/>
        <v>F2s v2</v>
      </c>
      <c r="AW185" s="239">
        <f t="shared" si="59"/>
        <v>0</v>
      </c>
    </row>
    <row r="186" spans="1:49" s="238" customFormat="1">
      <c r="A186" s="238" t="s">
        <v>554</v>
      </c>
      <c r="B186" s="101" t="s">
        <v>555</v>
      </c>
      <c r="C186" s="228">
        <f>IFERROR(IF(VLOOKUP(B186,'Willie List'!B:B,1,FALSE) &lt;&gt; "",1,0),0)</f>
        <v>1</v>
      </c>
      <c r="D186" s="228"/>
      <c r="E186" s="101" t="s">
        <v>95</v>
      </c>
      <c r="F186" s="101" t="s">
        <v>556</v>
      </c>
      <c r="G186" s="101" t="s">
        <v>152</v>
      </c>
      <c r="H186" s="101" t="s">
        <v>153</v>
      </c>
      <c r="I186" s="101" t="s">
        <v>154</v>
      </c>
      <c r="J186" s="101" t="s">
        <v>56</v>
      </c>
      <c r="K186" s="228" t="str">
        <f t="shared" si="64"/>
        <v>D2ds v4</v>
      </c>
      <c r="L186" s="228">
        <f>VLOOKUP(K186,'Web-SKUS'!A:E,2,FALSE)</f>
        <v>2</v>
      </c>
      <c r="M186" s="228" t="str">
        <f>VLOOKUP(K186,'Web-SKUS'!A:E,4,FALSE)</f>
        <v>8</v>
      </c>
      <c r="N186" s="101" t="s">
        <v>277</v>
      </c>
      <c r="O186" s="228">
        <v>1</v>
      </c>
      <c r="P186" s="101" t="s">
        <v>157</v>
      </c>
      <c r="Q186" s="101">
        <f>IFERROR(VLOOKUP(B186,PercentCPU!B:F,4,FALSE),"")</f>
        <v>8.1753464735793226</v>
      </c>
      <c r="R186" s="101">
        <f>IFERROR(VLOOKUP(B186,MemoryAvailable!B:F,3,FALSE),"")</f>
        <v>5016.2967654047261</v>
      </c>
      <c r="S186" s="229">
        <f t="shared" si="44"/>
        <v>0.3876590862543059</v>
      </c>
      <c r="T186" s="101">
        <f t="shared" si="45"/>
        <v>1</v>
      </c>
      <c r="U186" s="228">
        <f t="shared" si="46"/>
        <v>3</v>
      </c>
      <c r="V186" s="228">
        <f t="shared" si="47"/>
        <v>0</v>
      </c>
      <c r="W186" s="8">
        <f>IFERROR(VLOOKUP(B186,Write_Bytes_ps!B:F,4,FALSE)/1024/1024,"")</f>
        <v>7.914162560633406E-2</v>
      </c>
      <c r="X186" s="8">
        <f>IFERROR(VLOOKUP(B186,Read_Bytes_ps!B:F,4,FALSE)/1024/1024,"")</f>
        <v>1.1263016264320877E-2</v>
      </c>
      <c r="Y186" s="8">
        <f>IFERROR(VLOOKUP(B186,Writes_ps!B:F,5,FALSE),"")</f>
        <v>532.05671945553195</v>
      </c>
      <c r="Z186" s="8">
        <f>IFERROR(VLOOKUP(B186,Reads_ps!B:F,5,FALSE),"")</f>
        <v>102.579504783725</v>
      </c>
      <c r="AA186" s="230">
        <f t="shared" si="60"/>
        <v>9.0404641870654931E-2</v>
      </c>
      <c r="AB186" s="231">
        <f t="shared" si="63"/>
        <v>635</v>
      </c>
      <c r="AC186" s="231" t="str">
        <f t="shared" si="48"/>
        <v>D2ds v4</v>
      </c>
      <c r="AD186" s="228" t="s">
        <v>290</v>
      </c>
      <c r="AE186" s="228">
        <f>IFERROR(VLOOKUP(AD186,'Web-SKUS'!A:E,2,FALSE),"")</f>
        <v>2</v>
      </c>
      <c r="AF186" s="228">
        <f>_xlfn.NUMBERVALUE(IFERROR(VLOOKUP(AD186,'Web-SKUS'!A:E,4,FALSE),""))</f>
        <v>4</v>
      </c>
      <c r="AG186" s="228">
        <f>IFERROR(VLOOKUP(AD186,VM_Performance_Stats!A:G,7,FALSE),0)</f>
        <v>4</v>
      </c>
      <c r="AH186" s="228">
        <f>IFERROR(VLOOKUP(AD186,VM_Performance_Stats!A:I,8,FALSE),"")</f>
        <v>3200</v>
      </c>
      <c r="AI186" s="228">
        <f t="shared" si="49"/>
        <v>1</v>
      </c>
      <c r="AJ186" s="228">
        <f t="shared" si="50"/>
        <v>1</v>
      </c>
      <c r="AK186" s="228">
        <f>IFERROR(IF(VLOOKUP(AD186,VM_Performance_Stats!A:I,8,FALSE)&gt;AB186,1,0),0)</f>
        <v>1</v>
      </c>
      <c r="AL186" t="str">
        <f>IFERROR(VLOOKUP(AD186,'Web-SKUS'!A:G,7,FALSE),"")</f>
        <v>£31.2409/month</v>
      </c>
      <c r="AM186" s="232">
        <f t="shared" si="51"/>
        <v>31.2409</v>
      </c>
      <c r="AN186" t="str">
        <f>IFERROR(IF(C186=1,VLOOKUP(K186,'Web-SKUS'!A:G,7,FALSE),VLOOKUP(K186,'Web-SKUS'!A:G,6,FALSE)),"")</f>
        <v>£43.6621/month</v>
      </c>
      <c r="AO186" s="232">
        <f t="shared" si="52"/>
        <v>43.662100000000002</v>
      </c>
      <c r="AP186" s="232">
        <f t="shared" si="53"/>
        <v>31.2409</v>
      </c>
      <c r="AQ186" s="225">
        <f t="shared" si="54"/>
        <v>12.421200000000002</v>
      </c>
      <c r="AR186" s="244">
        <f t="shared" si="55"/>
        <v>149.05440000000004</v>
      </c>
      <c r="AS186" s="244" t="str">
        <f>VLOOKUP(B186,'Willie List'!B:M,12,FALSE)</f>
        <v>YES</v>
      </c>
      <c r="AT186" s="244" t="str">
        <f t="shared" si="56"/>
        <v>Standard_D2ds_v4</v>
      </c>
      <c r="AU186" s="244" t="str">
        <f t="shared" si="57"/>
        <v>D2ds v4</v>
      </c>
      <c r="AV186" s="238" t="str">
        <f t="shared" si="58"/>
        <v>F2s v2</v>
      </c>
      <c r="AW186" s="239">
        <f t="shared" si="59"/>
        <v>0</v>
      </c>
    </row>
    <row r="187" spans="1:49" s="238" customFormat="1">
      <c r="A187" s="238" t="s">
        <v>554</v>
      </c>
      <c r="B187" s="245" t="s">
        <v>557</v>
      </c>
      <c r="C187" s="246">
        <f>IFERROR(IF(VLOOKUP(B187,'Willie List'!B:B,1,FALSE) &lt;&gt; "",1,0),0)</f>
        <v>1</v>
      </c>
      <c r="D187" s="246">
        <v>1</v>
      </c>
      <c r="E187" s="245" t="s">
        <v>101</v>
      </c>
      <c r="F187" s="245" t="s">
        <v>350</v>
      </c>
      <c r="G187" s="245" t="s">
        <v>152</v>
      </c>
      <c r="H187" s="245" t="s">
        <v>153</v>
      </c>
      <c r="I187" s="245" t="s">
        <v>276</v>
      </c>
      <c r="J187" s="245" t="s">
        <v>85</v>
      </c>
      <c r="K187" s="246" t="str">
        <f t="shared" si="64"/>
        <v>F2s</v>
      </c>
      <c r="L187" s="246">
        <f>VLOOKUP(K187,'Web-SKUS'!A:E,2,FALSE)</f>
        <v>2</v>
      </c>
      <c r="M187" s="246" t="str">
        <f>VLOOKUP(K187,'Web-SKUS'!A:E,4,FALSE)</f>
        <v>4</v>
      </c>
      <c r="N187" s="245" t="s">
        <v>277</v>
      </c>
      <c r="O187" s="246">
        <v>3</v>
      </c>
      <c r="P187" s="245" t="s">
        <v>157</v>
      </c>
      <c r="Q187" s="245">
        <f>IFERROR(VLOOKUP(B187,PercentCPU!B:F,4,FALSE),"")</f>
        <v>8.1005890487898622</v>
      </c>
      <c r="R187" s="245">
        <f>IFERROR(VLOOKUP(B187,MemoryAvailable!B:F,3,FALSE),"")</f>
        <v>1110.38020698272</v>
      </c>
      <c r="S187" s="247">
        <f t="shared" ref="S187:S250" si="65">IFERROR(100%-(R187/(M187*1024)),"")</f>
        <v>0.72891108227960943</v>
      </c>
      <c r="T187" s="245">
        <f t="shared" ref="T187:T250" si="66">IFERROR(ROUNDUP(Q187/100*L187,0),"")</f>
        <v>1</v>
      </c>
      <c r="U187" s="246">
        <f t="shared" ref="U187:U250" si="67">IFERROR(ROUND(S187*M187,0),0)</f>
        <v>3</v>
      </c>
      <c r="V187" s="246">
        <f t="shared" ref="V187:V250" si="68">IFERROR(IF(T187/U187 = 0.25, "D Series",IF(T187/U187 = 0.5, "F Series",IF(T187/U187 = 0.125, "E Series", ) ) ),"")</f>
        <v>0</v>
      </c>
      <c r="W187" s="8">
        <f>IFERROR(VLOOKUP(B187,Write_Bytes_ps!B:F,4,FALSE)/1024/1024,"")</f>
        <v>0.13113122388350026</v>
      </c>
      <c r="X187" s="8">
        <f>IFERROR(VLOOKUP(B187,Read_Bytes_ps!B:F,4,FALSE)/1024/1024,"")</f>
        <v>0.10919443856039426</v>
      </c>
      <c r="Y187" s="8">
        <f>IFERROR(VLOOKUP(B187,Writes_ps!B:F,5,FALSE),"")</f>
        <v>295.67913818359398</v>
      </c>
      <c r="Z187" s="8">
        <f>IFERROR(VLOOKUP(B187,Reads_ps!B:F,5,FALSE),"")</f>
        <v>932.21099853515602</v>
      </c>
      <c r="AA187" s="248">
        <f t="shared" si="60"/>
        <v>0.24032566244389453</v>
      </c>
      <c r="AB187" s="249">
        <f t="shared" si="63"/>
        <v>1228</v>
      </c>
      <c r="AC187" s="249" t="str">
        <f t="shared" ref="AC187:AC250" si="69">K187</f>
        <v>F2s</v>
      </c>
      <c r="AD187" s="246" t="s">
        <v>290</v>
      </c>
      <c r="AE187" s="246">
        <f>IFERROR(VLOOKUP(AD187,'Web-SKUS'!A:E,2,FALSE),"")</f>
        <v>2</v>
      </c>
      <c r="AF187" s="246">
        <f>_xlfn.NUMBERVALUE(IFERROR(VLOOKUP(AD187,'Web-SKUS'!A:E,4,FALSE),""))</f>
        <v>4</v>
      </c>
      <c r="AG187" s="246">
        <f>IFERROR(VLOOKUP(AD187,VM_Performance_Stats!A:G,7,FALSE),0)</f>
        <v>4</v>
      </c>
      <c r="AH187" s="246">
        <f>IFERROR(VLOOKUP(AD187,VM_Performance_Stats!A:I,8,FALSE),"")</f>
        <v>3200</v>
      </c>
      <c r="AI187" s="246">
        <f t="shared" ref="AI187:AI250" si="70">IFERROR(IF(AF187&lt;U187,0,1),0)</f>
        <v>1</v>
      </c>
      <c r="AJ187" s="246">
        <f t="shared" ref="AJ187:AJ250" si="71">IF(AG187&lt;O187,0,1)</f>
        <v>1</v>
      </c>
      <c r="AK187" s="246">
        <f>IFERROR(IF(VLOOKUP(AD187,VM_Performance_Stats!A:I,8,FALSE)&gt;AB187,1,0),0)</f>
        <v>1</v>
      </c>
      <c r="AL187" t="str">
        <f>IFERROR(VLOOKUP(AD187,'Web-SKUS'!A:G,7,FALSE),"")</f>
        <v>£31.2409/month</v>
      </c>
      <c r="AM187" s="250">
        <f t="shared" ref="AM187:AM250" si="72">IFERROR(_xlfn.NUMBERVALUE(REPLACE(REPLACE(AL187,FIND("/month",AL187,1),6,),FIND("£",REPLACE(AL187,FIND("/month",AL187,1),6,),1),1,),".",","),"")</f>
        <v>31.2409</v>
      </c>
      <c r="AN187" t="str">
        <f>IFERROR(IF(C187=1,VLOOKUP(K187,'Web-SKUS'!A:G,7,FALSE),VLOOKUP(K187,'Web-SKUS'!A:G,6,FALSE)),"")</f>
        <v>£44.9679/month</v>
      </c>
      <c r="AO187" s="250">
        <f t="shared" ref="AO187:AO250" si="73">IFERROR(_xlfn.NUMBERVALUE(REPLACE(REPLACE(AN187,FIND("/month",AN187,1),6,),FIND("£",REPLACE(AN187,FIND("/month",AN187,1),6,),1),1,),".",","),"")</f>
        <v>44.9679</v>
      </c>
      <c r="AP187" s="250">
        <f t="shared" ref="AP187:AP250" si="74">IF(_xlfn.NUMBERVALUE(AM187,".",",")&gt;0,AM187,AO187)</f>
        <v>31.2409</v>
      </c>
      <c r="AQ187" s="251">
        <f t="shared" ref="AQ187:AQ250" si="75">IFERROR(IF(AM187&gt;0,AO187-AM187,0),0)</f>
        <v>13.727</v>
      </c>
      <c r="AR187" s="244">
        <f t="shared" si="55"/>
        <v>164.72399999999999</v>
      </c>
      <c r="AS187" s="244" t="str">
        <f>VLOOKUP(B187,'Willie List'!B:M,12,FALSE)</f>
        <v>YES</v>
      </c>
      <c r="AT187" s="244" t="str">
        <f t="shared" si="56"/>
        <v>Standard_F2s</v>
      </c>
      <c r="AU187" s="244" t="str">
        <f t="shared" si="57"/>
        <v>F2s</v>
      </c>
      <c r="AV187" s="238" t="str">
        <f t="shared" si="58"/>
        <v>F2s v2</v>
      </c>
      <c r="AW187" s="239">
        <f t="shared" si="59"/>
        <v>0</v>
      </c>
    </row>
    <row r="188" spans="1:49" s="238" customFormat="1">
      <c r="A188" s="238" t="s">
        <v>558</v>
      </c>
      <c r="B188" s="245" t="s">
        <v>559</v>
      </c>
      <c r="C188" s="246">
        <f>IFERROR(IF(VLOOKUP(B188,'Willie List'!B:B,1,FALSE) &lt;&gt; "",1,0),0)</f>
        <v>1</v>
      </c>
      <c r="D188" s="246"/>
      <c r="E188" s="245" t="s">
        <v>101</v>
      </c>
      <c r="F188" s="245" t="s">
        <v>560</v>
      </c>
      <c r="G188" s="245" t="s">
        <v>152</v>
      </c>
      <c r="H188" s="245" t="s">
        <v>153</v>
      </c>
      <c r="I188" s="245" t="s">
        <v>276</v>
      </c>
      <c r="J188" s="245" t="s">
        <v>57</v>
      </c>
      <c r="K188" s="246" t="str">
        <f t="shared" si="64"/>
        <v>D4ds v4</v>
      </c>
      <c r="L188" s="246">
        <f>VLOOKUP(K188,'Web-SKUS'!A:E,2,FALSE)</f>
        <v>4</v>
      </c>
      <c r="M188" s="246" t="str">
        <f>VLOOKUP(K188,'Web-SKUS'!A:E,4,FALSE)</f>
        <v>16</v>
      </c>
      <c r="N188" s="245" t="s">
        <v>277</v>
      </c>
      <c r="O188" s="246">
        <v>6</v>
      </c>
      <c r="P188" s="245" t="s">
        <v>157</v>
      </c>
      <c r="Q188" s="245">
        <f>IFERROR(VLOOKUP(B188,PercentCPU!B:F,4,FALSE),"")</f>
        <v>18.298320239285442</v>
      </c>
      <c r="R188" s="245">
        <f>IFERROR(VLOOKUP(B188,MemoryAvailable!B:F,3,FALSE),"")</f>
        <v>9915.7550183771564</v>
      </c>
      <c r="S188" s="247">
        <f t="shared" si="65"/>
        <v>0.39479034311662864</v>
      </c>
      <c r="T188" s="245">
        <f t="shared" si="66"/>
        <v>1</v>
      </c>
      <c r="U188" s="246">
        <f t="shared" si="67"/>
        <v>6</v>
      </c>
      <c r="V188" s="246">
        <f t="shared" si="68"/>
        <v>0</v>
      </c>
      <c r="W188" s="8">
        <f>IFERROR(VLOOKUP(B188,Write_Bytes_ps!B:F,4,FALSE)/1024/1024,"")</f>
        <v>0.19733773369608182</v>
      </c>
      <c r="X188" s="8">
        <f>IFERROR(VLOOKUP(B188,Read_Bytes_ps!B:F,4,FALSE)/1024/1024,"")</f>
        <v>0.38644029141171499</v>
      </c>
      <c r="Y188" s="8">
        <f>IFERROR(VLOOKUP(B188,Writes_ps!B:F,5,FALSE),"")</f>
        <v>217.79934692382801</v>
      </c>
      <c r="Z188" s="8">
        <f>IFERROR(VLOOKUP(B188,Reads_ps!B:F,5,FALSE),"")</f>
        <v>783.0380859375</v>
      </c>
      <c r="AA188" s="248">
        <f t="shared" si="60"/>
        <v>0.58377802510779686</v>
      </c>
      <c r="AB188" s="249">
        <f t="shared" si="63"/>
        <v>1001</v>
      </c>
      <c r="AC188" s="249" t="str">
        <f t="shared" si="69"/>
        <v>D4ds v4</v>
      </c>
      <c r="AD188" s="246" t="s">
        <v>443</v>
      </c>
      <c r="AE188" s="246">
        <f>IFERROR(VLOOKUP(AD188,'Web-SKUS'!A:E,2,FALSE),"")</f>
        <v>4</v>
      </c>
      <c r="AF188" s="246">
        <f>_xlfn.NUMBERVALUE(IFERROR(VLOOKUP(AD188,'Web-SKUS'!A:E,4,FALSE),""))</f>
        <v>8</v>
      </c>
      <c r="AG188" s="246">
        <f>IFERROR(VLOOKUP(AD188,VM_Performance_Stats!A:G,7,FALSE),0)</f>
        <v>8</v>
      </c>
      <c r="AH188" s="246">
        <f>IFERROR(VLOOKUP(AD188,VM_Performance_Stats!A:I,8,FALSE),"")</f>
        <v>6400</v>
      </c>
      <c r="AI188" s="246">
        <f t="shared" si="70"/>
        <v>1</v>
      </c>
      <c r="AJ188" s="246">
        <f t="shared" si="71"/>
        <v>1</v>
      </c>
      <c r="AK188" s="246">
        <f>IFERROR(IF(VLOOKUP(AD188,VM_Performance_Stats!A:I,8,FALSE)&gt;AB188,1,0),0)</f>
        <v>1</v>
      </c>
      <c r="AL188" t="str">
        <f>IFERROR(VLOOKUP(AD188,'Web-SKUS'!A:G,7,FALSE),"")</f>
        <v>£62.5415/month</v>
      </c>
      <c r="AM188" s="250">
        <f t="shared" si="72"/>
        <v>62.541499999999999</v>
      </c>
      <c r="AN188" t="str">
        <f>IFERROR(IF(C188=1,VLOOKUP(K188,'Web-SKUS'!A:G,7,FALSE),VLOOKUP(K188,'Web-SKUS'!A:G,6,FALSE)),"")</f>
        <v>£87.3242/month</v>
      </c>
      <c r="AO188" s="250">
        <f t="shared" si="73"/>
        <v>87.324200000000005</v>
      </c>
      <c r="AP188" s="250">
        <f t="shared" si="74"/>
        <v>62.541499999999999</v>
      </c>
      <c r="AQ188" s="251">
        <f t="shared" si="75"/>
        <v>24.782700000000006</v>
      </c>
      <c r="AR188" s="244">
        <f t="shared" si="55"/>
        <v>297.39240000000007</v>
      </c>
      <c r="AS188" s="244" t="str">
        <f>VLOOKUP(B188,'Willie List'!B:M,12,FALSE)</f>
        <v>YES</v>
      </c>
      <c r="AT188" s="244" t="str">
        <f t="shared" si="56"/>
        <v>Standard_D4ds_v4</v>
      </c>
      <c r="AU188" s="244" t="str">
        <f t="shared" si="57"/>
        <v>D4ds v4</v>
      </c>
      <c r="AV188" s="238" t="str">
        <f t="shared" si="58"/>
        <v>F4s v2</v>
      </c>
      <c r="AW188" s="239">
        <f t="shared" si="59"/>
        <v>0</v>
      </c>
    </row>
    <row r="189" spans="1:49" s="238" customFormat="1">
      <c r="A189" s="238" t="s">
        <v>554</v>
      </c>
      <c r="B189" s="245" t="s">
        <v>561</v>
      </c>
      <c r="C189" s="246">
        <f>IFERROR(IF(VLOOKUP(B189,'Willie List'!B:B,1,FALSE) &lt;&gt; "",1,0),0)</f>
        <v>1</v>
      </c>
      <c r="D189" s="246"/>
      <c r="E189" s="245" t="s">
        <v>101</v>
      </c>
      <c r="F189" s="245" t="s">
        <v>560</v>
      </c>
      <c r="G189" s="245" t="s">
        <v>152</v>
      </c>
      <c r="H189" s="245" t="s">
        <v>153</v>
      </c>
      <c r="I189" s="245" t="s">
        <v>276</v>
      </c>
      <c r="J189" s="245" t="s">
        <v>57</v>
      </c>
      <c r="K189" s="246" t="str">
        <f t="shared" si="64"/>
        <v>D4ds v4</v>
      </c>
      <c r="L189" s="246">
        <f>VLOOKUP(K189,'Web-SKUS'!A:E,2,FALSE)</f>
        <v>4</v>
      </c>
      <c r="M189" s="246" t="str">
        <f>VLOOKUP(K189,'Web-SKUS'!A:E,4,FALSE)</f>
        <v>16</v>
      </c>
      <c r="N189" s="245" t="s">
        <v>277</v>
      </c>
      <c r="O189" s="246">
        <v>5</v>
      </c>
      <c r="P189" s="245" t="s">
        <v>157</v>
      </c>
      <c r="Q189" s="245">
        <f>IFERROR(VLOOKUP(B189,PercentCPU!B:F,4,FALSE),"")</f>
        <v>21.314428312648129</v>
      </c>
      <c r="R189" s="245">
        <f>IFERROR(VLOOKUP(B189,MemoryAvailable!B:F,3,FALSE),"")</f>
        <v>10438.396819787986</v>
      </c>
      <c r="S189" s="247">
        <f t="shared" si="65"/>
        <v>0.36289081910473719</v>
      </c>
      <c r="T189" s="245">
        <f t="shared" si="66"/>
        <v>1</v>
      </c>
      <c r="U189" s="246">
        <f t="shared" si="67"/>
        <v>6</v>
      </c>
      <c r="V189" s="246">
        <f t="shared" si="68"/>
        <v>0</v>
      </c>
      <c r="W189" s="8">
        <f>IFERROR(VLOOKUP(B189,Write_Bytes_ps!B:F,4,FALSE)/1024/1024,"")</f>
        <v>0.15395072930995296</v>
      </c>
      <c r="X189" s="8">
        <f>IFERROR(VLOOKUP(B189,Read_Bytes_ps!B:F,4,FALSE)/1024/1024,"")</f>
        <v>0.10197375441890501</v>
      </c>
      <c r="Y189" s="8">
        <f>IFERROR(VLOOKUP(B189,Writes_ps!B:F,5,FALSE),"")</f>
        <v>288.88342285156301</v>
      </c>
      <c r="Z189" s="8">
        <f>IFERROR(VLOOKUP(B189,Reads_ps!B:F,5,FALSE),"")</f>
        <v>997.94396972656295</v>
      </c>
      <c r="AA189" s="248">
        <f t="shared" si="60"/>
        <v>0.25592448372885795</v>
      </c>
      <c r="AB189" s="249">
        <f t="shared" si="63"/>
        <v>1287</v>
      </c>
      <c r="AC189" s="249" t="str">
        <f t="shared" si="69"/>
        <v>D4ds v4</v>
      </c>
      <c r="AD189" s="246" t="s">
        <v>443</v>
      </c>
      <c r="AE189" s="246">
        <f>IFERROR(VLOOKUP(AD189,'Web-SKUS'!A:E,2,FALSE),"")</f>
        <v>4</v>
      </c>
      <c r="AF189" s="246">
        <f>_xlfn.NUMBERVALUE(IFERROR(VLOOKUP(AD189,'Web-SKUS'!A:E,4,FALSE),""))</f>
        <v>8</v>
      </c>
      <c r="AG189" s="246">
        <f>IFERROR(VLOOKUP(AD189,VM_Performance_Stats!A:G,7,FALSE),0)</f>
        <v>8</v>
      </c>
      <c r="AH189" s="246">
        <f>IFERROR(VLOOKUP(AD189,VM_Performance_Stats!A:I,8,FALSE),"")</f>
        <v>6400</v>
      </c>
      <c r="AI189" s="246">
        <f t="shared" si="70"/>
        <v>1</v>
      </c>
      <c r="AJ189" s="246">
        <f t="shared" si="71"/>
        <v>1</v>
      </c>
      <c r="AK189" s="246">
        <f>IFERROR(IF(VLOOKUP(AD189,VM_Performance_Stats!A:I,8,FALSE)&gt;AB189,1,0),0)</f>
        <v>1</v>
      </c>
      <c r="AL189" t="str">
        <f>IFERROR(VLOOKUP(AD189,'Web-SKUS'!A:G,7,FALSE),"")</f>
        <v>£62.5415/month</v>
      </c>
      <c r="AM189" s="250">
        <f t="shared" si="72"/>
        <v>62.541499999999999</v>
      </c>
      <c r="AN189" t="str">
        <f>IFERROR(IF(C189=1,VLOOKUP(K189,'Web-SKUS'!A:G,7,FALSE),VLOOKUP(K189,'Web-SKUS'!A:G,6,FALSE)),"")</f>
        <v>£87.3242/month</v>
      </c>
      <c r="AO189" s="250">
        <f t="shared" si="73"/>
        <v>87.324200000000005</v>
      </c>
      <c r="AP189" s="250">
        <f t="shared" si="74"/>
        <v>62.541499999999999</v>
      </c>
      <c r="AQ189" s="251">
        <f t="shared" si="75"/>
        <v>24.782700000000006</v>
      </c>
      <c r="AR189" s="244">
        <f t="shared" si="55"/>
        <v>297.39240000000007</v>
      </c>
      <c r="AS189" s="244" t="str">
        <f>VLOOKUP(B189,'Willie List'!B:M,12,FALSE)</f>
        <v>YES</v>
      </c>
      <c r="AT189" s="244" t="str">
        <f t="shared" si="56"/>
        <v>Standard_D4ds_v4</v>
      </c>
      <c r="AU189" s="244" t="str">
        <f t="shared" si="57"/>
        <v>D4ds v4</v>
      </c>
      <c r="AV189" s="238" t="str">
        <f t="shared" si="58"/>
        <v>F4s v2</v>
      </c>
      <c r="AW189" s="239">
        <f t="shared" si="59"/>
        <v>0</v>
      </c>
    </row>
    <row r="190" spans="1:49" s="238" customFormat="1">
      <c r="A190" s="238" t="s">
        <v>554</v>
      </c>
      <c r="B190" s="245" t="s">
        <v>562</v>
      </c>
      <c r="C190" s="246">
        <f>IFERROR(IF(VLOOKUP(B190,'Willie List'!B:B,1,FALSE) &lt;&gt; "",1,0),0)</f>
        <v>1</v>
      </c>
      <c r="D190" s="246"/>
      <c r="E190" s="245" t="s">
        <v>101</v>
      </c>
      <c r="F190" s="245" t="s">
        <v>350</v>
      </c>
      <c r="G190" s="245" t="s">
        <v>152</v>
      </c>
      <c r="H190" s="245" t="s">
        <v>153</v>
      </c>
      <c r="I190" s="245" t="s">
        <v>276</v>
      </c>
      <c r="J190" s="245" t="s">
        <v>57</v>
      </c>
      <c r="K190" s="246" t="str">
        <f t="shared" si="64"/>
        <v>D4ds v4</v>
      </c>
      <c r="L190" s="246">
        <f>VLOOKUP(K190,'Web-SKUS'!A:E,2,FALSE)</f>
        <v>4</v>
      </c>
      <c r="M190" s="246" t="str">
        <f>VLOOKUP(K190,'Web-SKUS'!A:E,4,FALSE)</f>
        <v>16</v>
      </c>
      <c r="N190" s="245" t="s">
        <v>277</v>
      </c>
      <c r="O190" s="246">
        <v>2</v>
      </c>
      <c r="P190" s="245" t="s">
        <v>157</v>
      </c>
      <c r="Q190" s="245">
        <f>IFERROR(VLOOKUP(B190,PercentCPU!B:F,4,FALSE),"")</f>
        <v>20.124767867758273</v>
      </c>
      <c r="R190" s="245">
        <f>IFERROR(VLOOKUP(B190,MemoryAvailable!B:F,3,FALSE),"")</f>
        <v>11479.508177019512</v>
      </c>
      <c r="S190" s="247">
        <f t="shared" si="65"/>
        <v>0.29934642474246143</v>
      </c>
      <c r="T190" s="245">
        <f t="shared" si="66"/>
        <v>1</v>
      </c>
      <c r="U190" s="246">
        <f t="shared" si="67"/>
        <v>5</v>
      </c>
      <c r="V190" s="246">
        <f t="shared" si="68"/>
        <v>0</v>
      </c>
      <c r="W190" s="8">
        <f>IFERROR(VLOOKUP(B190,Write_Bytes_ps!B:F,4,FALSE)/1024/1024,"")</f>
        <v>0.27637846758483497</v>
      </c>
      <c r="X190" s="8">
        <f>IFERROR(VLOOKUP(B190,Read_Bytes_ps!B:F,4,FALSE)/1024/1024,"")</f>
        <v>3.714990333080892E-2</v>
      </c>
      <c r="Y190" s="8">
        <f>IFERROR(VLOOKUP(B190,Writes_ps!B:F,5,FALSE),"")</f>
        <v>171.61459350585901</v>
      </c>
      <c r="Z190" s="8">
        <f>IFERROR(VLOOKUP(B190,Reads_ps!B:F,5,FALSE),"")</f>
        <v>552.43273925781295</v>
      </c>
      <c r="AA190" s="248">
        <f t="shared" si="60"/>
        <v>0.31352837091564389</v>
      </c>
      <c r="AB190" s="249">
        <f t="shared" si="63"/>
        <v>725</v>
      </c>
      <c r="AC190" s="249" t="str">
        <f t="shared" si="69"/>
        <v>D4ds v4</v>
      </c>
      <c r="AD190" s="246" t="s">
        <v>412</v>
      </c>
      <c r="AE190" s="246">
        <f>IFERROR(VLOOKUP(AD190,'Web-SKUS'!A:E,2,FALSE),"")</f>
        <v>2</v>
      </c>
      <c r="AF190" s="246">
        <f>_xlfn.NUMBERVALUE(IFERROR(VLOOKUP(AD190,'Web-SKUS'!A:E,4,FALSE),""))</f>
        <v>8</v>
      </c>
      <c r="AG190" s="246">
        <f>IFERROR(VLOOKUP(AD190,VM_Performance_Stats!A:G,7,FALSE),0)</f>
        <v>4</v>
      </c>
      <c r="AH190" s="246">
        <f>IFERROR(VLOOKUP(AD190,VM_Performance_Stats!A:I,8,FALSE),"")</f>
        <v>3200</v>
      </c>
      <c r="AI190" s="246">
        <f t="shared" si="70"/>
        <v>1</v>
      </c>
      <c r="AJ190" s="246">
        <f t="shared" si="71"/>
        <v>1</v>
      </c>
      <c r="AK190" s="246">
        <f>IFERROR(IF(VLOOKUP(AD190,VM_Performance_Stats!A:I,8,FALSE)&gt;AB190,1,0),0)</f>
        <v>1</v>
      </c>
      <c r="AL190" t="str">
        <f>IFERROR(VLOOKUP(AD190,'Web-SKUS'!A:G,7,FALSE),"")</f>
        <v>£43.6621/month</v>
      </c>
      <c r="AM190" s="250">
        <f t="shared" si="72"/>
        <v>43.662100000000002</v>
      </c>
      <c r="AN190" t="str">
        <f>IFERROR(IF(C190=1,VLOOKUP(K190,'Web-SKUS'!A:G,7,FALSE),VLOOKUP(K190,'Web-SKUS'!A:G,6,FALSE)),"")</f>
        <v>£87.3242/month</v>
      </c>
      <c r="AO190" s="250">
        <f t="shared" si="73"/>
        <v>87.324200000000005</v>
      </c>
      <c r="AP190" s="250">
        <f t="shared" si="74"/>
        <v>43.662100000000002</v>
      </c>
      <c r="AQ190" s="251">
        <f t="shared" si="75"/>
        <v>43.662100000000002</v>
      </c>
      <c r="AR190" s="244">
        <f t="shared" si="55"/>
        <v>523.9452</v>
      </c>
      <c r="AS190" s="244" t="str">
        <f>VLOOKUP(B190,'Willie List'!B:M,12,FALSE)</f>
        <v>YES</v>
      </c>
      <c r="AT190" s="244" t="str">
        <f t="shared" si="56"/>
        <v>Standard_D4ds_v4</v>
      </c>
      <c r="AU190" s="244" t="str">
        <f t="shared" si="57"/>
        <v>D4ds v4</v>
      </c>
      <c r="AV190" s="238" t="str">
        <f t="shared" si="58"/>
        <v>D2ds v4</v>
      </c>
      <c r="AW190" s="239">
        <f t="shared" si="59"/>
        <v>0</v>
      </c>
    </row>
    <row r="191" spans="1:49" s="245" customFormat="1">
      <c r="A191" s="245" t="s">
        <v>563</v>
      </c>
      <c r="B191" s="80" t="s">
        <v>564</v>
      </c>
      <c r="C191" s="252">
        <f>IFERROR(IF(VLOOKUP(B191,'Willie List'!B:B,1,FALSE) &lt;&gt; "",1,0),0)</f>
        <v>1</v>
      </c>
      <c r="D191" s="252"/>
      <c r="E191" s="80" t="s">
        <v>101</v>
      </c>
      <c r="F191" s="80" t="s">
        <v>330</v>
      </c>
      <c r="G191" s="80" t="s">
        <v>152</v>
      </c>
      <c r="H191" s="80" t="s">
        <v>153</v>
      </c>
      <c r="I191" s="80" t="s">
        <v>276</v>
      </c>
      <c r="J191" s="80" t="s">
        <v>57</v>
      </c>
      <c r="K191" s="252" t="str">
        <f t="shared" si="64"/>
        <v>D4ds v4</v>
      </c>
      <c r="L191" s="252">
        <f>VLOOKUP(K191,'Web-SKUS'!A:E,2,FALSE)</f>
        <v>4</v>
      </c>
      <c r="M191" s="252" t="str">
        <f>VLOOKUP(K191,'Web-SKUS'!A:E,4,FALSE)</f>
        <v>16</v>
      </c>
      <c r="N191" s="80" t="s">
        <v>277</v>
      </c>
      <c r="O191" s="252">
        <v>2</v>
      </c>
      <c r="P191" s="80" t="s">
        <v>157</v>
      </c>
      <c r="Q191" s="80">
        <f>IFERROR(VLOOKUP(B191,PercentCPU!B:F,4,FALSE),"")</f>
        <v>2.616313658735185</v>
      </c>
      <c r="R191" s="80">
        <f>IFERROR(VLOOKUP(B191,MemoryAvailable!B:F,3,FALSE),"")</f>
        <v>12863.002072099649</v>
      </c>
      <c r="S191" s="253">
        <f t="shared" si="65"/>
        <v>0.21490465868532416</v>
      </c>
      <c r="T191" s="80">
        <f t="shared" si="66"/>
        <v>1</v>
      </c>
      <c r="U191" s="252">
        <f t="shared" si="67"/>
        <v>3</v>
      </c>
      <c r="V191" s="252">
        <f t="shared" si="68"/>
        <v>0</v>
      </c>
      <c r="W191" s="8">
        <f>IFERROR(VLOOKUP(B191,Write_Bytes_ps!B:F,4,FALSE)/1024/1024,"")</f>
        <v>0.16887665963909065</v>
      </c>
      <c r="X191" s="8">
        <f>IFERROR(VLOOKUP(B191,Read_Bytes_ps!B:F,4,FALSE)/1024/1024,"")</f>
        <v>0.1016595428538405</v>
      </c>
      <c r="Y191" s="8">
        <f>IFERROR(VLOOKUP(B191,Writes_ps!B:F,5,FALSE),"")</f>
        <v>776.73883056640602</v>
      </c>
      <c r="Z191" s="8">
        <f>IFERROR(VLOOKUP(B191,Reads_ps!B:F,5,FALSE),"")</f>
        <v>450.60906982421898</v>
      </c>
      <c r="AA191" s="254">
        <f t="shared" si="60"/>
        <v>0.27053620249293114</v>
      </c>
      <c r="AB191" s="255">
        <f t="shared" si="63"/>
        <v>1228</v>
      </c>
      <c r="AC191" s="255" t="str">
        <f t="shared" si="69"/>
        <v>D4ds v4</v>
      </c>
      <c r="AD191" s="252" t="s">
        <v>290</v>
      </c>
      <c r="AE191" s="252">
        <f>IFERROR(VLOOKUP(AD191,'Web-SKUS'!A:E,2,FALSE),"")</f>
        <v>2</v>
      </c>
      <c r="AF191" s="252">
        <f>_xlfn.NUMBERVALUE(IFERROR(VLOOKUP(AD191,'Web-SKUS'!A:E,4,FALSE),""))</f>
        <v>4</v>
      </c>
      <c r="AG191" s="252">
        <f>IFERROR(VLOOKUP(AD191,VM_Performance_Stats!A:G,7,FALSE),0)</f>
        <v>4</v>
      </c>
      <c r="AH191" s="252">
        <f>IFERROR(VLOOKUP(AD191,VM_Performance_Stats!A:I,8,FALSE),"")</f>
        <v>3200</v>
      </c>
      <c r="AI191" s="252">
        <f t="shared" si="70"/>
        <v>1</v>
      </c>
      <c r="AJ191" s="252">
        <f t="shared" si="71"/>
        <v>1</v>
      </c>
      <c r="AK191" s="252">
        <f>IFERROR(IF(VLOOKUP(AD191,VM_Performance_Stats!A:I,8,FALSE)&gt;AB191,1,0),0)</f>
        <v>1</v>
      </c>
      <c r="AL191" t="str">
        <f>IFERROR(VLOOKUP(AD191,'Web-SKUS'!A:G,7,FALSE),"")</f>
        <v>£31.2409/month</v>
      </c>
      <c r="AM191" s="256">
        <f t="shared" si="72"/>
        <v>31.2409</v>
      </c>
      <c r="AN191" t="str">
        <f>IFERROR(IF(C191=1,VLOOKUP(K191,'Web-SKUS'!A:G,7,FALSE),VLOOKUP(K191,'Web-SKUS'!A:G,6,FALSE)),"")</f>
        <v>£87.3242/month</v>
      </c>
      <c r="AO191" s="256">
        <f t="shared" si="73"/>
        <v>87.324200000000005</v>
      </c>
      <c r="AP191" s="256">
        <f t="shared" si="74"/>
        <v>31.2409</v>
      </c>
      <c r="AQ191" s="257">
        <f t="shared" si="75"/>
        <v>56.083300000000008</v>
      </c>
      <c r="AR191" s="251">
        <f t="shared" si="55"/>
        <v>672.9996000000001</v>
      </c>
      <c r="AS191" s="251" t="str">
        <f>VLOOKUP(B191,'Willie List'!B:M,12,FALSE)</f>
        <v>YES</v>
      </c>
      <c r="AT191" s="251" t="str">
        <f t="shared" si="56"/>
        <v>Standard_D4ds_v4</v>
      </c>
      <c r="AU191" s="251" t="str">
        <f t="shared" si="57"/>
        <v>D4ds v4</v>
      </c>
      <c r="AV191" s="245" t="str">
        <f t="shared" si="58"/>
        <v>F2s v2</v>
      </c>
      <c r="AW191" s="246">
        <f t="shared" si="59"/>
        <v>0</v>
      </c>
    </row>
    <row r="192" spans="1:49" s="245" customFormat="1">
      <c r="A192" s="245" t="s">
        <v>487</v>
      </c>
      <c r="B192" s="245" t="s">
        <v>565</v>
      </c>
      <c r="C192" s="246">
        <f>IFERROR(IF(VLOOKUP(B192,'Willie List'!B:B,1,FALSE) &lt;&gt; "",1,0),0)</f>
        <v>1</v>
      </c>
      <c r="D192" s="246"/>
      <c r="E192" s="245" t="s">
        <v>101</v>
      </c>
      <c r="F192" s="245" t="s">
        <v>566</v>
      </c>
      <c r="G192" s="245" t="s">
        <v>152</v>
      </c>
      <c r="H192" s="245" t="s">
        <v>153</v>
      </c>
      <c r="I192" s="245" t="s">
        <v>154</v>
      </c>
      <c r="J192" s="245" t="s">
        <v>567</v>
      </c>
      <c r="K192" s="246" t="s">
        <v>568</v>
      </c>
      <c r="L192" s="246">
        <f>VLOOKUP(K192,'Web-SKUS'!A:E,2,FALSE)</f>
        <v>4</v>
      </c>
      <c r="M192" s="246" t="str">
        <f>VLOOKUP(K192,'Web-SKUS'!A:E,4,FALSE)</f>
        <v>14</v>
      </c>
      <c r="N192" s="245" t="s">
        <v>277</v>
      </c>
      <c r="O192" s="246">
        <v>1</v>
      </c>
      <c r="P192" s="245" t="s">
        <v>157</v>
      </c>
      <c r="Q192" s="245">
        <f>IFERROR(VLOOKUP(B192,PercentCPU!B:F,4,FALSE),"")</f>
        <v>8.9519859752611595</v>
      </c>
      <c r="R192" s="245">
        <f>IFERROR(VLOOKUP(B192,MemoryAvailable!B:F,3,FALSE),"")</f>
        <v>10556.163049731689</v>
      </c>
      <c r="S192" s="247">
        <f t="shared" si="65"/>
        <v>0.26366050155331411</v>
      </c>
      <c r="T192" s="245">
        <f t="shared" si="66"/>
        <v>1</v>
      </c>
      <c r="U192" s="246">
        <f t="shared" si="67"/>
        <v>4</v>
      </c>
      <c r="V192" s="246" t="str">
        <f t="shared" si="68"/>
        <v>D Series</v>
      </c>
      <c r="W192" s="8">
        <f>IFERROR(VLOOKUP(B192,Write_Bytes_ps!B:F,4,FALSE)/1024/1024,"")</f>
        <v>0.21286736148868388</v>
      </c>
      <c r="X192" s="8">
        <f>IFERROR(VLOOKUP(B192,Read_Bytes_ps!B:F,4,FALSE)/1024/1024,"")</f>
        <v>4.1670006743546296E-2</v>
      </c>
      <c r="Y192" s="8">
        <f>IFERROR(VLOOKUP(B192,Writes_ps!B:F,5,FALSE),"")</f>
        <v>151.83398619669899</v>
      </c>
      <c r="Z192" s="8">
        <f>IFERROR(VLOOKUP(B192,Reads_ps!B:F,5,FALSE),"")</f>
        <v>15.066633872380301</v>
      </c>
      <c r="AA192" s="248">
        <f t="shared" si="60"/>
        <v>0.25453736823223017</v>
      </c>
      <c r="AB192" s="249">
        <f t="shared" si="63"/>
        <v>167</v>
      </c>
      <c r="AC192" s="249" t="str">
        <f t="shared" si="69"/>
        <v>D3 v2</v>
      </c>
      <c r="AD192" s="246" t="s">
        <v>420</v>
      </c>
      <c r="AE192" s="246">
        <f>IFERROR(VLOOKUP(AD192,'Web-SKUS'!A:E,2,FALSE),"")</f>
        <v>4</v>
      </c>
      <c r="AF192" s="246">
        <f>_xlfn.NUMBERVALUE(IFERROR(VLOOKUP(AD192,'Web-SKUS'!A:E,4,FALSE),""))</f>
        <v>16</v>
      </c>
      <c r="AG192" s="246">
        <f>IFERROR(VLOOKUP(AD192,VM_Performance_Stats!A:G,7,FALSE),0)</f>
        <v>8</v>
      </c>
      <c r="AH192" s="246">
        <f>IFERROR(VLOOKUP(AD192,VM_Performance_Stats!A:I,8,FALSE),"")</f>
        <v>6400</v>
      </c>
      <c r="AI192" s="246">
        <f t="shared" si="70"/>
        <v>1</v>
      </c>
      <c r="AJ192" s="246">
        <f t="shared" si="71"/>
        <v>1</v>
      </c>
      <c r="AK192" s="246">
        <f>IFERROR(IF(VLOOKUP(AD192,VM_Performance_Stats!A:I,8,FALSE)&gt;AB192,1,0),0)</f>
        <v>1</v>
      </c>
      <c r="AL192" t="str">
        <f>IFERROR(VLOOKUP(AD192,'Web-SKUS'!A:G,7,FALSE),"")</f>
        <v>£87.3242/month</v>
      </c>
      <c r="AM192" s="250">
        <f t="shared" si="72"/>
        <v>87.324200000000005</v>
      </c>
      <c r="AN192" t="str">
        <f>IFERROR(IF(C192=1,VLOOKUP(K192,'Web-SKUS'!A:G,7,FALSE),VLOOKUP(K192,'Web-SKUS'!A:G,6,FALSE)),"")</f>
        <v>£89.0652/month</v>
      </c>
      <c r="AO192" s="250">
        <f t="shared" si="73"/>
        <v>89.065200000000004</v>
      </c>
      <c r="AP192" s="250">
        <f t="shared" si="74"/>
        <v>87.324200000000005</v>
      </c>
      <c r="AQ192" s="251">
        <f t="shared" si="75"/>
        <v>1.7409999999999997</v>
      </c>
      <c r="AR192" s="251">
        <f t="shared" si="55"/>
        <v>20.891999999999996</v>
      </c>
      <c r="AS192" s="251">
        <f>VLOOKUP(B192,'Willie List'!B:M,12,FALSE)</f>
        <v>0</v>
      </c>
      <c r="AT192" s="251" t="str">
        <f t="shared" si="56"/>
        <v>Standard_D3_v2_Promo</v>
      </c>
      <c r="AU192" s="251" t="str">
        <f t="shared" si="57"/>
        <v>D3 v2_Promo</v>
      </c>
      <c r="AV192" s="245" t="str">
        <f t="shared" si="58"/>
        <v>D4ds v4</v>
      </c>
      <c r="AW192" s="246">
        <f t="shared" si="59"/>
        <v>0</v>
      </c>
    </row>
    <row r="193" spans="1:49" s="238" customFormat="1">
      <c r="A193" s="238" t="s">
        <v>569</v>
      </c>
      <c r="B193" s="80" t="s">
        <v>570</v>
      </c>
      <c r="C193" s="252">
        <f>IFERROR(IF(VLOOKUP(B193,'Willie List'!B:B,1,FALSE) &lt;&gt; "",1,0),0)</f>
        <v>1</v>
      </c>
      <c r="D193" s="252">
        <v>1</v>
      </c>
      <c r="E193" s="80" t="s">
        <v>101</v>
      </c>
      <c r="F193" s="80" t="s">
        <v>372</v>
      </c>
      <c r="G193" s="80" t="s">
        <v>152</v>
      </c>
      <c r="H193" s="80" t="s">
        <v>153</v>
      </c>
      <c r="I193" s="80" t="s">
        <v>154</v>
      </c>
      <c r="J193" s="80" t="s">
        <v>78</v>
      </c>
      <c r="K193" s="252" t="str">
        <f t="shared" ref="K193:K224" si="76">IFERROR(REPLACE(REPLACE(J193,FIND("Standard_",J193,1),9,""),FIND("_",REPLACE(J193,FIND("Standard_",J193,1),9,""),1),1," "),REPLACE(J193,FIND("Standard_",J193,1),9,""))</f>
        <v>F4s v2</v>
      </c>
      <c r="L193" s="252">
        <f>VLOOKUP(K193,'Web-SKUS'!A:E,2,FALSE)</f>
        <v>4</v>
      </c>
      <c r="M193" s="252" t="str">
        <f>VLOOKUP(K193,'Web-SKUS'!A:E,4,FALSE)</f>
        <v>8</v>
      </c>
      <c r="N193" s="80" t="s">
        <v>277</v>
      </c>
      <c r="O193" s="252">
        <v>3</v>
      </c>
      <c r="P193" s="80" t="s">
        <v>157</v>
      </c>
      <c r="Q193" s="80">
        <f>IFERROR(VLOOKUP(B193,PercentCPU!B:F,4,FALSE),"")</f>
        <v>20.215151320345111</v>
      </c>
      <c r="R193" s="80">
        <f>IFERROR(VLOOKUP(B193,MemoryAvailable!B:F,3,FALSE),"")</f>
        <v>4282.8756608225885</v>
      </c>
      <c r="S193" s="253">
        <f t="shared" si="65"/>
        <v>0.47718802968474261</v>
      </c>
      <c r="T193" s="80">
        <f t="shared" si="66"/>
        <v>1</v>
      </c>
      <c r="U193" s="252">
        <f t="shared" si="67"/>
        <v>4</v>
      </c>
      <c r="V193" s="252" t="str">
        <f t="shared" si="68"/>
        <v>D Series</v>
      </c>
      <c r="W193" s="8">
        <f>IFERROR(VLOOKUP(B193,Write_Bytes_ps!B:F,4,FALSE)/1024/1024,"")</f>
        <v>9.1313261459991066E-2</v>
      </c>
      <c r="X193" s="8">
        <f>IFERROR(VLOOKUP(B193,Read_Bytes_ps!B:F,4,FALSE)/1024/1024,"")</f>
        <v>2.0370390391605955E-2</v>
      </c>
      <c r="Y193" s="8">
        <f>IFERROR(VLOOKUP(B193,Writes_ps!B:F,5,FALSE),"")</f>
        <v>202.42154688638499</v>
      </c>
      <c r="Z193" s="8">
        <f>IFERROR(VLOOKUP(B193,Reads_ps!B:F,5,FALSE),"")</f>
        <v>255.51404369576801</v>
      </c>
      <c r="AA193" s="254">
        <f t="shared" si="60"/>
        <v>0.11168365185159702</v>
      </c>
      <c r="AB193" s="255">
        <f t="shared" si="63"/>
        <v>458</v>
      </c>
      <c r="AC193" s="255" t="str">
        <f t="shared" si="69"/>
        <v>F4s v2</v>
      </c>
      <c r="AD193" s="252" t="s">
        <v>290</v>
      </c>
      <c r="AE193" s="252">
        <f>IFERROR(VLOOKUP(AD193,'Web-SKUS'!A:E,2,FALSE),"")</f>
        <v>2</v>
      </c>
      <c r="AF193" s="252">
        <f>_xlfn.NUMBERVALUE(IFERROR(VLOOKUP(AD193,'Web-SKUS'!A:E,4,FALSE),""))</f>
        <v>4</v>
      </c>
      <c r="AG193" s="252">
        <f>IFERROR(VLOOKUP(AD193,VM_Performance_Stats!A:G,7,FALSE),0)</f>
        <v>4</v>
      </c>
      <c r="AH193" s="252">
        <f>IFERROR(VLOOKUP(AD193,VM_Performance_Stats!A:I,8,FALSE),"")</f>
        <v>3200</v>
      </c>
      <c r="AI193" s="252">
        <f t="shared" si="70"/>
        <v>1</v>
      </c>
      <c r="AJ193" s="252">
        <f t="shared" si="71"/>
        <v>1</v>
      </c>
      <c r="AK193" s="252">
        <f>IFERROR(IF(VLOOKUP(AD193,VM_Performance_Stats!A:I,8,FALSE)&gt;AB193,1,0),0)</f>
        <v>1</v>
      </c>
      <c r="AL193" t="str">
        <f>IFERROR(VLOOKUP(AD193,'Web-SKUS'!A:G,7,FALSE),"")</f>
        <v>£31.2409/month</v>
      </c>
      <c r="AM193" s="256">
        <f t="shared" si="72"/>
        <v>31.2409</v>
      </c>
      <c r="AN193" t="str">
        <f>IFERROR(IF(C193=1,VLOOKUP(K193,'Web-SKUS'!A:G,7,FALSE),VLOOKUP(K193,'Web-SKUS'!A:G,6,FALSE)),"")</f>
        <v>£62.5415/month</v>
      </c>
      <c r="AO193" s="256">
        <f t="shared" si="73"/>
        <v>62.541499999999999</v>
      </c>
      <c r="AP193" s="256">
        <f t="shared" si="74"/>
        <v>31.2409</v>
      </c>
      <c r="AQ193" s="257">
        <f t="shared" si="75"/>
        <v>31.300599999999999</v>
      </c>
      <c r="AR193" s="244">
        <f t="shared" si="55"/>
        <v>375.60719999999998</v>
      </c>
      <c r="AS193" s="244" t="str">
        <f>VLOOKUP(B193,'Willie List'!B:M,12,FALSE)</f>
        <v>YES</v>
      </c>
      <c r="AT193" s="244" t="str">
        <f t="shared" si="56"/>
        <v>Standard_F4s_v2</v>
      </c>
      <c r="AU193" s="244" t="str">
        <f t="shared" si="57"/>
        <v>F4s v2</v>
      </c>
      <c r="AV193" s="238" t="str">
        <f t="shared" si="58"/>
        <v>F2s v2</v>
      </c>
      <c r="AW193" s="239">
        <f t="shared" si="59"/>
        <v>0</v>
      </c>
    </row>
    <row r="194" spans="1:49">
      <c r="A194" t="s">
        <v>351</v>
      </c>
      <c r="B194" s="245" t="s">
        <v>571</v>
      </c>
      <c r="C194" s="246">
        <f>IFERROR(IF(VLOOKUP(B194,'Willie List'!B:B,1,FALSE) &lt;&gt; "",1,0),0)</f>
        <v>1</v>
      </c>
      <c r="D194" s="246"/>
      <c r="E194" s="245" t="s">
        <v>101</v>
      </c>
      <c r="F194" s="245" t="s">
        <v>375</v>
      </c>
      <c r="G194" s="245" t="s">
        <v>152</v>
      </c>
      <c r="H194" s="245" t="s">
        <v>153</v>
      </c>
      <c r="I194" s="245" t="s">
        <v>276</v>
      </c>
      <c r="J194" s="245" t="s">
        <v>572</v>
      </c>
      <c r="K194" s="246" t="str">
        <f t="shared" si="76"/>
        <v>A2m v2</v>
      </c>
      <c r="L194" s="246">
        <f>VLOOKUP(K194,'Web-SKUS'!A:E,2,FALSE)</f>
        <v>2</v>
      </c>
      <c r="M194" s="246" t="str">
        <f>VLOOKUP(K194,'Web-SKUS'!A:E,4,FALSE)</f>
        <v>16</v>
      </c>
      <c r="N194" s="245" t="s">
        <v>277</v>
      </c>
      <c r="O194" s="246">
        <v>2</v>
      </c>
      <c r="P194" s="245" t="s">
        <v>157</v>
      </c>
      <c r="Q194" s="245">
        <f>IFERROR(VLOOKUP(B194,PercentCPU!B:F,4,FALSE),"")</f>
        <v>66.651313216597927</v>
      </c>
      <c r="R194" s="245">
        <f>IFERROR(VLOOKUP(B194,MemoryAvailable!B:F,3,FALSE),"")</f>
        <v>12272.460060582263</v>
      </c>
      <c r="S194" s="247">
        <f t="shared" si="65"/>
        <v>0.25094848263047709</v>
      </c>
      <c r="T194" s="245">
        <f t="shared" si="66"/>
        <v>2</v>
      </c>
      <c r="U194" s="246">
        <f t="shared" si="67"/>
        <v>4</v>
      </c>
      <c r="V194" s="246" t="str">
        <f t="shared" si="68"/>
        <v>F Series</v>
      </c>
      <c r="W194" s="8">
        <f>IFERROR(VLOOKUP(B194,Write_Bytes_ps!B:F,4,FALSE)/1024/1024,"")</f>
        <v>1.3466890685550275</v>
      </c>
      <c r="X194" s="8">
        <f>IFERROR(VLOOKUP(B194,Read_Bytes_ps!B:F,4,FALSE)/1024/1024,"")</f>
        <v>0.21226166216998607</v>
      </c>
      <c r="Y194" s="8">
        <f>IFERROR(VLOOKUP(B194,Writes_ps!B:F,5,FALSE),"")</f>
        <v>300.78302001953102</v>
      </c>
      <c r="Z194" s="8">
        <f>IFERROR(VLOOKUP(B194,Reads_ps!B:F,5,FALSE),"")</f>
        <v>391.26712036132801</v>
      </c>
      <c r="AA194" s="248">
        <f t="shared" si="60"/>
        <v>1.5589507307250134</v>
      </c>
      <c r="AB194" s="249">
        <f t="shared" si="63"/>
        <v>693</v>
      </c>
      <c r="AC194" s="249" t="str">
        <f t="shared" si="69"/>
        <v>A2m v2</v>
      </c>
      <c r="AD194" s="246" t="s">
        <v>290</v>
      </c>
      <c r="AE194" s="246">
        <f>IFERROR(VLOOKUP(AD194,'Web-SKUS'!A:E,2,FALSE),"")</f>
        <v>2</v>
      </c>
      <c r="AF194" s="246">
        <f>_xlfn.NUMBERVALUE(IFERROR(VLOOKUP(AD194,'Web-SKUS'!A:E,4,FALSE),""))</f>
        <v>4</v>
      </c>
      <c r="AG194" s="246">
        <f>IFERROR(VLOOKUP(AD194,VM_Performance_Stats!A:G,7,FALSE),0)</f>
        <v>4</v>
      </c>
      <c r="AH194" s="246">
        <f>IFERROR(VLOOKUP(AD194,VM_Performance_Stats!A:I,8,FALSE),"")</f>
        <v>3200</v>
      </c>
      <c r="AI194" s="246">
        <f t="shared" si="70"/>
        <v>1</v>
      </c>
      <c r="AJ194" s="246">
        <f t="shared" si="71"/>
        <v>1</v>
      </c>
      <c r="AK194" s="246">
        <f>IFERROR(IF(VLOOKUP(AD194,VM_Performance_Stats!A:I,8,FALSE)&gt;AB194,1,0),0)</f>
        <v>1</v>
      </c>
      <c r="AL194" t="str">
        <f>IFERROR(VLOOKUP(AD194,'Web-SKUS'!A:G,7,FALSE),"")</f>
        <v>£31.2409/month</v>
      </c>
      <c r="AM194" s="250">
        <f t="shared" si="72"/>
        <v>31.2409</v>
      </c>
      <c r="AN194" t="str">
        <f>IFERROR(IF(C194=1,VLOOKUP(K194,'Web-SKUS'!A:G,7,FALSE),VLOOKUP(K194,'Web-SKUS'!A:G,6,FALSE)),"")</f>
        <v>£67.4654/month</v>
      </c>
      <c r="AO194" s="250">
        <f t="shared" si="73"/>
        <v>67.465400000000002</v>
      </c>
      <c r="AP194" s="250">
        <f t="shared" si="74"/>
        <v>31.2409</v>
      </c>
      <c r="AQ194" s="251">
        <f t="shared" si="75"/>
        <v>36.224500000000006</v>
      </c>
      <c r="AR194" s="115">
        <f t="shared" si="55"/>
        <v>434.69400000000007</v>
      </c>
      <c r="AS194" s="115" t="str">
        <f>VLOOKUP(B194,'Willie List'!B:M,12,FALSE)</f>
        <v>NO</v>
      </c>
      <c r="AT194" s="115" t="str">
        <f t="shared" si="56"/>
        <v>Standard_A2m_v2</v>
      </c>
      <c r="AU194" s="115" t="str">
        <f t="shared" si="57"/>
        <v>A2m v2</v>
      </c>
      <c r="AV194" t="str">
        <f t="shared" si="58"/>
        <v>F2s v2</v>
      </c>
      <c r="AW194" s="8">
        <f t="shared" si="59"/>
        <v>0</v>
      </c>
    </row>
    <row r="195" spans="1:49">
      <c r="A195" t="s">
        <v>309</v>
      </c>
      <c r="B195" s="245" t="s">
        <v>573</v>
      </c>
      <c r="C195" s="246">
        <f>IFERROR(IF(VLOOKUP(B195,'Willie List'!B:B,1,FALSE) &lt;&gt; "",1,0),0)</f>
        <v>1</v>
      </c>
      <c r="D195" s="246"/>
      <c r="E195" s="245" t="s">
        <v>101</v>
      </c>
      <c r="F195" s="245" t="s">
        <v>375</v>
      </c>
      <c r="G195" s="245" t="s">
        <v>152</v>
      </c>
      <c r="H195" s="245" t="s">
        <v>153</v>
      </c>
      <c r="I195" s="245" t="s">
        <v>276</v>
      </c>
      <c r="J195" s="245" t="s">
        <v>572</v>
      </c>
      <c r="K195" s="246" t="str">
        <f t="shared" si="76"/>
        <v>A2m v2</v>
      </c>
      <c r="L195" s="246">
        <f>VLOOKUP(K195,'Web-SKUS'!A:E,2,FALSE)</f>
        <v>2</v>
      </c>
      <c r="M195" s="246" t="str">
        <f>VLOOKUP(K195,'Web-SKUS'!A:E,4,FALSE)</f>
        <v>16</v>
      </c>
      <c r="N195" s="245" t="s">
        <v>277</v>
      </c>
      <c r="O195" s="246">
        <v>2</v>
      </c>
      <c r="P195" s="245" t="s">
        <v>157</v>
      </c>
      <c r="Q195" s="245">
        <f>IFERROR(VLOOKUP(B195,PercentCPU!B:F,4,FALSE),"")</f>
        <v>30.719736513410293</v>
      </c>
      <c r="R195" s="245">
        <f>IFERROR(VLOOKUP(B195,MemoryAvailable!B:F,3,FALSE),"")</f>
        <v>14059.086812580466</v>
      </c>
      <c r="S195" s="247">
        <f t="shared" si="65"/>
        <v>0.14190143966183677</v>
      </c>
      <c r="T195" s="245">
        <f t="shared" si="66"/>
        <v>1</v>
      </c>
      <c r="U195" s="246">
        <f t="shared" si="67"/>
        <v>2</v>
      </c>
      <c r="V195" s="246" t="str">
        <f t="shared" si="68"/>
        <v>F Series</v>
      </c>
      <c r="W195" s="8">
        <f>IFERROR(VLOOKUP(B195,Write_Bytes_ps!B:F,4,FALSE)/1024/1024,"")</f>
        <v>0.16026117466226739</v>
      </c>
      <c r="X195" s="8">
        <f>IFERROR(VLOOKUP(B195,Read_Bytes_ps!B:F,4,FALSE)/1024/1024,"")</f>
        <v>8.3197765977538432E-2</v>
      </c>
      <c r="Y195" s="8">
        <f>IFERROR(VLOOKUP(B195,Writes_ps!B:F,5,FALSE),"")</f>
        <v>159.56878662109401</v>
      </c>
      <c r="Z195" s="8">
        <f>IFERROR(VLOOKUP(B195,Reads_ps!B:F,5,FALSE),"")</f>
        <v>533.46075439453102</v>
      </c>
      <c r="AA195" s="248">
        <f t="shared" si="60"/>
        <v>0.24345894063980583</v>
      </c>
      <c r="AB195" s="249">
        <f t="shared" si="63"/>
        <v>694</v>
      </c>
      <c r="AC195" s="249" t="str">
        <f t="shared" si="69"/>
        <v>A2m v2</v>
      </c>
      <c r="AD195" s="246" t="s">
        <v>290</v>
      </c>
      <c r="AE195" s="246">
        <f>IFERROR(VLOOKUP(AD195,'Web-SKUS'!A:E,2,FALSE),"")</f>
        <v>2</v>
      </c>
      <c r="AF195" s="246">
        <f>_xlfn.NUMBERVALUE(IFERROR(VLOOKUP(AD195,'Web-SKUS'!A:E,4,FALSE),""))</f>
        <v>4</v>
      </c>
      <c r="AG195" s="246">
        <f>IFERROR(VLOOKUP(AD195,VM_Performance_Stats!A:G,7,FALSE),0)</f>
        <v>4</v>
      </c>
      <c r="AH195" s="246">
        <f>IFERROR(VLOOKUP(AD195,VM_Performance_Stats!A:I,8,FALSE),"")</f>
        <v>3200</v>
      </c>
      <c r="AI195" s="246">
        <f t="shared" si="70"/>
        <v>1</v>
      </c>
      <c r="AJ195" s="246">
        <f t="shared" si="71"/>
        <v>1</v>
      </c>
      <c r="AK195" s="246">
        <f>IFERROR(IF(VLOOKUP(AD195,VM_Performance_Stats!A:I,8,FALSE)&gt;AB195,1,0),0)</f>
        <v>1</v>
      </c>
      <c r="AL195" t="str">
        <f>IFERROR(VLOOKUP(AD195,'Web-SKUS'!A:G,7,FALSE),"")</f>
        <v>£31.2409/month</v>
      </c>
      <c r="AM195" s="250">
        <f t="shared" si="72"/>
        <v>31.2409</v>
      </c>
      <c r="AN195" t="str">
        <f>IFERROR(IF(C195=1,VLOOKUP(K195,'Web-SKUS'!A:G,7,FALSE),VLOOKUP(K195,'Web-SKUS'!A:G,6,FALSE)),"")</f>
        <v>£67.4654/month</v>
      </c>
      <c r="AO195" s="250">
        <f t="shared" si="73"/>
        <v>67.465400000000002</v>
      </c>
      <c r="AP195" s="250">
        <f t="shared" si="74"/>
        <v>31.2409</v>
      </c>
      <c r="AQ195" s="251">
        <f t="shared" si="75"/>
        <v>36.224500000000006</v>
      </c>
      <c r="AR195" s="115">
        <f t="shared" ref="AR195:AR258" si="77">AQ195*12</f>
        <v>434.69400000000007</v>
      </c>
      <c r="AS195" s="115" t="str">
        <f>VLOOKUP(B195,'Willie List'!B:M,12,FALSE)</f>
        <v>NO</v>
      </c>
      <c r="AT195" s="115" t="str">
        <f t="shared" ref="AT195:AT258" si="78">J195</f>
        <v>Standard_A2m_v2</v>
      </c>
      <c r="AU195" s="115" t="str">
        <f t="shared" ref="AU195:AU258" si="79">IFERROR(REPLACE(REPLACE(AT195,FIND("Standard_",AT195,1),9,""),FIND("_",REPLACE(AT195,FIND("Standard_",AT195,1),9,""),1),1," "),REPLACE(AT195,FIND("Standard_",AT195,1),9,""))</f>
        <v>A2m v2</v>
      </c>
      <c r="AV195" t="str">
        <f t="shared" ref="AV195:AV258" si="80">AD195</f>
        <v>F2s v2</v>
      </c>
      <c r="AW195" s="8">
        <f t="shared" ref="AW195:AW258" si="81">IFERROR(IF(AV195=AU195,1,0),"")</f>
        <v>0</v>
      </c>
    </row>
    <row r="196" spans="1:49">
      <c r="A196" t="s">
        <v>351</v>
      </c>
      <c r="B196" s="245" t="s">
        <v>574</v>
      </c>
      <c r="C196" s="246">
        <f>IFERROR(IF(VLOOKUP(B196,'Willie List'!B:B,1,FALSE) &lt;&gt; "",1,0),0)</f>
        <v>1</v>
      </c>
      <c r="D196" s="246"/>
      <c r="E196" s="245" t="s">
        <v>101</v>
      </c>
      <c r="F196" s="245" t="s">
        <v>575</v>
      </c>
      <c r="G196" s="245" t="s">
        <v>297</v>
      </c>
      <c r="H196" s="245" t="s">
        <v>153</v>
      </c>
      <c r="I196" s="245" t="s">
        <v>276</v>
      </c>
      <c r="J196" s="245" t="s">
        <v>57</v>
      </c>
      <c r="K196" s="246" t="str">
        <f t="shared" si="76"/>
        <v>D4ds v4</v>
      </c>
      <c r="L196" s="246">
        <f>VLOOKUP(K196,'Web-SKUS'!A:E,2,FALSE)</f>
        <v>4</v>
      </c>
      <c r="M196" s="246" t="str">
        <f>VLOOKUP(K196,'Web-SKUS'!A:E,4,FALSE)</f>
        <v>16</v>
      </c>
      <c r="N196" s="245" t="s">
        <v>277</v>
      </c>
      <c r="O196" s="246">
        <v>2</v>
      </c>
      <c r="P196" s="245" t="s">
        <v>157</v>
      </c>
      <c r="Q196" s="245">
        <f>IFERROR(VLOOKUP(B196,PercentCPU!B:F,4,FALSE),"")</f>
        <v>15.746343821132829</v>
      </c>
      <c r="R196" s="245">
        <f>IFERROR(VLOOKUP(B196,MemoryAvailable!B:F,3,FALSE),"")</f>
        <v>13369.766843407564</v>
      </c>
      <c r="S196" s="247">
        <f t="shared" si="65"/>
        <v>0.18397419168655005</v>
      </c>
      <c r="T196" s="245">
        <f t="shared" si="66"/>
        <v>1</v>
      </c>
      <c r="U196" s="246">
        <f t="shared" si="67"/>
        <v>3</v>
      </c>
      <c r="V196" s="246">
        <f t="shared" si="68"/>
        <v>0</v>
      </c>
      <c r="W196" s="8">
        <f>IFERROR(VLOOKUP(B196,Write_Bytes_ps!B:F,4,FALSE)/1024/1024,"")</f>
        <v>0.2470866205978364</v>
      </c>
      <c r="X196" s="8">
        <f>IFERROR(VLOOKUP(B196,Read_Bytes_ps!B:F,4,FALSE)/1024/1024,"")</f>
        <v>6.9427428184377143E-3</v>
      </c>
      <c r="Y196" s="8">
        <f>IFERROR(VLOOKUP(B196,Writes_ps!B:F,5,FALSE),"")</f>
        <v>426.84963989257801</v>
      </c>
      <c r="Z196" s="8">
        <f>IFERROR(VLOOKUP(B196,Reads_ps!B:F,5,FALSE),"")</f>
        <v>1245.14404296875</v>
      </c>
      <c r="AA196" s="248">
        <f t="shared" si="60"/>
        <v>0.25402936341627413</v>
      </c>
      <c r="AB196" s="249">
        <f t="shared" si="63"/>
        <v>1672</v>
      </c>
      <c r="AC196" s="249" t="str">
        <f t="shared" si="69"/>
        <v>D4ds v4</v>
      </c>
      <c r="AD196" s="246" t="s">
        <v>290</v>
      </c>
      <c r="AE196" s="246">
        <f>IFERROR(VLOOKUP(AD196,'Web-SKUS'!A:E,2,FALSE),"")</f>
        <v>2</v>
      </c>
      <c r="AF196" s="246">
        <f>_xlfn.NUMBERVALUE(IFERROR(VLOOKUP(AD196,'Web-SKUS'!A:E,4,FALSE),""))</f>
        <v>4</v>
      </c>
      <c r="AG196" s="246">
        <f>IFERROR(VLOOKUP(AD196,VM_Performance_Stats!A:G,7,FALSE),0)</f>
        <v>4</v>
      </c>
      <c r="AH196" s="246">
        <f>IFERROR(VLOOKUP(AD196,VM_Performance_Stats!A:I,8,FALSE),"")</f>
        <v>3200</v>
      </c>
      <c r="AI196" s="246">
        <f t="shared" si="70"/>
        <v>1</v>
      </c>
      <c r="AJ196" s="246">
        <f t="shared" si="71"/>
        <v>1</v>
      </c>
      <c r="AK196" s="246">
        <f>IFERROR(IF(VLOOKUP(AD196,VM_Performance_Stats!A:I,8,FALSE)&gt;AB196,1,0),0)</f>
        <v>1</v>
      </c>
      <c r="AL196" t="str">
        <f>IFERROR(VLOOKUP(AD196,'Web-SKUS'!A:G,7,FALSE),"")</f>
        <v>£31.2409/month</v>
      </c>
      <c r="AM196" s="250">
        <f t="shared" si="72"/>
        <v>31.2409</v>
      </c>
      <c r="AN196" t="str">
        <f>IFERROR(IF(C196=1,VLOOKUP(K196,'Web-SKUS'!A:G,7,FALSE),VLOOKUP(K196,'Web-SKUS'!A:G,6,FALSE)),"")</f>
        <v>£87.3242/month</v>
      </c>
      <c r="AO196" s="250">
        <f t="shared" si="73"/>
        <v>87.324200000000005</v>
      </c>
      <c r="AP196" s="250">
        <f t="shared" si="74"/>
        <v>31.2409</v>
      </c>
      <c r="AQ196" s="251">
        <f t="shared" si="75"/>
        <v>56.083300000000008</v>
      </c>
      <c r="AR196" s="115">
        <f t="shared" si="77"/>
        <v>672.9996000000001</v>
      </c>
      <c r="AS196" s="115" t="str">
        <f>VLOOKUP(B196,'Willie List'!B:M,12,FALSE)</f>
        <v>YES</v>
      </c>
      <c r="AT196" s="115" t="str">
        <f t="shared" si="78"/>
        <v>Standard_D4ds_v4</v>
      </c>
      <c r="AU196" s="115" t="str">
        <f t="shared" si="79"/>
        <v>D4ds v4</v>
      </c>
      <c r="AV196" t="str">
        <f t="shared" si="80"/>
        <v>F2s v2</v>
      </c>
      <c r="AW196" s="8">
        <f t="shared" si="81"/>
        <v>0</v>
      </c>
    </row>
    <row r="197" spans="1:49">
      <c r="A197" t="s">
        <v>351</v>
      </c>
      <c r="B197" s="245" t="s">
        <v>576</v>
      </c>
      <c r="C197" s="246">
        <f>IFERROR(IF(VLOOKUP(B197,'Willie List'!B:B,1,FALSE) &lt;&gt; "",1,0),0)</f>
        <v>1</v>
      </c>
      <c r="D197" s="246"/>
      <c r="E197" s="245" t="s">
        <v>101</v>
      </c>
      <c r="F197" s="245" t="s">
        <v>577</v>
      </c>
      <c r="G197" s="245" t="s">
        <v>297</v>
      </c>
      <c r="H197" s="245" t="s">
        <v>153</v>
      </c>
      <c r="I197" s="245" t="s">
        <v>154</v>
      </c>
      <c r="J197" s="245" t="s">
        <v>553</v>
      </c>
      <c r="K197" s="246" t="str">
        <f t="shared" si="76"/>
        <v>A2 v2</v>
      </c>
      <c r="L197" s="246">
        <f>VLOOKUP(K197,'Web-SKUS'!A:E,2,FALSE)</f>
        <v>2</v>
      </c>
      <c r="M197" s="246" t="str">
        <f>VLOOKUP(K197,'Web-SKUS'!A:E,4,FALSE)</f>
        <v>4</v>
      </c>
      <c r="N197" s="245" t="s">
        <v>277</v>
      </c>
      <c r="O197" s="246">
        <v>1</v>
      </c>
      <c r="P197" s="245" t="s">
        <v>157</v>
      </c>
      <c r="Q197" s="245">
        <f>IFERROR(VLOOKUP(B197,PercentCPU!B:F,4,FALSE),"")</f>
        <v>19.140147692178878</v>
      </c>
      <c r="R197" s="245">
        <f>IFERROR(VLOOKUP(B197,MemoryAvailable!B:F,3,FALSE),"")</f>
        <v>1818.7475457097432</v>
      </c>
      <c r="S197" s="247">
        <f t="shared" si="65"/>
        <v>0.55596983747320716</v>
      </c>
      <c r="T197" s="245">
        <f t="shared" si="66"/>
        <v>1</v>
      </c>
      <c r="U197" s="246">
        <f t="shared" si="67"/>
        <v>2</v>
      </c>
      <c r="V197" s="246" t="str">
        <f t="shared" si="68"/>
        <v>F Series</v>
      </c>
      <c r="W197" s="8">
        <f>IFERROR(VLOOKUP(B197,Write_Bytes_ps!B:F,4,FALSE)/1024/1024,"")</f>
        <v>5.938969430824375E-2</v>
      </c>
      <c r="X197" s="8">
        <f>IFERROR(VLOOKUP(B197,Read_Bytes_ps!B:F,4,FALSE)/1024/1024,"")</f>
        <v>0</v>
      </c>
      <c r="Y197" s="8">
        <f>IFERROR(VLOOKUP(B197,Writes_ps!B:F,5,FALSE),"")</f>
        <v>164.492549629884</v>
      </c>
      <c r="Z197" s="8">
        <f>IFERROR(VLOOKUP(B197,Reads_ps!B:F,5,FALSE),"")</f>
        <v>435.20458703099598</v>
      </c>
      <c r="AA197" s="248">
        <f t="shared" si="60"/>
        <v>5.938969430824375E-2</v>
      </c>
      <c r="AB197" s="249">
        <f t="shared" si="63"/>
        <v>600</v>
      </c>
      <c r="AC197" s="249" t="str">
        <f t="shared" si="69"/>
        <v>A2 v2</v>
      </c>
      <c r="AD197" s="246" t="s">
        <v>290</v>
      </c>
      <c r="AE197" s="246">
        <f>IFERROR(VLOOKUP(AD197,'Web-SKUS'!A:E,2,FALSE),"")</f>
        <v>2</v>
      </c>
      <c r="AF197" s="246">
        <f>_xlfn.NUMBERVALUE(IFERROR(VLOOKUP(AD197,'Web-SKUS'!A:E,4,FALSE),""))</f>
        <v>4</v>
      </c>
      <c r="AG197" s="246">
        <f>IFERROR(VLOOKUP(AD197,VM_Performance_Stats!A:G,7,FALSE),0)</f>
        <v>4</v>
      </c>
      <c r="AH197" s="246">
        <f>IFERROR(VLOOKUP(AD197,VM_Performance_Stats!A:I,8,FALSE),"")</f>
        <v>3200</v>
      </c>
      <c r="AI197" s="246">
        <f t="shared" si="70"/>
        <v>1</v>
      </c>
      <c r="AJ197" s="246">
        <f t="shared" si="71"/>
        <v>1</v>
      </c>
      <c r="AK197" s="246">
        <f>IFERROR(IF(VLOOKUP(AD197,VM_Performance_Stats!A:I,8,FALSE)&gt;AB197,1,0),0)</f>
        <v>1</v>
      </c>
      <c r="AL197" t="str">
        <f>IFERROR(VLOOKUP(AD197,'Web-SKUS'!A:G,7,FALSE),"")</f>
        <v>£31.2409/month</v>
      </c>
      <c r="AM197" s="250">
        <f t="shared" si="72"/>
        <v>31.2409</v>
      </c>
      <c r="AN197" t="str">
        <f>IFERROR(IF(C197=1,VLOOKUP(K197,'Web-SKUS'!A:G,7,FALSE),VLOOKUP(K197,'Web-SKUS'!A:G,6,FALSE)),"")</f>
        <v>£47.3346/month</v>
      </c>
      <c r="AO197" s="250">
        <f t="shared" si="73"/>
        <v>47.334600000000002</v>
      </c>
      <c r="AP197" s="250">
        <f t="shared" si="74"/>
        <v>31.2409</v>
      </c>
      <c r="AQ197" s="251">
        <f t="shared" si="75"/>
        <v>16.093700000000002</v>
      </c>
      <c r="AR197" s="115">
        <f t="shared" si="77"/>
        <v>193.12440000000004</v>
      </c>
      <c r="AS197" s="115">
        <f>VLOOKUP(B197,'Willie List'!B:M,12,FALSE)</f>
        <v>0</v>
      </c>
      <c r="AT197" s="115" t="str">
        <f t="shared" si="78"/>
        <v>Standard_A2_v2</v>
      </c>
      <c r="AU197" s="115" t="str">
        <f t="shared" si="79"/>
        <v>A2 v2</v>
      </c>
      <c r="AV197" t="str">
        <f t="shared" si="80"/>
        <v>F2s v2</v>
      </c>
      <c r="AW197" s="8">
        <f t="shared" si="81"/>
        <v>0</v>
      </c>
    </row>
    <row r="198" spans="1:49">
      <c r="A198" t="s">
        <v>351</v>
      </c>
      <c r="B198" t="s">
        <v>578</v>
      </c>
      <c r="C198" s="8">
        <f>IFERROR(IF(VLOOKUP(B198,'Willie List'!B:B,1,FALSE) &lt;&gt; "",1,0),0)</f>
        <v>1</v>
      </c>
      <c r="D198" s="8"/>
      <c r="E198" t="s">
        <v>99</v>
      </c>
      <c r="F198" t="s">
        <v>579</v>
      </c>
      <c r="G198" t="s">
        <v>152</v>
      </c>
      <c r="H198" t="s">
        <v>153</v>
      </c>
      <c r="I198" t="s">
        <v>276</v>
      </c>
      <c r="J198" t="s">
        <v>57</v>
      </c>
      <c r="K198" s="8" t="str">
        <f t="shared" si="76"/>
        <v>D4ds v4</v>
      </c>
      <c r="L198" s="8">
        <f>VLOOKUP(K198,'Web-SKUS'!A:E,2,FALSE)</f>
        <v>4</v>
      </c>
      <c r="M198" s="8" t="str">
        <f>VLOOKUP(K198,'Web-SKUS'!A:E,4,FALSE)</f>
        <v>16</v>
      </c>
      <c r="N198" t="s">
        <v>277</v>
      </c>
      <c r="O198" s="8">
        <v>2</v>
      </c>
      <c r="P198" t="s">
        <v>157</v>
      </c>
      <c r="Q198">
        <f>IFERROR(VLOOKUP(B198,PercentCPU!B:F,4,FALSE),"")</f>
        <v>4.1926145321499542</v>
      </c>
      <c r="R198">
        <f>IFERROR(VLOOKUP(B198,MemoryAvailable!B:F,3,FALSE),"")</f>
        <v>10426.846916429227</v>
      </c>
      <c r="S198" s="2">
        <f t="shared" si="65"/>
        <v>0.36359576926091142</v>
      </c>
      <c r="T198">
        <f t="shared" si="66"/>
        <v>1</v>
      </c>
      <c r="U198" s="8">
        <f t="shared" si="67"/>
        <v>6</v>
      </c>
      <c r="V198" s="8">
        <f t="shared" si="68"/>
        <v>0</v>
      </c>
      <c r="W198" s="8">
        <f>IFERROR(VLOOKUP(B198,Write_Bytes_ps!B:F,4,FALSE)/1024/1024,"")</f>
        <v>0.24092560685727663</v>
      </c>
      <c r="X198" s="8">
        <f>IFERROR(VLOOKUP(B198,Read_Bytes_ps!B:F,4,FALSE)/1024/1024,"")</f>
        <v>0.26388393153497869</v>
      </c>
      <c r="Y198" s="8">
        <f>IFERROR(VLOOKUP(B198,Writes_ps!B:F,5,FALSE),"")</f>
        <v>220.69560241699199</v>
      </c>
      <c r="Z198" s="8">
        <f>IFERROR(VLOOKUP(B198,Reads_ps!B:F,5,FALSE),"")</f>
        <v>731.98016357421898</v>
      </c>
      <c r="AA198" s="120">
        <f t="shared" si="60"/>
        <v>0.50480953839225529</v>
      </c>
      <c r="AB198" s="122">
        <f t="shared" si="63"/>
        <v>953</v>
      </c>
      <c r="AC198" s="122" t="str">
        <f t="shared" si="69"/>
        <v>D4ds v4</v>
      </c>
      <c r="AD198" s="8" t="s">
        <v>412</v>
      </c>
      <c r="AE198" s="8">
        <f>IFERROR(VLOOKUP(AD198,'Web-SKUS'!A:E,2,FALSE),"")</f>
        <v>2</v>
      </c>
      <c r="AF198" s="8">
        <f>_xlfn.NUMBERVALUE(IFERROR(VLOOKUP(AD198,'Web-SKUS'!A:E,4,FALSE),""))</f>
        <v>8</v>
      </c>
      <c r="AG198" s="8">
        <f>IFERROR(VLOOKUP(AD198,VM_Performance_Stats!A:G,7,FALSE),0)</f>
        <v>4</v>
      </c>
      <c r="AH198" s="8">
        <f>IFERROR(VLOOKUP(AD198,VM_Performance_Stats!A:I,8,FALSE),"")</f>
        <v>3200</v>
      </c>
      <c r="AI198" s="8">
        <f t="shared" si="70"/>
        <v>1</v>
      </c>
      <c r="AJ198" s="8">
        <f t="shared" si="71"/>
        <v>1</v>
      </c>
      <c r="AK198" s="8">
        <f>IFERROR(IF(VLOOKUP(AD198,VM_Performance_Stats!A:I,8,FALSE)&gt;AB198,1,0),0)</f>
        <v>1</v>
      </c>
      <c r="AL198" t="str">
        <f>IFERROR(VLOOKUP(AD198,'Web-SKUS'!A:G,7,FALSE),"")</f>
        <v>£43.6621/month</v>
      </c>
      <c r="AM198" s="116">
        <f t="shared" si="72"/>
        <v>43.662100000000002</v>
      </c>
      <c r="AN198" t="str">
        <f>IFERROR(IF(C198=1,VLOOKUP(K198,'Web-SKUS'!A:G,7,FALSE),VLOOKUP(K198,'Web-SKUS'!A:G,6,FALSE)),"")</f>
        <v>£87.3242/month</v>
      </c>
      <c r="AO198" s="116">
        <f t="shared" si="73"/>
        <v>87.324200000000005</v>
      </c>
      <c r="AP198" s="116">
        <f t="shared" si="74"/>
        <v>43.662100000000002</v>
      </c>
      <c r="AQ198" s="115">
        <f t="shared" si="75"/>
        <v>43.662100000000002</v>
      </c>
      <c r="AR198" s="115">
        <f t="shared" si="77"/>
        <v>523.9452</v>
      </c>
      <c r="AS198" s="115" t="str">
        <f>VLOOKUP(B198,'Willie List'!B:M,12,FALSE)</f>
        <v>YES</v>
      </c>
      <c r="AT198" s="115" t="str">
        <f t="shared" si="78"/>
        <v>Standard_D4ds_v4</v>
      </c>
      <c r="AU198" s="115" t="str">
        <f t="shared" si="79"/>
        <v>D4ds v4</v>
      </c>
      <c r="AV198" t="str">
        <f t="shared" si="80"/>
        <v>D2ds v4</v>
      </c>
      <c r="AW198" s="8">
        <f t="shared" si="81"/>
        <v>0</v>
      </c>
    </row>
    <row r="199" spans="1:49">
      <c r="A199" t="s">
        <v>351</v>
      </c>
      <c r="B199" t="s">
        <v>580</v>
      </c>
      <c r="C199" s="8">
        <f>IFERROR(IF(VLOOKUP(B199,'Willie List'!B:B,1,FALSE) &lt;&gt; "",1,0),0)</f>
        <v>1</v>
      </c>
      <c r="D199" s="8"/>
      <c r="E199" t="s">
        <v>99</v>
      </c>
      <c r="F199" t="s">
        <v>579</v>
      </c>
      <c r="G199" t="s">
        <v>152</v>
      </c>
      <c r="H199" t="s">
        <v>153</v>
      </c>
      <c r="I199" t="s">
        <v>276</v>
      </c>
      <c r="J199" t="s">
        <v>57</v>
      </c>
      <c r="K199" s="8" t="str">
        <f t="shared" si="76"/>
        <v>D4ds v4</v>
      </c>
      <c r="L199" s="8">
        <f>VLOOKUP(K199,'Web-SKUS'!A:E,2,FALSE)</f>
        <v>4</v>
      </c>
      <c r="M199" s="8" t="str">
        <f>VLOOKUP(K199,'Web-SKUS'!A:E,4,FALSE)</f>
        <v>16</v>
      </c>
      <c r="N199" t="s">
        <v>277</v>
      </c>
      <c r="O199" s="8">
        <v>2</v>
      </c>
      <c r="P199" t="s">
        <v>157</v>
      </c>
      <c r="Q199">
        <f>IFERROR(VLOOKUP(B199,PercentCPU!B:F,4,FALSE),"")</f>
        <v>10.183879682824914</v>
      </c>
      <c r="R199">
        <f>IFERROR(VLOOKUP(B199,MemoryAvailable!B:F,3,FALSE),"")</f>
        <v>10909.086269430052</v>
      </c>
      <c r="S199" s="2">
        <f t="shared" si="65"/>
        <v>0.33416221500060717</v>
      </c>
      <c r="T199">
        <f t="shared" si="66"/>
        <v>1</v>
      </c>
      <c r="U199" s="8">
        <f t="shared" si="67"/>
        <v>5</v>
      </c>
      <c r="V199" s="8">
        <f t="shared" si="68"/>
        <v>0</v>
      </c>
      <c r="W199" s="8">
        <f>IFERROR(VLOOKUP(B199,Write_Bytes_ps!B:F,4,FALSE)/1024/1024,"")</f>
        <v>0.17945698171391158</v>
      </c>
      <c r="X199" s="8">
        <f>IFERROR(VLOOKUP(B199,Read_Bytes_ps!B:F,4,FALSE)/1024/1024,"")</f>
        <v>0.12136969278078132</v>
      </c>
      <c r="Y199" s="8">
        <f>IFERROR(VLOOKUP(B199,Writes_ps!B:F,5,FALSE),"")</f>
        <v>175.93138122558599</v>
      </c>
      <c r="Z199" s="8">
        <f>IFERROR(VLOOKUP(B199,Reads_ps!B:F,5,FALSE),"")</f>
        <v>177.51275634765599</v>
      </c>
      <c r="AA199" s="120">
        <f t="shared" ref="AA199:AA262" si="82">SUM(W199,X199)</f>
        <v>0.30082667449469291</v>
      </c>
      <c r="AB199" s="122">
        <f t="shared" si="63"/>
        <v>354</v>
      </c>
      <c r="AC199" s="122" t="str">
        <f t="shared" si="69"/>
        <v>D4ds v4</v>
      </c>
      <c r="AD199" s="8" t="s">
        <v>412</v>
      </c>
      <c r="AE199" s="8">
        <f>IFERROR(VLOOKUP(AD199,'Web-SKUS'!A:E,2,FALSE),"")</f>
        <v>2</v>
      </c>
      <c r="AF199" s="8">
        <f>_xlfn.NUMBERVALUE(IFERROR(VLOOKUP(AD199,'Web-SKUS'!A:E,4,FALSE),""))</f>
        <v>8</v>
      </c>
      <c r="AG199" s="8">
        <f>IFERROR(VLOOKUP(AD199,VM_Performance_Stats!A:G,7,FALSE),0)</f>
        <v>4</v>
      </c>
      <c r="AH199" s="8">
        <f>IFERROR(VLOOKUP(AD199,VM_Performance_Stats!A:I,8,FALSE),"")</f>
        <v>3200</v>
      </c>
      <c r="AI199" s="8">
        <f t="shared" si="70"/>
        <v>1</v>
      </c>
      <c r="AJ199" s="8">
        <f t="shared" si="71"/>
        <v>1</v>
      </c>
      <c r="AK199" s="8">
        <f>IFERROR(IF(VLOOKUP(AD199,VM_Performance_Stats!A:I,8,FALSE)&gt;AB199,1,0),0)</f>
        <v>1</v>
      </c>
      <c r="AL199" t="str">
        <f>IFERROR(VLOOKUP(AD199,'Web-SKUS'!A:G,7,FALSE),"")</f>
        <v>£43.6621/month</v>
      </c>
      <c r="AM199" s="116">
        <f t="shared" si="72"/>
        <v>43.662100000000002</v>
      </c>
      <c r="AN199" t="str">
        <f>IFERROR(IF(C199=1,VLOOKUP(K199,'Web-SKUS'!A:G,7,FALSE),VLOOKUP(K199,'Web-SKUS'!A:G,6,FALSE)),"")</f>
        <v>£87.3242/month</v>
      </c>
      <c r="AO199" s="116">
        <f t="shared" si="73"/>
        <v>87.324200000000005</v>
      </c>
      <c r="AP199" s="116">
        <f t="shared" si="74"/>
        <v>43.662100000000002</v>
      </c>
      <c r="AQ199" s="115">
        <f t="shared" si="75"/>
        <v>43.662100000000002</v>
      </c>
      <c r="AR199" s="115">
        <f t="shared" si="77"/>
        <v>523.9452</v>
      </c>
      <c r="AS199" s="115" t="str">
        <f>VLOOKUP(B199,'Willie List'!B:M,12,FALSE)</f>
        <v>YES</v>
      </c>
      <c r="AT199" s="115" t="str">
        <f t="shared" si="78"/>
        <v>Standard_D4ds_v4</v>
      </c>
      <c r="AU199" s="115" t="str">
        <f t="shared" si="79"/>
        <v>D4ds v4</v>
      </c>
      <c r="AV199" t="str">
        <f t="shared" si="80"/>
        <v>D2ds v4</v>
      </c>
      <c r="AW199" s="8">
        <f t="shared" si="81"/>
        <v>0</v>
      </c>
    </row>
    <row r="200" spans="1:49">
      <c r="B200" t="s">
        <v>581</v>
      </c>
      <c r="C200" s="8">
        <f>IFERROR(IF(VLOOKUP(B200,'Willie List'!B:B,1,FALSE) &lt;&gt; "",1,0),0)</f>
        <v>0</v>
      </c>
      <c r="D200" s="8"/>
      <c r="E200" t="s">
        <v>95</v>
      </c>
      <c r="F200" t="s">
        <v>151</v>
      </c>
      <c r="G200" t="s">
        <v>152</v>
      </c>
      <c r="H200" t="s">
        <v>153</v>
      </c>
      <c r="I200" t="s">
        <v>154</v>
      </c>
      <c r="J200" t="s">
        <v>155</v>
      </c>
      <c r="K200" s="8" t="str">
        <f t="shared" si="76"/>
        <v>DS3 v2</v>
      </c>
      <c r="L200" s="8">
        <f>VLOOKUP(K200,'Web-SKUS'!A:E,2,FALSE)</f>
        <v>4</v>
      </c>
      <c r="M200" s="8" t="str">
        <f>VLOOKUP(K200,'Web-SKUS'!A:E,4,FALSE)</f>
        <v>14</v>
      </c>
      <c r="N200" t="s">
        <v>582</v>
      </c>
      <c r="O200">
        <v>3</v>
      </c>
      <c r="P200" t="s">
        <v>157</v>
      </c>
      <c r="Q200" t="str">
        <f>IFERROR(VLOOKUP(B200,PercentCPU!B:F,4,FALSE),"")</f>
        <v/>
      </c>
      <c r="R200" t="str">
        <f>IFERROR(VLOOKUP(B200,MemoryAvailable!B:F,3,FALSE),"")</f>
        <v/>
      </c>
      <c r="S200" s="2" t="str">
        <f t="shared" si="65"/>
        <v/>
      </c>
      <c r="T200" t="str">
        <f t="shared" si="66"/>
        <v/>
      </c>
      <c r="U200" s="8">
        <f t="shared" si="67"/>
        <v>0</v>
      </c>
      <c r="V200" s="8" t="str">
        <f t="shared" si="68"/>
        <v/>
      </c>
      <c r="W200" s="8" t="str">
        <f>IFERROR(VLOOKUP(B200,Write_Bytes_ps!B:F,4,FALSE)/1024/1024,"")</f>
        <v/>
      </c>
      <c r="X200" s="8" t="str">
        <f>IFERROR(VLOOKUP(B200,Read_Bytes_ps!B:F,4,FALSE)/1024/1024,"")</f>
        <v/>
      </c>
      <c r="Y200" s="8" t="str">
        <f>IFERROR(VLOOKUP(B200,Writes_ps!B:F,5,FALSE),"")</f>
        <v/>
      </c>
      <c r="Z200" s="8" t="str">
        <f>IFERROR(VLOOKUP(B200,Reads_ps!B:F,5,FALSE),"")</f>
        <v/>
      </c>
      <c r="AA200" s="8">
        <f t="shared" si="82"/>
        <v>0</v>
      </c>
      <c r="AB200" s="122">
        <f t="shared" si="63"/>
        <v>0</v>
      </c>
      <c r="AC200" s="122" t="str">
        <f t="shared" si="69"/>
        <v>DS3 v2</v>
      </c>
      <c r="AE200" s="8" t="str">
        <f>IFERROR(VLOOKUP(AD200,'Web-SKUS'!A:E,2,FALSE),"")</f>
        <v/>
      </c>
      <c r="AF200" s="8">
        <f>_xlfn.NUMBERVALUE(IFERROR(VLOOKUP(AD200,'Web-SKUS'!A:E,4,FALSE),""))</f>
        <v>0</v>
      </c>
      <c r="AG200" s="8">
        <f>IFERROR(VLOOKUP(AD200,VM_Performance_Stats!A:G,7,FALSE),0)</f>
        <v>0</v>
      </c>
      <c r="AH200" s="8" t="str">
        <f>IFERROR(VLOOKUP(AD200,VM_Performance_Stats!A:I,8,FALSE),"")</f>
        <v/>
      </c>
      <c r="AI200" s="8">
        <f t="shared" si="70"/>
        <v>1</v>
      </c>
      <c r="AJ200" s="8">
        <f t="shared" si="71"/>
        <v>0</v>
      </c>
      <c r="AK200" s="8">
        <f>IFERROR(IF(VLOOKUP(AD200,VM_Performance_Stats!A:I,8,FALSE)&gt;AB200,1,0),0)</f>
        <v>0</v>
      </c>
      <c r="AL200" t="str">
        <f>IFERROR(VLOOKUP(AD200,'Web-SKUS'!A:G,7,FALSE),"")</f>
        <v/>
      </c>
      <c r="AM200" s="116" t="str">
        <f t="shared" si="72"/>
        <v/>
      </c>
      <c r="AN200" t="str">
        <f>IFERROR(IF(C200=1,VLOOKUP(K200,'Web-SKUS'!A:G,7,FALSE),VLOOKUP(K200,'Web-SKUS'!A:G,6,FALSE)),"")</f>
        <v>£147.9886/month</v>
      </c>
      <c r="AO200" s="116">
        <f t="shared" si="73"/>
        <v>147.98859999999999</v>
      </c>
      <c r="AP200" s="116">
        <f t="shared" si="74"/>
        <v>147.98859999999999</v>
      </c>
      <c r="AQ200" s="115">
        <f t="shared" si="75"/>
        <v>0</v>
      </c>
      <c r="AR200" s="115">
        <f t="shared" si="77"/>
        <v>0</v>
      </c>
      <c r="AS200" s="115" t="e">
        <f>VLOOKUP(B200,'Willie List'!B:M,12,FALSE)</f>
        <v>#N/A</v>
      </c>
      <c r="AT200" s="115" t="str">
        <f t="shared" si="78"/>
        <v>Standard_DS3_v2</v>
      </c>
      <c r="AU200" s="115" t="str">
        <f t="shared" si="79"/>
        <v>DS3 v2</v>
      </c>
      <c r="AV200">
        <f t="shared" si="80"/>
        <v>0</v>
      </c>
      <c r="AW200" s="8">
        <f t="shared" si="81"/>
        <v>0</v>
      </c>
    </row>
    <row r="201" spans="1:49">
      <c r="B201" t="s">
        <v>583</v>
      </c>
      <c r="C201" s="8">
        <f>IFERROR(IF(VLOOKUP(B201,'Willie List'!B:B,1,FALSE) &lt;&gt; "",1,0),0)</f>
        <v>0</v>
      </c>
      <c r="D201" s="8"/>
      <c r="E201" t="s">
        <v>95</v>
      </c>
      <c r="F201" t="s">
        <v>151</v>
      </c>
      <c r="G201" t="s">
        <v>152</v>
      </c>
      <c r="H201" t="s">
        <v>153</v>
      </c>
      <c r="I201" t="s">
        <v>154</v>
      </c>
      <c r="J201" t="s">
        <v>155</v>
      </c>
      <c r="K201" s="8" t="str">
        <f t="shared" si="76"/>
        <v>DS3 v2</v>
      </c>
      <c r="L201" s="8">
        <f>VLOOKUP(K201,'Web-SKUS'!A:E,2,FALSE)</f>
        <v>4</v>
      </c>
      <c r="M201" s="8" t="str">
        <f>VLOOKUP(K201,'Web-SKUS'!A:E,4,FALSE)</f>
        <v>14</v>
      </c>
      <c r="N201" t="s">
        <v>584</v>
      </c>
      <c r="O201">
        <v>3</v>
      </c>
      <c r="P201" t="s">
        <v>157</v>
      </c>
      <c r="Q201" t="str">
        <f>IFERROR(VLOOKUP(B201,PercentCPU!B:F,4,FALSE),"")</f>
        <v/>
      </c>
      <c r="R201" t="str">
        <f>IFERROR(VLOOKUP(B201,MemoryAvailable!B:F,3,FALSE),"")</f>
        <v/>
      </c>
      <c r="S201" s="2" t="str">
        <f t="shared" si="65"/>
        <v/>
      </c>
      <c r="T201" t="str">
        <f t="shared" si="66"/>
        <v/>
      </c>
      <c r="U201" s="8">
        <f t="shared" si="67"/>
        <v>0</v>
      </c>
      <c r="V201" s="8" t="str">
        <f t="shared" si="68"/>
        <v/>
      </c>
      <c r="W201" s="8" t="str">
        <f>IFERROR(VLOOKUP(B201,Write_Bytes_ps!B:F,4,FALSE)/1024/1024,"")</f>
        <v/>
      </c>
      <c r="X201" s="8" t="str">
        <f>IFERROR(VLOOKUP(B201,Read_Bytes_ps!B:F,4,FALSE)/1024/1024,"")</f>
        <v/>
      </c>
      <c r="Y201" s="8" t="str">
        <f>IFERROR(VLOOKUP(B201,Writes_ps!B:F,5,FALSE),"")</f>
        <v/>
      </c>
      <c r="Z201" s="8" t="str">
        <f>IFERROR(VLOOKUP(B201,Reads_ps!B:F,5,FALSE),"")</f>
        <v/>
      </c>
      <c r="AA201" s="8">
        <f t="shared" si="82"/>
        <v>0</v>
      </c>
      <c r="AB201" s="122">
        <f t="shared" si="63"/>
        <v>0</v>
      </c>
      <c r="AC201" s="122" t="str">
        <f t="shared" si="69"/>
        <v>DS3 v2</v>
      </c>
      <c r="AE201" s="8" t="str">
        <f>IFERROR(VLOOKUP(AD201,'Web-SKUS'!A:E,2,FALSE),"")</f>
        <v/>
      </c>
      <c r="AF201" s="8">
        <f>_xlfn.NUMBERVALUE(IFERROR(VLOOKUP(AD201,'Web-SKUS'!A:E,4,FALSE),""))</f>
        <v>0</v>
      </c>
      <c r="AG201" s="8">
        <f>IFERROR(VLOOKUP(AD201,VM_Performance_Stats!A:G,7,FALSE),0)</f>
        <v>0</v>
      </c>
      <c r="AH201" s="8" t="str">
        <f>IFERROR(VLOOKUP(AD201,VM_Performance_Stats!A:I,8,FALSE),"")</f>
        <v/>
      </c>
      <c r="AI201" s="8">
        <f t="shared" si="70"/>
        <v>1</v>
      </c>
      <c r="AJ201" s="8">
        <f t="shared" si="71"/>
        <v>0</v>
      </c>
      <c r="AK201" s="8">
        <f>IFERROR(IF(VLOOKUP(AD201,VM_Performance_Stats!A:I,8,FALSE)&gt;AB201,1,0),0)</f>
        <v>0</v>
      </c>
      <c r="AL201" t="str">
        <f>IFERROR(VLOOKUP(AD201,'Web-SKUS'!A:G,7,FALSE),"")</f>
        <v/>
      </c>
      <c r="AM201" s="116" t="str">
        <f t="shared" si="72"/>
        <v/>
      </c>
      <c r="AN201" t="str">
        <f>IFERROR(IF(C201=1,VLOOKUP(K201,'Web-SKUS'!A:G,7,FALSE),VLOOKUP(K201,'Web-SKUS'!A:G,6,FALSE)),"")</f>
        <v>£147.9886/month</v>
      </c>
      <c r="AO201" s="116">
        <f t="shared" si="73"/>
        <v>147.98859999999999</v>
      </c>
      <c r="AP201" s="116">
        <f t="shared" si="74"/>
        <v>147.98859999999999</v>
      </c>
      <c r="AQ201" s="115">
        <f t="shared" si="75"/>
        <v>0</v>
      </c>
      <c r="AR201" s="115">
        <f t="shared" si="77"/>
        <v>0</v>
      </c>
      <c r="AS201" s="115" t="e">
        <f>VLOOKUP(B201,'Willie List'!B:M,12,FALSE)</f>
        <v>#N/A</v>
      </c>
      <c r="AT201" s="115" t="str">
        <f t="shared" si="78"/>
        <v>Standard_DS3_v2</v>
      </c>
      <c r="AU201" s="115" t="str">
        <f t="shared" si="79"/>
        <v>DS3 v2</v>
      </c>
      <c r="AV201">
        <f t="shared" si="80"/>
        <v>0</v>
      </c>
      <c r="AW201" s="8">
        <f t="shared" si="81"/>
        <v>0</v>
      </c>
    </row>
    <row r="202" spans="1:49">
      <c r="B202" t="s">
        <v>585</v>
      </c>
      <c r="C202" s="8">
        <f>IFERROR(IF(VLOOKUP(B202,'Willie List'!B:B,1,FALSE) &lt;&gt; "",1,0),0)</f>
        <v>0</v>
      </c>
      <c r="D202" s="8"/>
      <c r="E202" t="s">
        <v>95</v>
      </c>
      <c r="F202" t="s">
        <v>586</v>
      </c>
      <c r="G202" t="s">
        <v>152</v>
      </c>
      <c r="H202" t="s">
        <v>153</v>
      </c>
      <c r="I202" t="s">
        <v>276</v>
      </c>
      <c r="J202" t="s">
        <v>39</v>
      </c>
      <c r="K202" s="8" t="str">
        <f t="shared" si="76"/>
        <v>D13</v>
      </c>
      <c r="L202" s="8">
        <f>VLOOKUP(K202,'Web-SKUS'!A:E,2,FALSE)</f>
        <v>8</v>
      </c>
      <c r="M202" s="8" t="str">
        <f>VLOOKUP(K202,'Web-SKUS'!A:E,4,FALSE)</f>
        <v>56</v>
      </c>
      <c r="N202" t="s">
        <v>587</v>
      </c>
      <c r="O202">
        <v>9</v>
      </c>
      <c r="P202" t="s">
        <v>157</v>
      </c>
      <c r="Q202" t="str">
        <f>IFERROR(VLOOKUP(B202,PercentCPU!B:F,4,FALSE),"")</f>
        <v/>
      </c>
      <c r="R202" t="str">
        <f>IFERROR(VLOOKUP(B202,MemoryAvailable!B:F,3,FALSE),"")</f>
        <v/>
      </c>
      <c r="S202" s="2" t="str">
        <f t="shared" si="65"/>
        <v/>
      </c>
      <c r="T202" t="str">
        <f t="shared" si="66"/>
        <v/>
      </c>
      <c r="U202" s="8">
        <f t="shared" si="67"/>
        <v>0</v>
      </c>
      <c r="V202" s="8" t="str">
        <f t="shared" si="68"/>
        <v/>
      </c>
      <c r="W202" s="8" t="str">
        <f>IFERROR(VLOOKUP(B202,Write_Bytes_ps!B:F,4,FALSE)/1024/1024,"")</f>
        <v/>
      </c>
      <c r="X202" s="8" t="str">
        <f>IFERROR(VLOOKUP(B202,Read_Bytes_ps!B:F,4,FALSE)/1024/1024,"")</f>
        <v/>
      </c>
      <c r="Y202" s="8" t="str">
        <f>IFERROR(VLOOKUP(B202,Writes_ps!B:F,5,FALSE),"")</f>
        <v/>
      </c>
      <c r="Z202" s="8" t="str">
        <f>IFERROR(VLOOKUP(B202,Reads_ps!B:F,5,FALSE),"")</f>
        <v/>
      </c>
      <c r="AA202" s="8">
        <f t="shared" si="82"/>
        <v>0</v>
      </c>
      <c r="AB202" s="122">
        <f t="shared" si="63"/>
        <v>0</v>
      </c>
      <c r="AC202" s="122" t="str">
        <f t="shared" si="69"/>
        <v>D13</v>
      </c>
      <c r="AE202" s="8" t="str">
        <f>IFERROR(VLOOKUP(AD202,'Web-SKUS'!A:E,2,FALSE),"")</f>
        <v/>
      </c>
      <c r="AF202" s="8">
        <f>_xlfn.NUMBERVALUE(IFERROR(VLOOKUP(AD202,'Web-SKUS'!A:E,4,FALSE),""))</f>
        <v>0</v>
      </c>
      <c r="AG202" s="8">
        <f>IFERROR(VLOOKUP(AD202,VM_Performance_Stats!A:G,7,FALSE),0)</f>
        <v>0</v>
      </c>
      <c r="AH202" s="8" t="str">
        <f>IFERROR(VLOOKUP(AD202,VM_Performance_Stats!A:I,8,FALSE),"")</f>
        <v/>
      </c>
      <c r="AI202" s="8">
        <f t="shared" si="70"/>
        <v>1</v>
      </c>
      <c r="AJ202" s="8">
        <f t="shared" si="71"/>
        <v>0</v>
      </c>
      <c r="AK202" s="8">
        <f>IFERROR(IF(VLOOKUP(AD202,VM_Performance_Stats!A:I,8,FALSE)&gt;AB202,1,0),0)</f>
        <v>0</v>
      </c>
      <c r="AL202" t="str">
        <f>IFERROR(VLOOKUP(AD202,'Web-SKUS'!A:G,7,FALSE),"")</f>
        <v/>
      </c>
      <c r="AM202" s="116" t="str">
        <f t="shared" si="72"/>
        <v/>
      </c>
      <c r="AN202" t="str">
        <f>IFERROR(IF(C202=1,VLOOKUP(K202,'Web-SKUS'!A:G,7,FALSE),VLOOKUP(K202,'Web-SKUS'!A:G,6,FALSE)),"")</f>
        <v>£412.9534/month</v>
      </c>
      <c r="AO202" s="116">
        <f t="shared" si="73"/>
        <v>412.95339999999999</v>
      </c>
      <c r="AP202" s="116">
        <f t="shared" si="74"/>
        <v>412.95339999999999</v>
      </c>
      <c r="AQ202" s="115">
        <f t="shared" si="75"/>
        <v>0</v>
      </c>
      <c r="AR202" s="115">
        <f t="shared" si="77"/>
        <v>0</v>
      </c>
      <c r="AS202" s="115" t="e">
        <f>VLOOKUP(B202,'Willie List'!B:M,12,FALSE)</f>
        <v>#N/A</v>
      </c>
      <c r="AT202" s="115" t="str">
        <f t="shared" si="78"/>
        <v>Standard_D13</v>
      </c>
      <c r="AU202" s="115" t="str">
        <f t="shared" si="79"/>
        <v>D13</v>
      </c>
      <c r="AV202">
        <f t="shared" si="80"/>
        <v>0</v>
      </c>
      <c r="AW202" s="8">
        <f t="shared" si="81"/>
        <v>0</v>
      </c>
    </row>
    <row r="203" spans="1:49">
      <c r="B203" t="s">
        <v>588</v>
      </c>
      <c r="C203" s="8">
        <f>IFERROR(IF(VLOOKUP(B203,'Willie List'!B:B,1,FALSE) &lt;&gt; "",1,0),0)</f>
        <v>0</v>
      </c>
      <c r="D203" s="8"/>
      <c r="E203" t="s">
        <v>95</v>
      </c>
      <c r="F203" t="s">
        <v>589</v>
      </c>
      <c r="G203" t="s">
        <v>152</v>
      </c>
      <c r="H203" t="s">
        <v>275</v>
      </c>
      <c r="I203" t="s">
        <v>276</v>
      </c>
      <c r="J203" t="s">
        <v>590</v>
      </c>
      <c r="K203" s="8" t="str">
        <f t="shared" si="76"/>
        <v>D13 v2</v>
      </c>
      <c r="L203" s="8">
        <f>VLOOKUP(K203,'Web-SKUS'!A:E,2,FALSE)</f>
        <v>8</v>
      </c>
      <c r="M203" s="8" t="str">
        <f>VLOOKUP(K203,'Web-SKUS'!A:E,4,FALSE)</f>
        <v>56</v>
      </c>
      <c r="N203" t="s">
        <v>591</v>
      </c>
      <c r="O203">
        <v>9</v>
      </c>
      <c r="P203" t="s">
        <v>457</v>
      </c>
      <c r="Q203" t="str">
        <f>IFERROR(VLOOKUP(B203,PercentCPU!B:F,4,FALSE),"")</f>
        <v/>
      </c>
      <c r="R203" t="str">
        <f>IFERROR(VLOOKUP(B203,MemoryAvailable!B:F,3,FALSE),"")</f>
        <v/>
      </c>
      <c r="S203" s="2" t="str">
        <f t="shared" si="65"/>
        <v/>
      </c>
      <c r="T203" t="str">
        <f t="shared" si="66"/>
        <v/>
      </c>
      <c r="U203" s="8">
        <f t="shared" si="67"/>
        <v>0</v>
      </c>
      <c r="V203" s="8" t="str">
        <f t="shared" si="68"/>
        <v/>
      </c>
      <c r="W203" s="8" t="str">
        <f>IFERROR(VLOOKUP(B203,Write_Bytes_ps!B:F,4,FALSE)/1024/1024,"")</f>
        <v/>
      </c>
      <c r="X203" s="8" t="str">
        <f>IFERROR(VLOOKUP(B203,Read_Bytes_ps!B:F,4,FALSE)/1024/1024,"")</f>
        <v/>
      </c>
      <c r="Y203" s="8" t="str">
        <f>IFERROR(VLOOKUP(B203,Writes_ps!B:F,5,FALSE),"")</f>
        <v/>
      </c>
      <c r="Z203" s="8" t="str">
        <f>IFERROR(VLOOKUP(B203,Reads_ps!B:F,5,FALSE),"")</f>
        <v/>
      </c>
      <c r="AA203" s="8">
        <f t="shared" si="82"/>
        <v>0</v>
      </c>
      <c r="AB203" s="122">
        <f t="shared" si="63"/>
        <v>0</v>
      </c>
      <c r="AC203" s="122" t="str">
        <f t="shared" si="69"/>
        <v>D13 v2</v>
      </c>
      <c r="AE203" s="8" t="str">
        <f>IFERROR(VLOOKUP(AD203,'Web-SKUS'!A:E,2,FALSE),"")</f>
        <v/>
      </c>
      <c r="AF203" s="8">
        <f>_xlfn.NUMBERVALUE(IFERROR(VLOOKUP(AD203,'Web-SKUS'!A:E,4,FALSE),""))</f>
        <v>0</v>
      </c>
      <c r="AG203" s="8">
        <f>IFERROR(VLOOKUP(AD203,VM_Performance_Stats!A:G,7,FALSE),0)</f>
        <v>0</v>
      </c>
      <c r="AH203" s="8" t="str">
        <f>IFERROR(VLOOKUP(AD203,VM_Performance_Stats!A:I,8,FALSE),"")</f>
        <v/>
      </c>
      <c r="AI203" s="8">
        <f t="shared" si="70"/>
        <v>1</v>
      </c>
      <c r="AJ203" s="8">
        <f t="shared" si="71"/>
        <v>0</v>
      </c>
      <c r="AK203" s="8">
        <f>IFERROR(IF(VLOOKUP(AD203,VM_Performance_Stats!A:I,8,FALSE)&gt;AB203,1,0),0)</f>
        <v>0</v>
      </c>
      <c r="AL203" t="str">
        <f>IFERROR(VLOOKUP(AD203,'Web-SKUS'!A:G,7,FALSE),"")</f>
        <v/>
      </c>
      <c r="AM203" s="116" t="str">
        <f t="shared" si="72"/>
        <v/>
      </c>
      <c r="AN203" t="str">
        <f>IFERROR(IF(C203=1,VLOOKUP(K203,'Web-SKUS'!A:G,7,FALSE),VLOOKUP(K203,'Web-SKUS'!A:G,6,FALSE)),"")</f>
        <v>£412.9534/month</v>
      </c>
      <c r="AO203" s="116">
        <f t="shared" si="73"/>
        <v>412.95339999999999</v>
      </c>
      <c r="AP203" s="116">
        <f t="shared" si="74"/>
        <v>412.95339999999999</v>
      </c>
      <c r="AQ203" s="115">
        <f t="shared" si="75"/>
        <v>0</v>
      </c>
      <c r="AR203" s="115">
        <f t="shared" si="77"/>
        <v>0</v>
      </c>
      <c r="AS203" s="115" t="e">
        <f>VLOOKUP(B203,'Willie List'!B:M,12,FALSE)</f>
        <v>#N/A</v>
      </c>
      <c r="AT203" s="115" t="str">
        <f t="shared" si="78"/>
        <v>Standard_D13_v2</v>
      </c>
      <c r="AU203" s="115" t="str">
        <f t="shared" si="79"/>
        <v>D13 v2</v>
      </c>
      <c r="AV203">
        <f t="shared" si="80"/>
        <v>0</v>
      </c>
      <c r="AW203" s="8">
        <f t="shared" si="81"/>
        <v>0</v>
      </c>
    </row>
    <row r="204" spans="1:49">
      <c r="B204" t="s">
        <v>592</v>
      </c>
      <c r="C204" s="8">
        <f>IFERROR(IF(VLOOKUP(B204,'Willie List'!B:B,1,FALSE) &lt;&gt; "",1,0),0)</f>
        <v>0</v>
      </c>
      <c r="D204" s="8"/>
      <c r="E204" t="s">
        <v>95</v>
      </c>
      <c r="F204" t="s">
        <v>151</v>
      </c>
      <c r="G204" t="s">
        <v>152</v>
      </c>
      <c r="H204" t="s">
        <v>153</v>
      </c>
      <c r="I204" t="s">
        <v>154</v>
      </c>
      <c r="J204" t="s">
        <v>155</v>
      </c>
      <c r="K204" s="8" t="str">
        <f t="shared" si="76"/>
        <v>DS3 v2</v>
      </c>
      <c r="L204" s="8">
        <f>VLOOKUP(K204,'Web-SKUS'!A:E,2,FALSE)</f>
        <v>4</v>
      </c>
      <c r="M204" s="8" t="str">
        <f>VLOOKUP(K204,'Web-SKUS'!A:E,4,FALSE)</f>
        <v>14</v>
      </c>
      <c r="N204" t="s">
        <v>593</v>
      </c>
      <c r="O204">
        <v>3</v>
      </c>
      <c r="P204" t="s">
        <v>157</v>
      </c>
      <c r="Q204" t="str">
        <f>IFERROR(VLOOKUP(B204,PercentCPU!B:F,4,FALSE),"")</f>
        <v/>
      </c>
      <c r="R204" t="str">
        <f>IFERROR(VLOOKUP(B204,MemoryAvailable!B:F,3,FALSE),"")</f>
        <v/>
      </c>
      <c r="S204" s="2" t="str">
        <f t="shared" si="65"/>
        <v/>
      </c>
      <c r="T204" t="str">
        <f t="shared" si="66"/>
        <v/>
      </c>
      <c r="U204" s="8">
        <f t="shared" si="67"/>
        <v>0</v>
      </c>
      <c r="V204" s="8" t="str">
        <f t="shared" si="68"/>
        <v/>
      </c>
      <c r="W204" s="8" t="str">
        <f>IFERROR(VLOOKUP(B204,Write_Bytes_ps!B:F,4,FALSE)/1024/1024,"")</f>
        <v/>
      </c>
      <c r="X204" s="8" t="str">
        <f>IFERROR(VLOOKUP(B204,Read_Bytes_ps!B:F,4,FALSE)/1024/1024,"")</f>
        <v/>
      </c>
      <c r="Y204" s="8" t="str">
        <f>IFERROR(VLOOKUP(B204,Writes_ps!B:F,5,FALSE),"")</f>
        <v/>
      </c>
      <c r="Z204" s="8" t="str">
        <f>IFERROR(VLOOKUP(B204,Reads_ps!B:F,5,FALSE),"")</f>
        <v/>
      </c>
      <c r="AA204" s="8">
        <f t="shared" si="82"/>
        <v>0</v>
      </c>
      <c r="AB204" s="122">
        <f t="shared" si="63"/>
        <v>0</v>
      </c>
      <c r="AC204" s="122" t="str">
        <f t="shared" si="69"/>
        <v>DS3 v2</v>
      </c>
      <c r="AE204" s="8" t="str">
        <f>IFERROR(VLOOKUP(AD204,'Web-SKUS'!A:E,2,FALSE),"")</f>
        <v/>
      </c>
      <c r="AF204" s="8">
        <f>_xlfn.NUMBERVALUE(IFERROR(VLOOKUP(AD204,'Web-SKUS'!A:E,4,FALSE),""))</f>
        <v>0</v>
      </c>
      <c r="AG204" s="8">
        <f>IFERROR(VLOOKUP(AD204,VM_Performance_Stats!A:G,7,FALSE),0)</f>
        <v>0</v>
      </c>
      <c r="AH204" s="8" t="str">
        <f>IFERROR(VLOOKUP(AD204,VM_Performance_Stats!A:I,8,FALSE),"")</f>
        <v/>
      </c>
      <c r="AI204" s="8">
        <f t="shared" si="70"/>
        <v>1</v>
      </c>
      <c r="AJ204" s="8">
        <f t="shared" si="71"/>
        <v>0</v>
      </c>
      <c r="AK204" s="8">
        <f>IFERROR(IF(VLOOKUP(AD204,VM_Performance_Stats!A:I,8,FALSE)&gt;AB204,1,0),0)</f>
        <v>0</v>
      </c>
      <c r="AL204" t="str">
        <f>IFERROR(VLOOKUP(AD204,'Web-SKUS'!A:G,7,FALSE),"")</f>
        <v/>
      </c>
      <c r="AM204" s="116" t="str">
        <f t="shared" si="72"/>
        <v/>
      </c>
      <c r="AN204" t="str">
        <f>IFERROR(IF(C204=1,VLOOKUP(K204,'Web-SKUS'!A:G,7,FALSE),VLOOKUP(K204,'Web-SKUS'!A:G,6,FALSE)),"")</f>
        <v>£147.9886/month</v>
      </c>
      <c r="AO204" s="116">
        <f t="shared" si="73"/>
        <v>147.98859999999999</v>
      </c>
      <c r="AP204" s="116">
        <f t="shared" si="74"/>
        <v>147.98859999999999</v>
      </c>
      <c r="AQ204" s="115">
        <f t="shared" si="75"/>
        <v>0</v>
      </c>
      <c r="AR204" s="115">
        <f t="shared" si="77"/>
        <v>0</v>
      </c>
      <c r="AS204" s="115" t="e">
        <f>VLOOKUP(B204,'Willie List'!B:M,12,FALSE)</f>
        <v>#N/A</v>
      </c>
      <c r="AT204" s="115" t="str">
        <f t="shared" si="78"/>
        <v>Standard_DS3_v2</v>
      </c>
      <c r="AU204" s="115" t="str">
        <f t="shared" si="79"/>
        <v>DS3 v2</v>
      </c>
      <c r="AV204">
        <f t="shared" si="80"/>
        <v>0</v>
      </c>
      <c r="AW204" s="8">
        <f t="shared" si="81"/>
        <v>0</v>
      </c>
    </row>
    <row r="205" spans="1:49">
      <c r="B205" t="s">
        <v>594</v>
      </c>
      <c r="C205" s="8">
        <f>IFERROR(IF(VLOOKUP(B205,'Willie List'!B:B,1,FALSE) &lt;&gt; "",1,0),0)</f>
        <v>0</v>
      </c>
      <c r="D205" s="8"/>
      <c r="E205" t="s">
        <v>95</v>
      </c>
      <c r="F205" t="s">
        <v>151</v>
      </c>
      <c r="G205" t="s">
        <v>152</v>
      </c>
      <c r="H205" t="s">
        <v>153</v>
      </c>
      <c r="I205" t="s">
        <v>154</v>
      </c>
      <c r="J205" t="s">
        <v>155</v>
      </c>
      <c r="K205" s="8" t="str">
        <f t="shared" si="76"/>
        <v>DS3 v2</v>
      </c>
      <c r="L205" s="8">
        <f>VLOOKUP(K205,'Web-SKUS'!A:E,2,FALSE)</f>
        <v>4</v>
      </c>
      <c r="M205" s="8" t="str">
        <f>VLOOKUP(K205,'Web-SKUS'!A:E,4,FALSE)</f>
        <v>14</v>
      </c>
      <c r="N205" t="s">
        <v>595</v>
      </c>
      <c r="O205">
        <v>3</v>
      </c>
      <c r="P205" t="s">
        <v>157</v>
      </c>
      <c r="Q205" t="str">
        <f>IFERROR(VLOOKUP(B205,PercentCPU!B:F,4,FALSE),"")</f>
        <v/>
      </c>
      <c r="R205" t="str">
        <f>IFERROR(VLOOKUP(B205,MemoryAvailable!B:F,3,FALSE),"")</f>
        <v/>
      </c>
      <c r="S205" s="2" t="str">
        <f t="shared" si="65"/>
        <v/>
      </c>
      <c r="T205" t="str">
        <f t="shared" si="66"/>
        <v/>
      </c>
      <c r="U205" s="8">
        <f t="shared" si="67"/>
        <v>0</v>
      </c>
      <c r="V205" s="8" t="str">
        <f t="shared" si="68"/>
        <v/>
      </c>
      <c r="W205" s="8" t="str">
        <f>IFERROR(VLOOKUP(B205,Write_Bytes_ps!B:F,4,FALSE)/1024/1024,"")</f>
        <v/>
      </c>
      <c r="X205" s="8" t="str">
        <f>IFERROR(VLOOKUP(B205,Read_Bytes_ps!B:F,4,FALSE)/1024/1024,"")</f>
        <v/>
      </c>
      <c r="Y205" s="8" t="str">
        <f>IFERROR(VLOOKUP(B205,Writes_ps!B:F,5,FALSE),"")</f>
        <v/>
      </c>
      <c r="Z205" s="8" t="str">
        <f>IFERROR(VLOOKUP(B205,Reads_ps!B:F,5,FALSE),"")</f>
        <v/>
      </c>
      <c r="AA205" s="8">
        <f t="shared" si="82"/>
        <v>0</v>
      </c>
      <c r="AB205" s="122">
        <f t="shared" si="63"/>
        <v>0</v>
      </c>
      <c r="AC205" s="122" t="str">
        <f t="shared" si="69"/>
        <v>DS3 v2</v>
      </c>
      <c r="AE205" s="8" t="str">
        <f>IFERROR(VLOOKUP(AD205,'Web-SKUS'!A:E,2,FALSE),"")</f>
        <v/>
      </c>
      <c r="AF205" s="8">
        <f>_xlfn.NUMBERVALUE(IFERROR(VLOOKUP(AD205,'Web-SKUS'!A:E,4,FALSE),""))</f>
        <v>0</v>
      </c>
      <c r="AG205" s="8">
        <f>IFERROR(VLOOKUP(AD205,VM_Performance_Stats!A:G,7,FALSE),0)</f>
        <v>0</v>
      </c>
      <c r="AH205" s="8" t="str">
        <f>IFERROR(VLOOKUP(AD205,VM_Performance_Stats!A:I,8,FALSE),"")</f>
        <v/>
      </c>
      <c r="AI205" s="8">
        <f t="shared" si="70"/>
        <v>1</v>
      </c>
      <c r="AJ205" s="8">
        <f t="shared" si="71"/>
        <v>0</v>
      </c>
      <c r="AK205" s="8">
        <f>IFERROR(IF(VLOOKUP(AD205,VM_Performance_Stats!A:I,8,FALSE)&gt;AB205,1,0),0)</f>
        <v>0</v>
      </c>
      <c r="AL205" t="str">
        <f>IFERROR(VLOOKUP(AD205,'Web-SKUS'!A:G,7,FALSE),"")</f>
        <v/>
      </c>
      <c r="AM205" s="116" t="str">
        <f t="shared" si="72"/>
        <v/>
      </c>
      <c r="AN205" t="str">
        <f>IFERROR(IF(C205=1,VLOOKUP(K205,'Web-SKUS'!A:G,7,FALSE),VLOOKUP(K205,'Web-SKUS'!A:G,6,FALSE)),"")</f>
        <v>£147.9886/month</v>
      </c>
      <c r="AO205" s="116">
        <f t="shared" si="73"/>
        <v>147.98859999999999</v>
      </c>
      <c r="AP205" s="116">
        <f t="shared" si="74"/>
        <v>147.98859999999999</v>
      </c>
      <c r="AQ205" s="115">
        <f t="shared" si="75"/>
        <v>0</v>
      </c>
      <c r="AR205" s="115">
        <f t="shared" si="77"/>
        <v>0</v>
      </c>
      <c r="AS205" s="115" t="e">
        <f>VLOOKUP(B205,'Willie List'!B:M,12,FALSE)</f>
        <v>#N/A</v>
      </c>
      <c r="AT205" s="115" t="str">
        <f t="shared" si="78"/>
        <v>Standard_DS3_v2</v>
      </c>
      <c r="AU205" s="115" t="str">
        <f t="shared" si="79"/>
        <v>DS3 v2</v>
      </c>
      <c r="AV205">
        <f t="shared" si="80"/>
        <v>0</v>
      </c>
      <c r="AW205" s="8">
        <f t="shared" si="81"/>
        <v>0</v>
      </c>
    </row>
    <row r="206" spans="1:49">
      <c r="B206" t="s">
        <v>596</v>
      </c>
      <c r="C206" s="8">
        <f>IFERROR(IF(VLOOKUP(B206,'Willie List'!B:B,1,FALSE) &lt;&gt; "",1,0),0)</f>
        <v>0</v>
      </c>
      <c r="D206" s="8"/>
      <c r="E206" t="s">
        <v>95</v>
      </c>
      <c r="F206" t="s">
        <v>151</v>
      </c>
      <c r="G206" t="s">
        <v>152</v>
      </c>
      <c r="H206" t="s">
        <v>153</v>
      </c>
      <c r="I206" t="s">
        <v>154</v>
      </c>
      <c r="J206" t="s">
        <v>155</v>
      </c>
      <c r="K206" s="8" t="str">
        <f t="shared" si="76"/>
        <v>DS3 v2</v>
      </c>
      <c r="L206" s="8">
        <f>VLOOKUP(K206,'Web-SKUS'!A:E,2,FALSE)</f>
        <v>4</v>
      </c>
      <c r="M206" s="8" t="str">
        <f>VLOOKUP(K206,'Web-SKUS'!A:E,4,FALSE)</f>
        <v>14</v>
      </c>
      <c r="N206" t="s">
        <v>597</v>
      </c>
      <c r="O206">
        <v>3</v>
      </c>
      <c r="P206" t="s">
        <v>157</v>
      </c>
      <c r="Q206" t="str">
        <f>IFERROR(VLOOKUP(B206,PercentCPU!B:F,4,FALSE),"")</f>
        <v/>
      </c>
      <c r="R206" t="str">
        <f>IFERROR(VLOOKUP(B206,MemoryAvailable!B:F,3,FALSE),"")</f>
        <v/>
      </c>
      <c r="S206" s="2" t="str">
        <f t="shared" si="65"/>
        <v/>
      </c>
      <c r="T206" t="str">
        <f t="shared" si="66"/>
        <v/>
      </c>
      <c r="U206" s="8">
        <f t="shared" si="67"/>
        <v>0</v>
      </c>
      <c r="V206" s="8" t="str">
        <f t="shared" si="68"/>
        <v/>
      </c>
      <c r="W206" s="8" t="str">
        <f>IFERROR(VLOOKUP(B206,Write_Bytes_ps!B:F,4,FALSE)/1024/1024,"")</f>
        <v/>
      </c>
      <c r="X206" s="8" t="str">
        <f>IFERROR(VLOOKUP(B206,Read_Bytes_ps!B:F,4,FALSE)/1024/1024,"")</f>
        <v/>
      </c>
      <c r="Y206" s="8" t="str">
        <f>IFERROR(VLOOKUP(B206,Writes_ps!B:F,5,FALSE),"")</f>
        <v/>
      </c>
      <c r="Z206" s="8" t="str">
        <f>IFERROR(VLOOKUP(B206,Reads_ps!B:F,5,FALSE),"")</f>
        <v/>
      </c>
      <c r="AA206" s="8">
        <f t="shared" si="82"/>
        <v>0</v>
      </c>
      <c r="AB206" s="122">
        <f t="shared" si="63"/>
        <v>0</v>
      </c>
      <c r="AC206" s="122" t="str">
        <f t="shared" si="69"/>
        <v>DS3 v2</v>
      </c>
      <c r="AE206" s="8" t="str">
        <f>IFERROR(VLOOKUP(AD206,'Web-SKUS'!A:E,2,FALSE),"")</f>
        <v/>
      </c>
      <c r="AF206" s="8">
        <f>_xlfn.NUMBERVALUE(IFERROR(VLOOKUP(AD206,'Web-SKUS'!A:E,4,FALSE),""))</f>
        <v>0</v>
      </c>
      <c r="AG206" s="8">
        <f>IFERROR(VLOOKUP(AD206,VM_Performance_Stats!A:G,7,FALSE),0)</f>
        <v>0</v>
      </c>
      <c r="AH206" s="8" t="str">
        <f>IFERROR(VLOOKUP(AD206,VM_Performance_Stats!A:I,8,FALSE),"")</f>
        <v/>
      </c>
      <c r="AI206" s="8">
        <f t="shared" si="70"/>
        <v>1</v>
      </c>
      <c r="AJ206" s="8">
        <f t="shared" si="71"/>
        <v>0</v>
      </c>
      <c r="AK206" s="8">
        <f>IFERROR(IF(VLOOKUP(AD206,VM_Performance_Stats!A:I,8,FALSE)&gt;AB206,1,0),0)</f>
        <v>0</v>
      </c>
      <c r="AL206" t="str">
        <f>IFERROR(VLOOKUP(AD206,'Web-SKUS'!A:G,7,FALSE),"")</f>
        <v/>
      </c>
      <c r="AM206" s="116" t="str">
        <f t="shared" si="72"/>
        <v/>
      </c>
      <c r="AN206" t="str">
        <f>IFERROR(IF(C206=1,VLOOKUP(K206,'Web-SKUS'!A:G,7,FALSE),VLOOKUP(K206,'Web-SKUS'!A:G,6,FALSE)),"")</f>
        <v>£147.9886/month</v>
      </c>
      <c r="AO206" s="116">
        <f t="shared" si="73"/>
        <v>147.98859999999999</v>
      </c>
      <c r="AP206" s="116">
        <f t="shared" si="74"/>
        <v>147.98859999999999</v>
      </c>
      <c r="AQ206" s="115">
        <f t="shared" si="75"/>
        <v>0</v>
      </c>
      <c r="AR206" s="115">
        <f t="shared" si="77"/>
        <v>0</v>
      </c>
      <c r="AS206" s="115" t="e">
        <f>VLOOKUP(B206,'Willie List'!B:M,12,FALSE)</f>
        <v>#N/A</v>
      </c>
      <c r="AT206" s="115" t="str">
        <f t="shared" si="78"/>
        <v>Standard_DS3_v2</v>
      </c>
      <c r="AU206" s="115" t="str">
        <f t="shared" si="79"/>
        <v>DS3 v2</v>
      </c>
      <c r="AV206">
        <f t="shared" si="80"/>
        <v>0</v>
      </c>
      <c r="AW206" s="8">
        <f t="shared" si="81"/>
        <v>0</v>
      </c>
    </row>
    <row r="207" spans="1:49">
      <c r="B207" t="s">
        <v>598</v>
      </c>
      <c r="C207" s="8">
        <f>IFERROR(IF(VLOOKUP(B207,'Willie List'!B:B,1,FALSE) &lt;&gt; "",1,0),0)</f>
        <v>1</v>
      </c>
      <c r="D207" s="8"/>
      <c r="E207" t="s">
        <v>99</v>
      </c>
      <c r="F207" t="s">
        <v>579</v>
      </c>
      <c r="G207" t="s">
        <v>152</v>
      </c>
      <c r="H207" t="s">
        <v>153</v>
      </c>
      <c r="I207" t="s">
        <v>276</v>
      </c>
      <c r="J207" t="s">
        <v>57</v>
      </c>
      <c r="K207" s="8" t="str">
        <f t="shared" si="76"/>
        <v>D4ds v4</v>
      </c>
      <c r="L207" s="8">
        <f>VLOOKUP(K207,'Web-SKUS'!A:E,2,FALSE)</f>
        <v>4</v>
      </c>
      <c r="M207" s="8" t="str">
        <f>VLOOKUP(K207,'Web-SKUS'!A:E,4,FALSE)</f>
        <v>16</v>
      </c>
      <c r="N207" t="s">
        <v>277</v>
      </c>
      <c r="O207">
        <v>2</v>
      </c>
      <c r="P207" t="s">
        <v>157</v>
      </c>
      <c r="Q207" t="str">
        <f>IFERROR(VLOOKUP(B207,PercentCPU!B:F,4,FALSE),"")</f>
        <v/>
      </c>
      <c r="R207" t="str">
        <f>IFERROR(VLOOKUP(B207,MemoryAvailable!B:F,3,FALSE),"")</f>
        <v/>
      </c>
      <c r="S207" s="2" t="str">
        <f t="shared" si="65"/>
        <v/>
      </c>
      <c r="T207" t="str">
        <f t="shared" si="66"/>
        <v/>
      </c>
      <c r="U207" s="8">
        <f t="shared" si="67"/>
        <v>0</v>
      </c>
      <c r="V207" s="8" t="str">
        <f t="shared" si="68"/>
        <v/>
      </c>
      <c r="W207" s="8" t="str">
        <f>IFERROR(VLOOKUP(B207,Write_Bytes_ps!B:F,4,FALSE)/1024/1024,"")</f>
        <v/>
      </c>
      <c r="X207" s="8" t="str">
        <f>IFERROR(VLOOKUP(B207,Read_Bytes_ps!B:F,4,FALSE)/1024/1024,"")</f>
        <v/>
      </c>
      <c r="Y207" s="8" t="str">
        <f>IFERROR(VLOOKUP(B207,Writes_ps!B:F,5,FALSE),"")</f>
        <v/>
      </c>
      <c r="Z207" s="8" t="str">
        <f>IFERROR(VLOOKUP(B207,Reads_ps!B:F,5,FALSE),"")</f>
        <v/>
      </c>
      <c r="AA207" s="120">
        <f t="shared" si="82"/>
        <v>0</v>
      </c>
      <c r="AB207" s="122">
        <f t="shared" si="63"/>
        <v>0</v>
      </c>
      <c r="AC207" s="122" t="str">
        <f t="shared" si="69"/>
        <v>D4ds v4</v>
      </c>
      <c r="AD207" s="8" t="s">
        <v>420</v>
      </c>
      <c r="AE207" s="8">
        <f>IFERROR(VLOOKUP(AD207,'Web-SKUS'!A:E,2,FALSE),"")</f>
        <v>4</v>
      </c>
      <c r="AF207" s="8">
        <f>_xlfn.NUMBERVALUE(IFERROR(VLOOKUP(AD207,'Web-SKUS'!A:E,4,FALSE),""))</f>
        <v>16</v>
      </c>
      <c r="AG207" s="8">
        <f>IFERROR(VLOOKUP(AD207,VM_Performance_Stats!A:G,7,FALSE),0)</f>
        <v>8</v>
      </c>
      <c r="AH207" s="8">
        <f>IFERROR(VLOOKUP(AD207,VM_Performance_Stats!A:I,8,FALSE),"")</f>
        <v>6400</v>
      </c>
      <c r="AI207" s="8">
        <f t="shared" si="70"/>
        <v>1</v>
      </c>
      <c r="AJ207" s="8">
        <f t="shared" si="71"/>
        <v>1</v>
      </c>
      <c r="AK207" s="8">
        <f>IFERROR(IF(VLOOKUP(AD207,VM_Performance_Stats!A:I,8,FALSE)&gt;AB207,1,0),0)</f>
        <v>1</v>
      </c>
      <c r="AL207" t="str">
        <f>IFERROR(VLOOKUP(AD207,'Web-SKUS'!A:G,7,FALSE),"")</f>
        <v>£87.3242/month</v>
      </c>
      <c r="AM207" s="116">
        <f t="shared" si="72"/>
        <v>87.324200000000005</v>
      </c>
      <c r="AN207" t="str">
        <f>IFERROR(IF(C207=1,VLOOKUP(K207,'Web-SKUS'!A:G,7,FALSE),VLOOKUP(K207,'Web-SKUS'!A:G,6,FALSE)),"")</f>
        <v>£87.3242/month</v>
      </c>
      <c r="AO207" s="116">
        <f t="shared" si="73"/>
        <v>87.324200000000005</v>
      </c>
      <c r="AP207" s="116">
        <f t="shared" si="74"/>
        <v>87.324200000000005</v>
      </c>
      <c r="AQ207" s="115">
        <f t="shared" si="75"/>
        <v>0</v>
      </c>
      <c r="AR207" s="115">
        <f t="shared" si="77"/>
        <v>0</v>
      </c>
      <c r="AS207" s="115" t="str">
        <f>VLOOKUP(B207,'Willie List'!B:M,12,FALSE)</f>
        <v>YES</v>
      </c>
      <c r="AT207" s="115" t="str">
        <f t="shared" si="78"/>
        <v>Standard_D4ds_v4</v>
      </c>
      <c r="AU207" s="115" t="str">
        <f t="shared" si="79"/>
        <v>D4ds v4</v>
      </c>
      <c r="AV207" t="str">
        <f t="shared" si="80"/>
        <v>D4ds v4</v>
      </c>
      <c r="AW207" s="8">
        <f t="shared" si="81"/>
        <v>1</v>
      </c>
    </row>
    <row r="208" spans="1:49">
      <c r="B208" t="s">
        <v>599</v>
      </c>
      <c r="C208" s="8">
        <f>IFERROR(IF(VLOOKUP(B208,'Willie List'!B:B,1,FALSE) &lt;&gt; "",1,0),0)</f>
        <v>0</v>
      </c>
      <c r="D208" s="8"/>
      <c r="E208" t="s">
        <v>95</v>
      </c>
      <c r="F208" t="s">
        <v>159</v>
      </c>
      <c r="G208" t="s">
        <v>152</v>
      </c>
      <c r="H208" t="s">
        <v>153</v>
      </c>
      <c r="I208" t="s">
        <v>154</v>
      </c>
      <c r="J208" t="s">
        <v>155</v>
      </c>
      <c r="K208" s="8" t="str">
        <f t="shared" si="76"/>
        <v>DS3 v2</v>
      </c>
      <c r="L208" s="8">
        <f>VLOOKUP(K208,'Web-SKUS'!A:E,2,FALSE)</f>
        <v>4</v>
      </c>
      <c r="M208" s="8" t="str">
        <f>VLOOKUP(K208,'Web-SKUS'!A:E,4,FALSE)</f>
        <v>14</v>
      </c>
      <c r="N208" t="s">
        <v>600</v>
      </c>
      <c r="O208">
        <v>5</v>
      </c>
      <c r="P208" t="s">
        <v>157</v>
      </c>
      <c r="Q208" t="str">
        <f>IFERROR(VLOOKUP(B208,PercentCPU!B:F,4,FALSE),"")</f>
        <v/>
      </c>
      <c r="R208" t="str">
        <f>IFERROR(VLOOKUP(B208,MemoryAvailable!B:F,3,FALSE),"")</f>
        <v/>
      </c>
      <c r="S208" s="2" t="str">
        <f t="shared" si="65"/>
        <v/>
      </c>
      <c r="T208" t="str">
        <f t="shared" si="66"/>
        <v/>
      </c>
      <c r="U208" s="8">
        <f t="shared" si="67"/>
        <v>0</v>
      </c>
      <c r="V208" s="8" t="str">
        <f t="shared" si="68"/>
        <v/>
      </c>
      <c r="W208" s="8" t="str">
        <f>IFERROR(VLOOKUP(B208,Write_Bytes_ps!B:F,4,FALSE)/1024/1024,"")</f>
        <v/>
      </c>
      <c r="X208" s="8" t="str">
        <f>IFERROR(VLOOKUP(B208,Read_Bytes_ps!B:F,4,FALSE)/1024/1024,"")</f>
        <v/>
      </c>
      <c r="Y208" s="8" t="str">
        <f>IFERROR(VLOOKUP(B208,Writes_ps!B:F,5,FALSE),"")</f>
        <v/>
      </c>
      <c r="Z208" s="8" t="str">
        <f>IFERROR(VLOOKUP(B208,Reads_ps!B:F,5,FALSE),"")</f>
        <v/>
      </c>
      <c r="AA208" s="8">
        <f t="shared" si="82"/>
        <v>0</v>
      </c>
      <c r="AB208" s="122">
        <f t="shared" si="63"/>
        <v>0</v>
      </c>
      <c r="AC208" s="122" t="str">
        <f t="shared" si="69"/>
        <v>DS3 v2</v>
      </c>
      <c r="AE208" s="8" t="str">
        <f>IFERROR(VLOOKUP(AD208,'Web-SKUS'!A:E,2,FALSE),"")</f>
        <v/>
      </c>
      <c r="AF208" s="8">
        <f>_xlfn.NUMBERVALUE(IFERROR(VLOOKUP(AD208,'Web-SKUS'!A:E,4,FALSE),""))</f>
        <v>0</v>
      </c>
      <c r="AG208" s="8">
        <f>IFERROR(VLOOKUP(AD208,VM_Performance_Stats!A:G,7,FALSE),0)</f>
        <v>0</v>
      </c>
      <c r="AH208" s="8" t="str">
        <f>IFERROR(VLOOKUP(AD208,VM_Performance_Stats!A:I,8,FALSE),"")</f>
        <v/>
      </c>
      <c r="AI208" s="8">
        <f t="shared" si="70"/>
        <v>1</v>
      </c>
      <c r="AJ208" s="8">
        <f t="shared" si="71"/>
        <v>0</v>
      </c>
      <c r="AK208" s="8">
        <f>IFERROR(IF(VLOOKUP(AD208,VM_Performance_Stats!A:I,8,FALSE)&gt;AB208,1,0),0)</f>
        <v>0</v>
      </c>
      <c r="AL208" t="str">
        <f>IFERROR(VLOOKUP(AD208,'Web-SKUS'!A:G,7,FALSE),"")</f>
        <v/>
      </c>
      <c r="AM208" s="116" t="str">
        <f t="shared" si="72"/>
        <v/>
      </c>
      <c r="AN208" t="str">
        <f>IFERROR(IF(C208=1,VLOOKUP(K208,'Web-SKUS'!A:G,7,FALSE),VLOOKUP(K208,'Web-SKUS'!A:G,6,FALSE)),"")</f>
        <v>£147.9886/month</v>
      </c>
      <c r="AO208" s="116">
        <f t="shared" si="73"/>
        <v>147.98859999999999</v>
      </c>
      <c r="AP208" s="116">
        <f t="shared" si="74"/>
        <v>147.98859999999999</v>
      </c>
      <c r="AQ208" s="115">
        <f t="shared" si="75"/>
        <v>0</v>
      </c>
      <c r="AR208" s="115">
        <f t="shared" si="77"/>
        <v>0</v>
      </c>
      <c r="AS208" s="115" t="e">
        <f>VLOOKUP(B208,'Willie List'!B:M,12,FALSE)</f>
        <v>#N/A</v>
      </c>
      <c r="AT208" s="115" t="str">
        <f t="shared" si="78"/>
        <v>Standard_DS3_v2</v>
      </c>
      <c r="AU208" s="115" t="str">
        <f t="shared" si="79"/>
        <v>DS3 v2</v>
      </c>
      <c r="AV208">
        <f t="shared" si="80"/>
        <v>0</v>
      </c>
      <c r="AW208" s="8">
        <f t="shared" si="81"/>
        <v>0</v>
      </c>
    </row>
    <row r="209" spans="1:49">
      <c r="B209" t="s">
        <v>601</v>
      </c>
      <c r="C209" s="8">
        <f>IFERROR(IF(VLOOKUP(B209,'Willie List'!B:B,1,FALSE) &lt;&gt; "",1,0),0)</f>
        <v>0</v>
      </c>
      <c r="D209" s="8"/>
      <c r="E209" t="s">
        <v>95</v>
      </c>
      <c r="F209" t="s">
        <v>151</v>
      </c>
      <c r="G209" t="s">
        <v>152</v>
      </c>
      <c r="H209" t="s">
        <v>153</v>
      </c>
      <c r="I209" t="s">
        <v>154</v>
      </c>
      <c r="J209" t="s">
        <v>155</v>
      </c>
      <c r="K209" s="8" t="str">
        <f t="shared" si="76"/>
        <v>DS3 v2</v>
      </c>
      <c r="L209" s="8">
        <f>VLOOKUP(K209,'Web-SKUS'!A:E,2,FALSE)</f>
        <v>4</v>
      </c>
      <c r="M209" s="8" t="str">
        <f>VLOOKUP(K209,'Web-SKUS'!A:E,4,FALSE)</f>
        <v>14</v>
      </c>
      <c r="N209" t="s">
        <v>602</v>
      </c>
      <c r="O209">
        <v>3</v>
      </c>
      <c r="P209" t="s">
        <v>157</v>
      </c>
      <c r="Q209" t="str">
        <f>IFERROR(VLOOKUP(B209,PercentCPU!B:F,4,FALSE),"")</f>
        <v/>
      </c>
      <c r="R209" t="str">
        <f>IFERROR(VLOOKUP(B209,MemoryAvailable!B:F,3,FALSE),"")</f>
        <v/>
      </c>
      <c r="S209" s="2" t="str">
        <f t="shared" si="65"/>
        <v/>
      </c>
      <c r="T209" t="str">
        <f t="shared" si="66"/>
        <v/>
      </c>
      <c r="U209" s="8">
        <f t="shared" si="67"/>
        <v>0</v>
      </c>
      <c r="V209" s="8" t="str">
        <f t="shared" si="68"/>
        <v/>
      </c>
      <c r="W209" s="8" t="str">
        <f>IFERROR(VLOOKUP(B209,Write_Bytes_ps!B:F,4,FALSE)/1024/1024,"")</f>
        <v/>
      </c>
      <c r="X209" s="8" t="str">
        <f>IFERROR(VLOOKUP(B209,Read_Bytes_ps!B:F,4,FALSE)/1024/1024,"")</f>
        <v/>
      </c>
      <c r="Y209" s="8" t="str">
        <f>IFERROR(VLOOKUP(B209,Writes_ps!B:F,5,FALSE),"")</f>
        <v/>
      </c>
      <c r="Z209" s="8" t="str">
        <f>IFERROR(VLOOKUP(B209,Reads_ps!B:F,5,FALSE),"")</f>
        <v/>
      </c>
      <c r="AA209" s="8">
        <f t="shared" si="82"/>
        <v>0</v>
      </c>
      <c r="AB209" s="122">
        <f t="shared" si="63"/>
        <v>0</v>
      </c>
      <c r="AC209" s="122" t="str">
        <f t="shared" si="69"/>
        <v>DS3 v2</v>
      </c>
      <c r="AE209" s="8" t="str">
        <f>IFERROR(VLOOKUP(AD209,'Web-SKUS'!A:E,2,FALSE),"")</f>
        <v/>
      </c>
      <c r="AF209" s="8">
        <f>_xlfn.NUMBERVALUE(IFERROR(VLOOKUP(AD209,'Web-SKUS'!A:E,4,FALSE),""))</f>
        <v>0</v>
      </c>
      <c r="AG209" s="8">
        <f>IFERROR(VLOOKUP(AD209,VM_Performance_Stats!A:G,7,FALSE),0)</f>
        <v>0</v>
      </c>
      <c r="AH209" s="8" t="str">
        <f>IFERROR(VLOOKUP(AD209,VM_Performance_Stats!A:I,8,FALSE),"")</f>
        <v/>
      </c>
      <c r="AI209" s="8">
        <f t="shared" si="70"/>
        <v>1</v>
      </c>
      <c r="AJ209" s="8">
        <f t="shared" si="71"/>
        <v>0</v>
      </c>
      <c r="AK209" s="8">
        <f>IFERROR(IF(VLOOKUP(AD209,VM_Performance_Stats!A:I,8,FALSE)&gt;AB209,1,0),0)</f>
        <v>0</v>
      </c>
      <c r="AL209" t="str">
        <f>IFERROR(VLOOKUP(AD209,'Web-SKUS'!A:G,7,FALSE),"")</f>
        <v/>
      </c>
      <c r="AM209" s="116" t="str">
        <f t="shared" si="72"/>
        <v/>
      </c>
      <c r="AN209" t="str">
        <f>IFERROR(IF(C209=1,VLOOKUP(K209,'Web-SKUS'!A:G,7,FALSE),VLOOKUP(K209,'Web-SKUS'!A:G,6,FALSE)),"")</f>
        <v>£147.9886/month</v>
      </c>
      <c r="AO209" s="116">
        <f t="shared" si="73"/>
        <v>147.98859999999999</v>
      </c>
      <c r="AP209" s="116">
        <f t="shared" si="74"/>
        <v>147.98859999999999</v>
      </c>
      <c r="AQ209" s="115">
        <f t="shared" si="75"/>
        <v>0</v>
      </c>
      <c r="AR209" s="115">
        <f t="shared" si="77"/>
        <v>0</v>
      </c>
      <c r="AS209" s="115" t="e">
        <f>VLOOKUP(B209,'Willie List'!B:M,12,FALSE)</f>
        <v>#N/A</v>
      </c>
      <c r="AT209" s="115" t="str">
        <f t="shared" si="78"/>
        <v>Standard_DS3_v2</v>
      </c>
      <c r="AU209" s="115" t="str">
        <f t="shared" si="79"/>
        <v>DS3 v2</v>
      </c>
      <c r="AV209">
        <f t="shared" si="80"/>
        <v>0</v>
      </c>
      <c r="AW209" s="8">
        <f t="shared" si="81"/>
        <v>0</v>
      </c>
    </row>
    <row r="210" spans="1:49">
      <c r="B210" t="s">
        <v>603</v>
      </c>
      <c r="C210" s="8">
        <f>IFERROR(IF(VLOOKUP(B210,'Willie List'!B:B,1,FALSE) &lt;&gt; "",1,0),0)</f>
        <v>0</v>
      </c>
      <c r="D210" s="8"/>
      <c r="E210" t="s">
        <v>95</v>
      </c>
      <c r="F210" t="s">
        <v>159</v>
      </c>
      <c r="G210" t="s">
        <v>152</v>
      </c>
      <c r="H210" t="s">
        <v>153</v>
      </c>
      <c r="I210" t="s">
        <v>154</v>
      </c>
      <c r="J210" t="s">
        <v>155</v>
      </c>
      <c r="K210" s="8" t="str">
        <f t="shared" si="76"/>
        <v>DS3 v2</v>
      </c>
      <c r="L210" s="8">
        <f>VLOOKUP(K210,'Web-SKUS'!A:E,2,FALSE)</f>
        <v>4</v>
      </c>
      <c r="M210" s="8" t="str">
        <f>VLOOKUP(K210,'Web-SKUS'!A:E,4,FALSE)</f>
        <v>14</v>
      </c>
      <c r="N210" t="s">
        <v>604</v>
      </c>
      <c r="O210">
        <v>9</v>
      </c>
      <c r="P210" t="s">
        <v>157</v>
      </c>
      <c r="Q210" t="str">
        <f>IFERROR(VLOOKUP(B210,PercentCPU!B:F,4,FALSE),"")</f>
        <v/>
      </c>
      <c r="R210" t="str">
        <f>IFERROR(VLOOKUP(B210,MemoryAvailable!B:F,3,FALSE),"")</f>
        <v/>
      </c>
      <c r="S210" s="2" t="str">
        <f t="shared" si="65"/>
        <v/>
      </c>
      <c r="T210" t="str">
        <f t="shared" si="66"/>
        <v/>
      </c>
      <c r="U210" s="8">
        <f t="shared" si="67"/>
        <v>0</v>
      </c>
      <c r="V210" s="8" t="str">
        <f t="shared" si="68"/>
        <v/>
      </c>
      <c r="W210" s="8" t="str">
        <f>IFERROR(VLOOKUP(B210,Write_Bytes_ps!B:F,4,FALSE)/1024/1024,"")</f>
        <v/>
      </c>
      <c r="X210" s="8" t="str">
        <f>IFERROR(VLOOKUP(B210,Read_Bytes_ps!B:F,4,FALSE)/1024/1024,"")</f>
        <v/>
      </c>
      <c r="Y210" s="8" t="str">
        <f>IFERROR(VLOOKUP(B210,Writes_ps!B:F,5,FALSE),"")</f>
        <v/>
      </c>
      <c r="Z210" s="8" t="str">
        <f>IFERROR(VLOOKUP(B210,Reads_ps!B:F,5,FALSE),"")</f>
        <v/>
      </c>
      <c r="AA210" s="8">
        <f t="shared" si="82"/>
        <v>0</v>
      </c>
      <c r="AB210" s="122">
        <f t="shared" si="63"/>
        <v>0</v>
      </c>
      <c r="AC210" s="122" t="str">
        <f t="shared" si="69"/>
        <v>DS3 v2</v>
      </c>
      <c r="AE210" s="8" t="str">
        <f>IFERROR(VLOOKUP(AD210,'Web-SKUS'!A:E,2,FALSE),"")</f>
        <v/>
      </c>
      <c r="AF210" s="8">
        <f>_xlfn.NUMBERVALUE(IFERROR(VLOOKUP(AD210,'Web-SKUS'!A:E,4,FALSE),""))</f>
        <v>0</v>
      </c>
      <c r="AG210" s="8">
        <f>IFERROR(VLOOKUP(AD210,VM_Performance_Stats!A:G,7,FALSE),0)</f>
        <v>0</v>
      </c>
      <c r="AH210" s="8" t="str">
        <f>IFERROR(VLOOKUP(AD210,VM_Performance_Stats!A:I,8,FALSE),"")</f>
        <v/>
      </c>
      <c r="AI210" s="8">
        <f t="shared" si="70"/>
        <v>1</v>
      </c>
      <c r="AJ210" s="8">
        <f t="shared" si="71"/>
        <v>0</v>
      </c>
      <c r="AK210" s="8">
        <f>IFERROR(IF(VLOOKUP(AD210,VM_Performance_Stats!A:I,8,FALSE)&gt;AB210,1,0),0)</f>
        <v>0</v>
      </c>
      <c r="AL210" t="str">
        <f>IFERROR(VLOOKUP(AD210,'Web-SKUS'!A:G,7,FALSE),"")</f>
        <v/>
      </c>
      <c r="AM210" s="116" t="str">
        <f t="shared" si="72"/>
        <v/>
      </c>
      <c r="AN210" t="str">
        <f>IFERROR(IF(C210=1,VLOOKUP(K210,'Web-SKUS'!A:G,7,FALSE),VLOOKUP(K210,'Web-SKUS'!A:G,6,FALSE)),"")</f>
        <v>£147.9886/month</v>
      </c>
      <c r="AO210" s="116">
        <f t="shared" si="73"/>
        <v>147.98859999999999</v>
      </c>
      <c r="AP210" s="116">
        <f t="shared" si="74"/>
        <v>147.98859999999999</v>
      </c>
      <c r="AQ210" s="115">
        <f t="shared" si="75"/>
        <v>0</v>
      </c>
      <c r="AR210" s="115">
        <f t="shared" si="77"/>
        <v>0</v>
      </c>
      <c r="AS210" s="115" t="e">
        <f>VLOOKUP(B210,'Willie List'!B:M,12,FALSE)</f>
        <v>#N/A</v>
      </c>
      <c r="AT210" s="115" t="str">
        <f t="shared" si="78"/>
        <v>Standard_DS3_v2</v>
      </c>
      <c r="AU210" s="115" t="str">
        <f t="shared" si="79"/>
        <v>DS3 v2</v>
      </c>
      <c r="AV210">
        <f t="shared" si="80"/>
        <v>0</v>
      </c>
      <c r="AW210" s="8">
        <f t="shared" si="81"/>
        <v>0</v>
      </c>
    </row>
    <row r="211" spans="1:49">
      <c r="B211" t="s">
        <v>605</v>
      </c>
      <c r="C211" s="8">
        <f>IFERROR(IF(VLOOKUP(B211,'Willie List'!B:B,1,FALSE) &lt;&gt; "",1,0),0)</f>
        <v>0</v>
      </c>
      <c r="D211" s="8"/>
      <c r="E211" t="s">
        <v>99</v>
      </c>
      <c r="F211" t="s">
        <v>162</v>
      </c>
      <c r="G211" t="s">
        <v>152</v>
      </c>
      <c r="H211" t="s">
        <v>153</v>
      </c>
      <c r="I211" t="s">
        <v>154</v>
      </c>
      <c r="J211" t="s">
        <v>155</v>
      </c>
      <c r="K211" s="8" t="str">
        <f t="shared" si="76"/>
        <v>DS3 v2</v>
      </c>
      <c r="L211" s="8">
        <f>VLOOKUP(K211,'Web-SKUS'!A:E,2,FALSE)</f>
        <v>4</v>
      </c>
      <c r="M211" s="8" t="str">
        <f>VLOOKUP(K211,'Web-SKUS'!A:E,4,FALSE)</f>
        <v>14</v>
      </c>
      <c r="N211" t="s">
        <v>606</v>
      </c>
      <c r="O211">
        <v>4</v>
      </c>
      <c r="P211" t="s">
        <v>157</v>
      </c>
      <c r="Q211" t="str">
        <f>IFERROR(VLOOKUP(B211,PercentCPU!B:F,4,FALSE),"")</f>
        <v/>
      </c>
      <c r="R211" t="str">
        <f>IFERROR(VLOOKUP(B211,MemoryAvailable!B:F,3,FALSE),"")</f>
        <v/>
      </c>
      <c r="S211" s="2" t="str">
        <f t="shared" si="65"/>
        <v/>
      </c>
      <c r="T211" t="str">
        <f t="shared" si="66"/>
        <v/>
      </c>
      <c r="U211" s="8">
        <f t="shared" si="67"/>
        <v>0</v>
      </c>
      <c r="V211" s="8" t="str">
        <f t="shared" si="68"/>
        <v/>
      </c>
      <c r="W211" s="8" t="str">
        <f>IFERROR(VLOOKUP(B211,Write_Bytes_ps!B:F,4,FALSE)/1024/1024,"")</f>
        <v/>
      </c>
      <c r="X211" s="8" t="str">
        <f>IFERROR(VLOOKUP(B211,Read_Bytes_ps!B:F,4,FALSE)/1024/1024,"")</f>
        <v/>
      </c>
      <c r="Y211" s="8" t="str">
        <f>IFERROR(VLOOKUP(B211,Writes_ps!B:F,5,FALSE),"")</f>
        <v/>
      </c>
      <c r="Z211" s="8" t="str">
        <f>IFERROR(VLOOKUP(B211,Reads_ps!B:F,5,FALSE),"")</f>
        <v/>
      </c>
      <c r="AA211" s="8">
        <f t="shared" si="82"/>
        <v>0</v>
      </c>
      <c r="AB211" s="122">
        <f t="shared" ref="AB211:AB242" si="83">ROUNDUP(SUM(Y211:Z211),0)</f>
        <v>0</v>
      </c>
      <c r="AC211" s="122" t="str">
        <f t="shared" si="69"/>
        <v>DS3 v2</v>
      </c>
      <c r="AE211" s="8" t="str">
        <f>IFERROR(VLOOKUP(AD211,'Web-SKUS'!A:E,2,FALSE),"")</f>
        <v/>
      </c>
      <c r="AF211" s="8">
        <f>_xlfn.NUMBERVALUE(IFERROR(VLOOKUP(AD211,'Web-SKUS'!A:E,4,FALSE),""))</f>
        <v>0</v>
      </c>
      <c r="AG211" s="8">
        <f>IFERROR(VLOOKUP(AD211,VM_Performance_Stats!A:G,7,FALSE),0)</f>
        <v>0</v>
      </c>
      <c r="AH211" s="8" t="str">
        <f>IFERROR(VLOOKUP(AD211,VM_Performance_Stats!A:I,8,FALSE),"")</f>
        <v/>
      </c>
      <c r="AI211" s="8">
        <f t="shared" si="70"/>
        <v>1</v>
      </c>
      <c r="AJ211" s="8">
        <f t="shared" si="71"/>
        <v>0</v>
      </c>
      <c r="AK211" s="8">
        <f>IFERROR(IF(VLOOKUP(AD211,VM_Performance_Stats!A:I,8,FALSE)&gt;AB211,1,0),0)</f>
        <v>0</v>
      </c>
      <c r="AL211" t="str">
        <f>IFERROR(VLOOKUP(AD211,'Web-SKUS'!A:G,7,FALSE),"")</f>
        <v/>
      </c>
      <c r="AM211" s="116" t="str">
        <f t="shared" si="72"/>
        <v/>
      </c>
      <c r="AN211" t="str">
        <f>IFERROR(IF(C211=1,VLOOKUP(K211,'Web-SKUS'!A:G,7,FALSE),VLOOKUP(K211,'Web-SKUS'!A:G,6,FALSE)),"")</f>
        <v>£147.9886/month</v>
      </c>
      <c r="AO211" s="116">
        <f t="shared" si="73"/>
        <v>147.98859999999999</v>
      </c>
      <c r="AP211" s="116">
        <f t="shared" si="74"/>
        <v>147.98859999999999</v>
      </c>
      <c r="AQ211" s="115">
        <f t="shared" si="75"/>
        <v>0</v>
      </c>
      <c r="AR211" s="115">
        <f t="shared" si="77"/>
        <v>0</v>
      </c>
      <c r="AS211" s="115" t="e">
        <f>VLOOKUP(B211,'Willie List'!B:M,12,FALSE)</f>
        <v>#N/A</v>
      </c>
      <c r="AT211" s="115" t="str">
        <f t="shared" si="78"/>
        <v>Standard_DS3_v2</v>
      </c>
      <c r="AU211" s="115" t="str">
        <f t="shared" si="79"/>
        <v>DS3 v2</v>
      </c>
      <c r="AV211">
        <f t="shared" si="80"/>
        <v>0</v>
      </c>
      <c r="AW211" s="8">
        <f t="shared" si="81"/>
        <v>0</v>
      </c>
    </row>
    <row r="212" spans="1:49">
      <c r="B212" t="s">
        <v>607</v>
      </c>
      <c r="C212" s="8">
        <f>IFERROR(IF(VLOOKUP(B212,'Willie List'!B:B,1,FALSE) &lt;&gt; "",1,0),0)</f>
        <v>0</v>
      </c>
      <c r="D212" s="8"/>
      <c r="E212" t="s">
        <v>99</v>
      </c>
      <c r="F212" t="s">
        <v>162</v>
      </c>
      <c r="G212" t="s">
        <v>152</v>
      </c>
      <c r="H212" t="s">
        <v>153</v>
      </c>
      <c r="I212" t="s">
        <v>154</v>
      </c>
      <c r="J212" t="s">
        <v>155</v>
      </c>
      <c r="K212" s="8" t="str">
        <f t="shared" si="76"/>
        <v>DS3 v2</v>
      </c>
      <c r="L212" s="8">
        <f>VLOOKUP(K212,'Web-SKUS'!A:E,2,FALSE)</f>
        <v>4</v>
      </c>
      <c r="M212" s="8" t="str">
        <f>VLOOKUP(K212,'Web-SKUS'!A:E,4,FALSE)</f>
        <v>14</v>
      </c>
      <c r="N212" t="s">
        <v>608</v>
      </c>
      <c r="O212">
        <v>4</v>
      </c>
      <c r="P212" t="s">
        <v>157</v>
      </c>
      <c r="Q212" t="str">
        <f>IFERROR(VLOOKUP(B212,PercentCPU!B:F,4,FALSE),"")</f>
        <v/>
      </c>
      <c r="R212" t="str">
        <f>IFERROR(VLOOKUP(B212,MemoryAvailable!B:F,3,FALSE),"")</f>
        <v/>
      </c>
      <c r="S212" s="2" t="str">
        <f t="shared" si="65"/>
        <v/>
      </c>
      <c r="T212" t="str">
        <f t="shared" si="66"/>
        <v/>
      </c>
      <c r="U212" s="8">
        <f t="shared" si="67"/>
        <v>0</v>
      </c>
      <c r="V212" s="8" t="str">
        <f t="shared" si="68"/>
        <v/>
      </c>
      <c r="W212" s="8" t="str">
        <f>IFERROR(VLOOKUP(B212,Write_Bytes_ps!B:F,4,FALSE)/1024/1024,"")</f>
        <v/>
      </c>
      <c r="X212" s="8" t="str">
        <f>IFERROR(VLOOKUP(B212,Read_Bytes_ps!B:F,4,FALSE)/1024/1024,"")</f>
        <v/>
      </c>
      <c r="Y212" s="8" t="str">
        <f>IFERROR(VLOOKUP(B212,Writes_ps!B:F,5,FALSE),"")</f>
        <v/>
      </c>
      <c r="Z212" s="8" t="str">
        <f>IFERROR(VLOOKUP(B212,Reads_ps!B:F,5,FALSE),"")</f>
        <v/>
      </c>
      <c r="AA212" s="8">
        <f t="shared" si="82"/>
        <v>0</v>
      </c>
      <c r="AB212" s="122">
        <f t="shared" si="83"/>
        <v>0</v>
      </c>
      <c r="AC212" s="122" t="str">
        <f t="shared" si="69"/>
        <v>DS3 v2</v>
      </c>
      <c r="AE212" s="8" t="str">
        <f>IFERROR(VLOOKUP(AD212,'Web-SKUS'!A:E,2,FALSE),"")</f>
        <v/>
      </c>
      <c r="AF212" s="8">
        <f>_xlfn.NUMBERVALUE(IFERROR(VLOOKUP(AD212,'Web-SKUS'!A:E,4,FALSE),""))</f>
        <v>0</v>
      </c>
      <c r="AG212" s="8">
        <f>IFERROR(VLOOKUP(AD212,VM_Performance_Stats!A:G,7,FALSE),0)</f>
        <v>0</v>
      </c>
      <c r="AH212" s="8" t="str">
        <f>IFERROR(VLOOKUP(AD212,VM_Performance_Stats!A:I,8,FALSE),"")</f>
        <v/>
      </c>
      <c r="AI212" s="8">
        <f t="shared" si="70"/>
        <v>1</v>
      </c>
      <c r="AJ212" s="8">
        <f t="shared" si="71"/>
        <v>0</v>
      </c>
      <c r="AK212" s="8">
        <f>IFERROR(IF(VLOOKUP(AD212,VM_Performance_Stats!A:I,8,FALSE)&gt;AB212,1,0),0)</f>
        <v>0</v>
      </c>
      <c r="AL212" t="str">
        <f>IFERROR(VLOOKUP(AD212,'Web-SKUS'!A:G,7,FALSE),"")</f>
        <v/>
      </c>
      <c r="AM212" s="116" t="str">
        <f t="shared" si="72"/>
        <v/>
      </c>
      <c r="AN212" t="str">
        <f>IFERROR(IF(C212=1,VLOOKUP(K212,'Web-SKUS'!A:G,7,FALSE),VLOOKUP(K212,'Web-SKUS'!A:G,6,FALSE)),"")</f>
        <v>£147.9886/month</v>
      </c>
      <c r="AO212" s="116">
        <f t="shared" si="73"/>
        <v>147.98859999999999</v>
      </c>
      <c r="AP212" s="116">
        <f t="shared" si="74"/>
        <v>147.98859999999999</v>
      </c>
      <c r="AQ212" s="115">
        <f t="shared" si="75"/>
        <v>0</v>
      </c>
      <c r="AR212" s="115">
        <f t="shared" si="77"/>
        <v>0</v>
      </c>
      <c r="AS212" s="115" t="e">
        <f>VLOOKUP(B212,'Willie List'!B:M,12,FALSE)</f>
        <v>#N/A</v>
      </c>
      <c r="AT212" s="115" t="str">
        <f t="shared" si="78"/>
        <v>Standard_DS3_v2</v>
      </c>
      <c r="AU212" s="115" t="str">
        <f t="shared" si="79"/>
        <v>DS3 v2</v>
      </c>
      <c r="AV212">
        <f t="shared" si="80"/>
        <v>0</v>
      </c>
      <c r="AW212" s="8">
        <f t="shared" si="81"/>
        <v>0</v>
      </c>
    </row>
    <row r="213" spans="1:49">
      <c r="B213" t="s">
        <v>609</v>
      </c>
      <c r="C213" s="8">
        <f>IFERROR(IF(VLOOKUP(B213,'Willie List'!B:B,1,FALSE) &lt;&gt; "",1,0),0)</f>
        <v>0</v>
      </c>
      <c r="D213" s="8"/>
      <c r="E213" t="s">
        <v>99</v>
      </c>
      <c r="F213" t="s">
        <v>162</v>
      </c>
      <c r="G213" t="s">
        <v>152</v>
      </c>
      <c r="H213" t="s">
        <v>153</v>
      </c>
      <c r="I213" t="s">
        <v>154</v>
      </c>
      <c r="J213" t="s">
        <v>155</v>
      </c>
      <c r="K213" s="8" t="str">
        <f t="shared" si="76"/>
        <v>DS3 v2</v>
      </c>
      <c r="L213" s="8">
        <f>VLOOKUP(K213,'Web-SKUS'!A:E,2,FALSE)</f>
        <v>4</v>
      </c>
      <c r="M213" s="8" t="str">
        <f>VLOOKUP(K213,'Web-SKUS'!A:E,4,FALSE)</f>
        <v>14</v>
      </c>
      <c r="N213" t="s">
        <v>610</v>
      </c>
      <c r="O213">
        <v>4</v>
      </c>
      <c r="P213" t="s">
        <v>157</v>
      </c>
      <c r="Q213" t="str">
        <f>IFERROR(VLOOKUP(B213,PercentCPU!B:F,4,FALSE),"")</f>
        <v/>
      </c>
      <c r="R213" t="str">
        <f>IFERROR(VLOOKUP(B213,MemoryAvailable!B:F,3,FALSE),"")</f>
        <v/>
      </c>
      <c r="S213" s="2" t="str">
        <f t="shared" si="65"/>
        <v/>
      </c>
      <c r="T213" t="str">
        <f t="shared" si="66"/>
        <v/>
      </c>
      <c r="U213" s="8">
        <f t="shared" si="67"/>
        <v>0</v>
      </c>
      <c r="V213" s="8" t="str">
        <f t="shared" si="68"/>
        <v/>
      </c>
      <c r="W213" s="8" t="str">
        <f>IFERROR(VLOOKUP(B213,Write_Bytes_ps!B:F,4,FALSE)/1024/1024,"")</f>
        <v/>
      </c>
      <c r="X213" s="8" t="str">
        <f>IFERROR(VLOOKUP(B213,Read_Bytes_ps!B:F,4,FALSE)/1024/1024,"")</f>
        <v/>
      </c>
      <c r="Y213" s="8" t="str">
        <f>IFERROR(VLOOKUP(B213,Writes_ps!B:F,5,FALSE),"")</f>
        <v/>
      </c>
      <c r="Z213" s="8" t="str">
        <f>IFERROR(VLOOKUP(B213,Reads_ps!B:F,5,FALSE),"")</f>
        <v/>
      </c>
      <c r="AA213" s="8">
        <f t="shared" si="82"/>
        <v>0</v>
      </c>
      <c r="AB213" s="122">
        <f t="shared" si="83"/>
        <v>0</v>
      </c>
      <c r="AC213" s="122" t="str">
        <f t="shared" si="69"/>
        <v>DS3 v2</v>
      </c>
      <c r="AE213" s="8" t="str">
        <f>IFERROR(VLOOKUP(AD213,'Web-SKUS'!A:E,2,FALSE),"")</f>
        <v/>
      </c>
      <c r="AF213" s="8">
        <f>_xlfn.NUMBERVALUE(IFERROR(VLOOKUP(AD213,'Web-SKUS'!A:E,4,FALSE),""))</f>
        <v>0</v>
      </c>
      <c r="AG213" s="8">
        <f>IFERROR(VLOOKUP(AD213,VM_Performance_Stats!A:G,7,FALSE),0)</f>
        <v>0</v>
      </c>
      <c r="AH213" s="8" t="str">
        <f>IFERROR(VLOOKUP(AD213,VM_Performance_Stats!A:I,8,FALSE),"")</f>
        <v/>
      </c>
      <c r="AI213" s="8">
        <f t="shared" si="70"/>
        <v>1</v>
      </c>
      <c r="AJ213" s="8">
        <f t="shared" si="71"/>
        <v>0</v>
      </c>
      <c r="AK213" s="8">
        <f>IFERROR(IF(VLOOKUP(AD213,VM_Performance_Stats!A:I,8,FALSE)&gt;AB213,1,0),0)</f>
        <v>0</v>
      </c>
      <c r="AL213" t="str">
        <f>IFERROR(VLOOKUP(AD213,'Web-SKUS'!A:G,7,FALSE),"")</f>
        <v/>
      </c>
      <c r="AM213" s="116" t="str">
        <f t="shared" si="72"/>
        <v/>
      </c>
      <c r="AN213" t="str">
        <f>IFERROR(IF(C213=1,VLOOKUP(K213,'Web-SKUS'!A:G,7,FALSE),VLOOKUP(K213,'Web-SKUS'!A:G,6,FALSE)),"")</f>
        <v>£147.9886/month</v>
      </c>
      <c r="AO213" s="116">
        <f t="shared" si="73"/>
        <v>147.98859999999999</v>
      </c>
      <c r="AP213" s="116">
        <f t="shared" si="74"/>
        <v>147.98859999999999</v>
      </c>
      <c r="AQ213" s="115">
        <f t="shared" si="75"/>
        <v>0</v>
      </c>
      <c r="AR213" s="115">
        <f t="shared" si="77"/>
        <v>0</v>
      </c>
      <c r="AS213" s="115" t="e">
        <f>VLOOKUP(B213,'Willie List'!B:M,12,FALSE)</f>
        <v>#N/A</v>
      </c>
      <c r="AT213" s="115" t="str">
        <f t="shared" si="78"/>
        <v>Standard_DS3_v2</v>
      </c>
      <c r="AU213" s="115" t="str">
        <f t="shared" si="79"/>
        <v>DS3 v2</v>
      </c>
      <c r="AV213">
        <f t="shared" si="80"/>
        <v>0</v>
      </c>
      <c r="AW213" s="8">
        <f t="shared" si="81"/>
        <v>0</v>
      </c>
    </row>
    <row r="214" spans="1:49">
      <c r="B214" t="s">
        <v>611</v>
      </c>
      <c r="C214" s="8">
        <f>IFERROR(IF(VLOOKUP(B214,'Willie List'!B:B,1,FALSE) &lt;&gt; "",1,0),0)</f>
        <v>1</v>
      </c>
      <c r="D214" s="8"/>
      <c r="E214" t="s">
        <v>99</v>
      </c>
      <c r="F214" t="s">
        <v>579</v>
      </c>
      <c r="G214" t="s">
        <v>152</v>
      </c>
      <c r="H214" t="s">
        <v>153</v>
      </c>
      <c r="I214" t="s">
        <v>276</v>
      </c>
      <c r="J214" t="s">
        <v>57</v>
      </c>
      <c r="K214" s="8" t="str">
        <f t="shared" si="76"/>
        <v>D4ds v4</v>
      </c>
      <c r="L214" s="8">
        <f>VLOOKUP(K214,'Web-SKUS'!A:E,2,FALSE)</f>
        <v>4</v>
      </c>
      <c r="M214" s="8" t="str">
        <f>VLOOKUP(K214,'Web-SKUS'!A:E,4,FALSE)</f>
        <v>16</v>
      </c>
      <c r="N214" t="s">
        <v>277</v>
      </c>
      <c r="O214" s="8">
        <v>2</v>
      </c>
      <c r="P214" t="s">
        <v>157</v>
      </c>
      <c r="Q214">
        <f>IFERROR(VLOOKUP(B214,PercentCPU!B:F,4,FALSE),"")</f>
        <v>2.5986153313091829</v>
      </c>
      <c r="R214">
        <f>IFERROR(VLOOKUP(B214,MemoryAvailable!B:F,3,FALSE),"")</f>
        <v>11230.839607085649</v>
      </c>
      <c r="S214" s="2">
        <f t="shared" si="65"/>
        <v>0.31452394976283882</v>
      </c>
      <c r="T214">
        <f t="shared" si="66"/>
        <v>1</v>
      </c>
      <c r="U214" s="8">
        <f t="shared" si="67"/>
        <v>5</v>
      </c>
      <c r="V214" s="8">
        <f t="shared" si="68"/>
        <v>0</v>
      </c>
      <c r="W214" s="8">
        <f>IFERROR(VLOOKUP(B214,Write_Bytes_ps!B:F,4,FALSE)/1024/1024,"")</f>
        <v>0.14345005430956032</v>
      </c>
      <c r="X214" s="8">
        <f>IFERROR(VLOOKUP(B214,Read_Bytes_ps!B:F,4,FALSE)/1024/1024,"")</f>
        <v>0.11988474120572817</v>
      </c>
      <c r="Y214" s="8">
        <f>IFERROR(VLOOKUP(B214,Writes_ps!B:F,5,FALSE),"")</f>
        <v>468.44357299804699</v>
      </c>
      <c r="Z214" s="8">
        <f>IFERROR(VLOOKUP(B214,Reads_ps!B:F,5,FALSE),"")</f>
        <v>227.69493103027301</v>
      </c>
      <c r="AA214" s="120">
        <f t="shared" si="82"/>
        <v>0.26333479551528849</v>
      </c>
      <c r="AB214" s="122">
        <f t="shared" si="83"/>
        <v>697</v>
      </c>
      <c r="AC214" s="122" t="str">
        <f t="shared" si="69"/>
        <v>D4ds v4</v>
      </c>
      <c r="AD214" s="8" t="s">
        <v>412</v>
      </c>
      <c r="AE214" s="8">
        <f>IFERROR(VLOOKUP(AD214,'Web-SKUS'!A:E,2,FALSE),"")</f>
        <v>2</v>
      </c>
      <c r="AF214" s="8">
        <f>_xlfn.NUMBERVALUE(IFERROR(VLOOKUP(AD214,'Web-SKUS'!A:E,4,FALSE),""))</f>
        <v>8</v>
      </c>
      <c r="AG214" s="8">
        <f>IFERROR(VLOOKUP(AD214,VM_Performance_Stats!A:G,7,FALSE),0)</f>
        <v>4</v>
      </c>
      <c r="AH214" s="8">
        <f>IFERROR(VLOOKUP(AD214,VM_Performance_Stats!A:I,8,FALSE),"")</f>
        <v>3200</v>
      </c>
      <c r="AI214" s="8">
        <f t="shared" si="70"/>
        <v>1</v>
      </c>
      <c r="AJ214" s="8">
        <f t="shared" si="71"/>
        <v>1</v>
      </c>
      <c r="AK214" s="8">
        <f>IFERROR(IF(VLOOKUP(AD214,VM_Performance_Stats!A:I,8,FALSE)&gt;AB214,1,0),0)</f>
        <v>1</v>
      </c>
      <c r="AL214" t="str">
        <f>IFERROR(VLOOKUP(AD214,'Web-SKUS'!A:G,7,FALSE),"")</f>
        <v>£43.6621/month</v>
      </c>
      <c r="AM214" s="116">
        <f t="shared" si="72"/>
        <v>43.662100000000002</v>
      </c>
      <c r="AN214" t="str">
        <f>IFERROR(IF(C214=1,VLOOKUP(K214,'Web-SKUS'!A:G,7,FALSE),VLOOKUP(K214,'Web-SKUS'!A:G,6,FALSE)),"")</f>
        <v>£87.3242/month</v>
      </c>
      <c r="AO214" s="116">
        <f t="shared" si="73"/>
        <v>87.324200000000005</v>
      </c>
      <c r="AP214" s="116">
        <f t="shared" si="74"/>
        <v>43.662100000000002</v>
      </c>
      <c r="AQ214" s="115">
        <f t="shared" si="75"/>
        <v>43.662100000000002</v>
      </c>
      <c r="AR214" s="115">
        <f t="shared" si="77"/>
        <v>523.9452</v>
      </c>
      <c r="AS214" s="115" t="str">
        <f>VLOOKUP(B214,'Willie List'!B:M,12,FALSE)</f>
        <v>YES</v>
      </c>
      <c r="AT214" s="115" t="str">
        <f t="shared" si="78"/>
        <v>Standard_D4ds_v4</v>
      </c>
      <c r="AU214" s="115" t="str">
        <f t="shared" si="79"/>
        <v>D4ds v4</v>
      </c>
      <c r="AV214" t="str">
        <f t="shared" si="80"/>
        <v>D2ds v4</v>
      </c>
      <c r="AW214" s="8">
        <f t="shared" si="81"/>
        <v>0</v>
      </c>
    </row>
    <row r="215" spans="1:49">
      <c r="B215" t="s">
        <v>612</v>
      </c>
      <c r="C215" s="8">
        <f>IFERROR(IF(VLOOKUP(B215,'Willie List'!B:B,1,FALSE) &lt;&gt; "",1,0),0)</f>
        <v>1</v>
      </c>
      <c r="D215" s="8"/>
      <c r="E215" t="s">
        <v>99</v>
      </c>
      <c r="F215" t="s">
        <v>579</v>
      </c>
      <c r="G215" t="s">
        <v>152</v>
      </c>
      <c r="H215" t="s">
        <v>153</v>
      </c>
      <c r="I215" t="s">
        <v>276</v>
      </c>
      <c r="J215" t="s">
        <v>57</v>
      </c>
      <c r="K215" s="8" t="str">
        <f t="shared" si="76"/>
        <v>D4ds v4</v>
      </c>
      <c r="L215" s="8">
        <f>VLOOKUP(K215,'Web-SKUS'!A:E,2,FALSE)</f>
        <v>4</v>
      </c>
      <c r="M215" s="8" t="str">
        <f>VLOOKUP(K215,'Web-SKUS'!A:E,4,FALSE)</f>
        <v>16</v>
      </c>
      <c r="N215" t="s">
        <v>277</v>
      </c>
      <c r="O215">
        <v>2</v>
      </c>
      <c r="P215" t="s">
        <v>157</v>
      </c>
      <c r="Q215" t="str">
        <f>IFERROR(VLOOKUP(B215,PercentCPU!B:F,4,FALSE),"")</f>
        <v/>
      </c>
      <c r="R215" t="str">
        <f>IFERROR(VLOOKUP(B215,MemoryAvailable!B:F,3,FALSE),"")</f>
        <v/>
      </c>
      <c r="S215" s="2" t="str">
        <f t="shared" si="65"/>
        <v/>
      </c>
      <c r="T215" t="str">
        <f t="shared" si="66"/>
        <v/>
      </c>
      <c r="U215" s="8">
        <f t="shared" si="67"/>
        <v>0</v>
      </c>
      <c r="V215" s="8" t="str">
        <f t="shared" si="68"/>
        <v/>
      </c>
      <c r="W215" s="8" t="str">
        <f>IFERROR(VLOOKUP(B215,Write_Bytes_ps!B:F,4,FALSE)/1024/1024,"")</f>
        <v/>
      </c>
      <c r="X215" s="8" t="str">
        <f>IFERROR(VLOOKUP(B215,Read_Bytes_ps!B:F,4,FALSE)/1024/1024,"")</f>
        <v/>
      </c>
      <c r="Y215" s="8" t="str">
        <f>IFERROR(VLOOKUP(B215,Writes_ps!B:F,5,FALSE),"")</f>
        <v/>
      </c>
      <c r="Z215" s="8" t="str">
        <f>IFERROR(VLOOKUP(B215,Reads_ps!B:F,5,FALSE),"")</f>
        <v/>
      </c>
      <c r="AA215" s="120">
        <f t="shared" si="82"/>
        <v>0</v>
      </c>
      <c r="AB215" s="122">
        <f t="shared" si="83"/>
        <v>0</v>
      </c>
      <c r="AC215" s="122" t="str">
        <f t="shared" si="69"/>
        <v>D4ds v4</v>
      </c>
      <c r="AD215" s="8" t="s">
        <v>420</v>
      </c>
      <c r="AE215" s="8">
        <f>IFERROR(VLOOKUP(AD215,'Web-SKUS'!A:E,2,FALSE),"")</f>
        <v>4</v>
      </c>
      <c r="AF215" s="8">
        <f>_xlfn.NUMBERVALUE(IFERROR(VLOOKUP(AD215,'Web-SKUS'!A:E,4,FALSE),""))</f>
        <v>16</v>
      </c>
      <c r="AG215" s="8">
        <f>IFERROR(VLOOKUP(AD215,VM_Performance_Stats!A:G,7,FALSE),0)</f>
        <v>8</v>
      </c>
      <c r="AH215" s="8">
        <f>IFERROR(VLOOKUP(AD215,VM_Performance_Stats!A:I,8,FALSE),"")</f>
        <v>6400</v>
      </c>
      <c r="AI215" s="8">
        <f t="shared" si="70"/>
        <v>1</v>
      </c>
      <c r="AJ215" s="8">
        <f t="shared" si="71"/>
        <v>1</v>
      </c>
      <c r="AK215" s="8">
        <f>IFERROR(IF(VLOOKUP(AD215,VM_Performance_Stats!A:I,8,FALSE)&gt;AB215,1,0),0)</f>
        <v>1</v>
      </c>
      <c r="AL215" t="str">
        <f>IFERROR(VLOOKUP(AD215,'Web-SKUS'!A:G,7,FALSE),"")</f>
        <v>£87.3242/month</v>
      </c>
      <c r="AM215" s="116">
        <f t="shared" si="72"/>
        <v>87.324200000000005</v>
      </c>
      <c r="AN215" t="str">
        <f>IFERROR(IF(C215=1,VLOOKUP(K215,'Web-SKUS'!A:G,7,FALSE),VLOOKUP(K215,'Web-SKUS'!A:G,6,FALSE)),"")</f>
        <v>£87.3242/month</v>
      </c>
      <c r="AO215" s="116">
        <f t="shared" si="73"/>
        <v>87.324200000000005</v>
      </c>
      <c r="AP215" s="116">
        <f t="shared" si="74"/>
        <v>87.324200000000005</v>
      </c>
      <c r="AQ215" s="115">
        <f t="shared" si="75"/>
        <v>0</v>
      </c>
      <c r="AR215" s="115">
        <f t="shared" si="77"/>
        <v>0</v>
      </c>
      <c r="AS215" s="115" t="str">
        <f>VLOOKUP(B215,'Willie List'!B:M,12,FALSE)</f>
        <v>YES</v>
      </c>
      <c r="AT215" s="115" t="str">
        <f t="shared" si="78"/>
        <v>Standard_D4ds_v4</v>
      </c>
      <c r="AU215" s="115" t="str">
        <f t="shared" si="79"/>
        <v>D4ds v4</v>
      </c>
      <c r="AV215" t="str">
        <f t="shared" si="80"/>
        <v>D4ds v4</v>
      </c>
      <c r="AW215" s="8">
        <f t="shared" si="81"/>
        <v>1</v>
      </c>
    </row>
    <row r="216" spans="1:49">
      <c r="A216" t="s">
        <v>613</v>
      </c>
      <c r="B216" t="s">
        <v>614</v>
      </c>
      <c r="C216" s="8">
        <f>IFERROR(IF(VLOOKUP(B216,'Willie List'!B:B,1,FALSE) &lt;&gt; "",1,0),0)</f>
        <v>1</v>
      </c>
      <c r="D216" s="8"/>
      <c r="E216" t="s">
        <v>99</v>
      </c>
      <c r="F216" t="s">
        <v>579</v>
      </c>
      <c r="G216" t="s">
        <v>152</v>
      </c>
      <c r="H216" t="s">
        <v>153</v>
      </c>
      <c r="I216" t="s">
        <v>276</v>
      </c>
      <c r="J216" t="s">
        <v>57</v>
      </c>
      <c r="K216" s="8" t="str">
        <f t="shared" si="76"/>
        <v>D4ds v4</v>
      </c>
      <c r="L216" s="8">
        <f>VLOOKUP(K216,'Web-SKUS'!A:E,2,FALSE)</f>
        <v>4</v>
      </c>
      <c r="M216" s="8" t="str">
        <f>VLOOKUP(K216,'Web-SKUS'!A:E,4,FALSE)</f>
        <v>16</v>
      </c>
      <c r="N216" t="s">
        <v>277</v>
      </c>
      <c r="O216">
        <v>2</v>
      </c>
      <c r="P216" t="s">
        <v>157</v>
      </c>
      <c r="Q216" t="str">
        <f>IFERROR(VLOOKUP(B216,PercentCPU!B:F,4,FALSE),"")</f>
        <v/>
      </c>
      <c r="R216" t="str">
        <f>IFERROR(VLOOKUP(B216,MemoryAvailable!B:F,3,FALSE),"")</f>
        <v/>
      </c>
      <c r="S216" s="2" t="str">
        <f t="shared" si="65"/>
        <v/>
      </c>
      <c r="T216" t="str">
        <f t="shared" si="66"/>
        <v/>
      </c>
      <c r="U216" s="8">
        <f t="shared" si="67"/>
        <v>0</v>
      </c>
      <c r="V216" s="8" t="str">
        <f t="shared" si="68"/>
        <v/>
      </c>
      <c r="W216" s="8" t="str">
        <f>IFERROR(VLOOKUP(B216,Write_Bytes_ps!B:F,4,FALSE)/1024/1024,"")</f>
        <v/>
      </c>
      <c r="X216" s="8" t="str">
        <f>IFERROR(VLOOKUP(B216,Read_Bytes_ps!B:F,4,FALSE)/1024/1024,"")</f>
        <v/>
      </c>
      <c r="Y216" s="8" t="str">
        <f>IFERROR(VLOOKUP(B216,Writes_ps!B:F,5,FALSE),"")</f>
        <v/>
      </c>
      <c r="Z216" s="8" t="str">
        <f>IFERROR(VLOOKUP(B216,Reads_ps!B:F,5,FALSE),"")</f>
        <v/>
      </c>
      <c r="AA216" s="120">
        <f t="shared" si="82"/>
        <v>0</v>
      </c>
      <c r="AB216" s="122">
        <f t="shared" si="83"/>
        <v>0</v>
      </c>
      <c r="AC216" s="122" t="str">
        <f t="shared" si="69"/>
        <v>D4ds v4</v>
      </c>
      <c r="AD216" s="8" t="s">
        <v>420</v>
      </c>
      <c r="AE216" s="8">
        <f>IFERROR(VLOOKUP(AD216,'Web-SKUS'!A:E,2,FALSE),"")</f>
        <v>4</v>
      </c>
      <c r="AF216" s="8">
        <f>_xlfn.NUMBERVALUE(IFERROR(VLOOKUP(AD216,'Web-SKUS'!A:E,4,FALSE),""))</f>
        <v>16</v>
      </c>
      <c r="AG216" s="8">
        <f>IFERROR(VLOOKUP(AD216,VM_Performance_Stats!A:G,7,FALSE),0)</f>
        <v>8</v>
      </c>
      <c r="AH216" s="8">
        <f>IFERROR(VLOOKUP(AD216,VM_Performance_Stats!A:I,8,FALSE),"")</f>
        <v>6400</v>
      </c>
      <c r="AI216" s="8">
        <f t="shared" si="70"/>
        <v>1</v>
      </c>
      <c r="AJ216" s="8">
        <f t="shared" si="71"/>
        <v>1</v>
      </c>
      <c r="AK216" s="8">
        <f>IFERROR(IF(VLOOKUP(AD216,VM_Performance_Stats!A:I,8,FALSE)&gt;AB216,1,0),0)</f>
        <v>1</v>
      </c>
      <c r="AL216" t="str">
        <f>IFERROR(VLOOKUP(AD216,'Web-SKUS'!A:G,7,FALSE),"")</f>
        <v>£87.3242/month</v>
      </c>
      <c r="AM216" s="116">
        <f t="shared" si="72"/>
        <v>87.324200000000005</v>
      </c>
      <c r="AN216" t="str">
        <f>IFERROR(IF(C216=1,VLOOKUP(K216,'Web-SKUS'!A:G,7,FALSE),VLOOKUP(K216,'Web-SKUS'!A:G,6,FALSE)),"")</f>
        <v>£87.3242/month</v>
      </c>
      <c r="AO216" s="116">
        <f t="shared" si="73"/>
        <v>87.324200000000005</v>
      </c>
      <c r="AP216" s="116">
        <f t="shared" si="74"/>
        <v>87.324200000000005</v>
      </c>
      <c r="AQ216" s="115">
        <f t="shared" si="75"/>
        <v>0</v>
      </c>
      <c r="AR216" s="115">
        <f t="shared" si="77"/>
        <v>0</v>
      </c>
      <c r="AS216" s="115" t="str">
        <f>VLOOKUP(B216,'Willie List'!B:M,12,FALSE)</f>
        <v>YES</v>
      </c>
      <c r="AT216" s="115" t="str">
        <f t="shared" si="78"/>
        <v>Standard_D4ds_v4</v>
      </c>
      <c r="AU216" s="115" t="str">
        <f t="shared" si="79"/>
        <v>D4ds v4</v>
      </c>
      <c r="AV216" t="str">
        <f t="shared" si="80"/>
        <v>D4ds v4</v>
      </c>
      <c r="AW216" s="8">
        <f t="shared" si="81"/>
        <v>1</v>
      </c>
    </row>
    <row r="217" spans="1:49">
      <c r="B217" t="s">
        <v>615</v>
      </c>
      <c r="C217" s="8">
        <f>IFERROR(IF(VLOOKUP(B217,'Willie List'!B:B,1,FALSE) &lt;&gt; "",1,0),0)</f>
        <v>1</v>
      </c>
      <c r="D217" s="8"/>
      <c r="E217" t="s">
        <v>99</v>
      </c>
      <c r="F217" t="s">
        <v>616</v>
      </c>
      <c r="G217" t="s">
        <v>152</v>
      </c>
      <c r="H217" t="s">
        <v>153</v>
      </c>
      <c r="I217" t="s">
        <v>276</v>
      </c>
      <c r="J217" t="s">
        <v>466</v>
      </c>
      <c r="K217" s="8" t="str">
        <f t="shared" si="76"/>
        <v>D4s v3</v>
      </c>
      <c r="L217" s="8">
        <f>VLOOKUP(K217,'Web-SKUS'!A:E,2,FALSE)</f>
        <v>4</v>
      </c>
      <c r="M217" s="8" t="str">
        <f>VLOOKUP(K217,'Web-SKUS'!A:E,4,FALSE)</f>
        <v>16</v>
      </c>
      <c r="N217" t="s">
        <v>617</v>
      </c>
      <c r="O217" s="8">
        <v>1</v>
      </c>
      <c r="P217" t="s">
        <v>157</v>
      </c>
      <c r="Q217">
        <f>IFERROR(VLOOKUP(B217,PercentCPU!B:F,4,FALSE),"")</f>
        <v>2.1317525792939462</v>
      </c>
      <c r="R217">
        <f>IFERROR(VLOOKUP(B217,MemoryAvailable!B:F,3,FALSE),"")</f>
        <v>13413.862272909353</v>
      </c>
      <c r="S217" s="2">
        <f t="shared" si="65"/>
        <v>0.18128282025699749</v>
      </c>
      <c r="T217">
        <f t="shared" si="66"/>
        <v>1</v>
      </c>
      <c r="U217" s="8">
        <f t="shared" si="67"/>
        <v>3</v>
      </c>
      <c r="V217" s="8">
        <f t="shared" si="68"/>
        <v>0</v>
      </c>
      <c r="W217" s="8">
        <f>IFERROR(VLOOKUP(B217,Write_Bytes_ps!B:F,4,FALSE)/1024/1024,"")</f>
        <v>0.14127840590446325</v>
      </c>
      <c r="X217" s="8">
        <f>IFERROR(VLOOKUP(B217,Read_Bytes_ps!B:F,4,FALSE)/1024/1024,"")</f>
        <v>0.11673546529311143</v>
      </c>
      <c r="Y217" s="8">
        <f>IFERROR(VLOOKUP(B217,Writes_ps!B:F,5,FALSE),"")</f>
        <v>711.98388671875</v>
      </c>
      <c r="Z217" s="8">
        <f>IFERROR(VLOOKUP(B217,Reads_ps!B:F,5,FALSE),"")</f>
        <v>543.68206787109398</v>
      </c>
      <c r="AA217" s="120">
        <f t="shared" si="82"/>
        <v>0.25801387119757468</v>
      </c>
      <c r="AB217" s="122">
        <f t="shared" si="83"/>
        <v>1256</v>
      </c>
      <c r="AC217" s="122" t="str">
        <f t="shared" si="69"/>
        <v>D4s v3</v>
      </c>
      <c r="AD217" s="8" t="s">
        <v>290</v>
      </c>
      <c r="AE217" s="8">
        <f>IFERROR(VLOOKUP(AD217,'Web-SKUS'!A:E,2,FALSE),"")</f>
        <v>2</v>
      </c>
      <c r="AF217" s="8">
        <f>_xlfn.NUMBERVALUE(IFERROR(VLOOKUP(AD217,'Web-SKUS'!A:E,4,FALSE),""))</f>
        <v>4</v>
      </c>
      <c r="AG217" s="8">
        <f>IFERROR(VLOOKUP(AD217,VM_Performance_Stats!A:G,7,FALSE),0)</f>
        <v>4</v>
      </c>
      <c r="AH217" s="8">
        <f>IFERROR(VLOOKUP(AD217,VM_Performance_Stats!A:I,8,FALSE),"")</f>
        <v>3200</v>
      </c>
      <c r="AI217" s="8">
        <f t="shared" si="70"/>
        <v>1</v>
      </c>
      <c r="AJ217" s="8">
        <f t="shared" si="71"/>
        <v>1</v>
      </c>
      <c r="AK217" s="8">
        <f>IFERROR(IF(VLOOKUP(AD217,VM_Performance_Stats!A:I,8,FALSE)&gt;AB217,1,0),0)</f>
        <v>1</v>
      </c>
      <c r="AL217" t="str">
        <f>IFERROR(VLOOKUP(AD217,'Web-SKUS'!A:G,7,FALSE),"")</f>
        <v>£31.2409/month</v>
      </c>
      <c r="AM217" s="116">
        <f t="shared" si="72"/>
        <v>31.2409</v>
      </c>
      <c r="AN217" t="str">
        <f>IFERROR(IF(C217=1,VLOOKUP(K217,'Web-SKUS'!A:G,7,FALSE),VLOOKUP(K217,'Web-SKUS'!A:G,6,FALSE)),"")</f>
        <v>£83.1620/month</v>
      </c>
      <c r="AO217" s="116">
        <f t="shared" si="73"/>
        <v>83.162000000000006</v>
      </c>
      <c r="AP217" s="116">
        <f t="shared" si="74"/>
        <v>31.2409</v>
      </c>
      <c r="AQ217" s="115">
        <f t="shared" si="75"/>
        <v>51.92110000000001</v>
      </c>
      <c r="AR217" s="115">
        <f t="shared" si="77"/>
        <v>623.05320000000006</v>
      </c>
      <c r="AS217" s="115" t="str">
        <f>VLOOKUP(B217,'Willie List'!B:M,12,FALSE)</f>
        <v>NO</v>
      </c>
      <c r="AT217" s="115" t="str">
        <f t="shared" si="78"/>
        <v>Standard_D4s_v3</v>
      </c>
      <c r="AU217" s="115" t="str">
        <f t="shared" si="79"/>
        <v>D4s v3</v>
      </c>
      <c r="AV217" t="str">
        <f t="shared" si="80"/>
        <v>F2s v2</v>
      </c>
      <c r="AW217" s="8">
        <f t="shared" si="81"/>
        <v>0</v>
      </c>
    </row>
    <row r="218" spans="1:49">
      <c r="A218" t="s">
        <v>618</v>
      </c>
      <c r="B218" t="s">
        <v>619</v>
      </c>
      <c r="C218" s="8">
        <f>IFERROR(IF(VLOOKUP(B218,'Willie List'!B:B,1,FALSE) &lt;&gt; "",1,0),0)</f>
        <v>1</v>
      </c>
      <c r="D218" s="8">
        <v>1</v>
      </c>
      <c r="E218" t="s">
        <v>99</v>
      </c>
      <c r="F218" t="s">
        <v>620</v>
      </c>
      <c r="G218" t="s">
        <v>295</v>
      </c>
      <c r="H218" t="s">
        <v>153</v>
      </c>
      <c r="I218" t="s">
        <v>276</v>
      </c>
      <c r="J218" t="s">
        <v>500</v>
      </c>
      <c r="K218" s="8" t="str">
        <f t="shared" si="76"/>
        <v>E8s v3</v>
      </c>
      <c r="L218" s="8">
        <f>VLOOKUP(K218,'Web-SKUS'!A:E,2,FALSE)</f>
        <v>8</v>
      </c>
      <c r="M218" s="8" t="str">
        <f>VLOOKUP(K218,'Web-SKUS'!A:E,4,FALSE)</f>
        <v>64</v>
      </c>
      <c r="N218" t="s">
        <v>277</v>
      </c>
      <c r="O218" s="8">
        <v>13</v>
      </c>
      <c r="P218" t="s">
        <v>157</v>
      </c>
      <c r="Q218">
        <f>IFERROR(VLOOKUP(B218,PercentCPU!B:F,4,FALSE),"")</f>
        <v>16.154937681158405</v>
      </c>
      <c r="R218">
        <f>IFERROR(VLOOKUP(B218,MemoryAvailable!B:F,3,FALSE),"")</f>
        <v>2870.6450576450575</v>
      </c>
      <c r="S218" s="2">
        <f t="shared" si="65"/>
        <v>0.95619743259208589</v>
      </c>
      <c r="T218">
        <f t="shared" si="66"/>
        <v>2</v>
      </c>
      <c r="U218" s="8">
        <f t="shared" si="67"/>
        <v>61</v>
      </c>
      <c r="V218" s="8">
        <f t="shared" si="68"/>
        <v>0</v>
      </c>
      <c r="W218" s="8">
        <f>IFERROR(VLOOKUP(B218,Write_Bytes_ps!B:F,4,FALSE)/1024/1024,"")</f>
        <v>1.4240163345334778</v>
      </c>
      <c r="X218" s="8">
        <f>IFERROR(VLOOKUP(B218,Read_Bytes_ps!B:F,4,FALSE)/1024/1024,"")</f>
        <v>0.13561568539550095</v>
      </c>
      <c r="Y218" s="8">
        <f>IFERROR(VLOOKUP(B218,Writes_ps!B:F,5,FALSE),"")</f>
        <v>6793.6123046875</v>
      </c>
      <c r="Z218" s="8">
        <f>IFERROR(VLOOKUP(B218,Reads_ps!B:F,5,FALSE),"")</f>
        <v>6480.568359375</v>
      </c>
      <c r="AA218" s="120">
        <f t="shared" si="82"/>
        <v>1.5596320199289786</v>
      </c>
      <c r="AB218" s="122">
        <f t="shared" si="83"/>
        <v>13275</v>
      </c>
      <c r="AC218" s="122" t="str">
        <f t="shared" si="69"/>
        <v>E8s v3</v>
      </c>
      <c r="AD218" s="8" t="s">
        <v>621</v>
      </c>
      <c r="AE218" s="8">
        <f>IFERROR(VLOOKUP(AD218,'Web-SKUS'!A:E,2,FALSE),"")</f>
        <v>4</v>
      </c>
      <c r="AF218" s="8">
        <f>_xlfn.NUMBERVALUE(IFERROR(VLOOKUP(AD218,'Web-SKUS'!A:E,4,FALSE),""))</f>
        <v>64</v>
      </c>
      <c r="AG218" s="8">
        <f>IFERROR(VLOOKUP(AD218,VM_Performance_Stats!A:G,7,FALSE),0)</f>
        <v>16</v>
      </c>
      <c r="AH218" s="8">
        <f>IFERROR(VLOOKUP(AD218,VM_Performance_Stats!A:I,8,FALSE),"")</f>
        <v>12800</v>
      </c>
      <c r="AI218" s="8">
        <f t="shared" si="70"/>
        <v>1</v>
      </c>
      <c r="AJ218" s="8">
        <f t="shared" si="71"/>
        <v>1</v>
      </c>
      <c r="AK218" s="8">
        <f>IFERROR(IF(VLOOKUP(AD218,VM_Performance_Stats!A:I,8,FALSE)&gt;AB218,1,0),0)</f>
        <v>0</v>
      </c>
      <c r="AL218" t="str">
        <f>IFERROR(VLOOKUP(AD218,'Web-SKUS'!A:G,7,FALSE),"")</f>
        <v>£222.1624/month</v>
      </c>
      <c r="AM218" s="116">
        <f t="shared" si="72"/>
        <v>222.16239999999999</v>
      </c>
      <c r="AN218" t="str">
        <f>IFERROR(IF(C218=1,VLOOKUP(K218,'Web-SKUS'!A:G,7,FALSE),VLOOKUP(K218,'Web-SKUS'!A:G,6,FALSE)),"")</f>
        <v>£204.8336/month</v>
      </c>
      <c r="AO218" s="116">
        <f t="shared" si="73"/>
        <v>204.83359999999999</v>
      </c>
      <c r="AP218" s="116">
        <f t="shared" si="74"/>
        <v>222.16239999999999</v>
      </c>
      <c r="AQ218" s="115">
        <f t="shared" si="75"/>
        <v>-17.328800000000001</v>
      </c>
      <c r="AR218" s="115">
        <f t="shared" si="77"/>
        <v>-207.94560000000001</v>
      </c>
      <c r="AS218" s="115">
        <f>VLOOKUP(B218,'Willie List'!B:M,12,FALSE)</f>
        <v>0</v>
      </c>
      <c r="AT218" s="115" t="str">
        <f t="shared" si="78"/>
        <v>Standard_E8s_v3</v>
      </c>
      <c r="AU218" s="115" t="str">
        <f t="shared" si="79"/>
        <v>E8s v3</v>
      </c>
      <c r="AV218" t="str">
        <f t="shared" si="80"/>
        <v>E8-4ds v4</v>
      </c>
      <c r="AW218" s="8">
        <f t="shared" si="81"/>
        <v>0</v>
      </c>
    </row>
    <row r="219" spans="1:49">
      <c r="A219" t="s">
        <v>314</v>
      </c>
      <c r="B219" t="s">
        <v>622</v>
      </c>
      <c r="C219" s="8">
        <f>IFERROR(IF(VLOOKUP(B219,'Willie List'!B:B,1,FALSE) &lt;&gt; "",1,0),0)</f>
        <v>1</v>
      </c>
      <c r="D219" s="8">
        <v>1</v>
      </c>
      <c r="E219" t="s">
        <v>99</v>
      </c>
      <c r="F219" t="s">
        <v>623</v>
      </c>
      <c r="G219" t="s">
        <v>295</v>
      </c>
      <c r="H219" t="s">
        <v>153</v>
      </c>
      <c r="I219" t="s">
        <v>154</v>
      </c>
      <c r="J219" t="s">
        <v>624</v>
      </c>
      <c r="K219" s="8" t="str">
        <f t="shared" si="76"/>
        <v>E16s v3</v>
      </c>
      <c r="L219" s="8">
        <f>VLOOKUP(K219,'Web-SKUS'!A:E,2,FALSE)</f>
        <v>16</v>
      </c>
      <c r="M219" s="8" t="str">
        <f>VLOOKUP(K219,'Web-SKUS'!A:E,4,FALSE)</f>
        <v>128</v>
      </c>
      <c r="N219" t="s">
        <v>277</v>
      </c>
      <c r="O219" s="8">
        <v>3</v>
      </c>
      <c r="P219" t="s">
        <v>157</v>
      </c>
      <c r="Q219">
        <f>IFERROR(VLOOKUP(B219,PercentCPU!B:F,4,FALSE),"")</f>
        <v>1.3045419663661695</v>
      </c>
      <c r="R219">
        <f>IFERROR(VLOOKUP(B219,MemoryAvailable!B:F,3,FALSE),"")</f>
        <v>106765.8547367237</v>
      </c>
      <c r="S219" s="2">
        <f t="shared" si="65"/>
        <v>0.18544117174740826</v>
      </c>
      <c r="T219">
        <f t="shared" si="66"/>
        <v>1</v>
      </c>
      <c r="U219" s="8">
        <f t="shared" si="67"/>
        <v>24</v>
      </c>
      <c r="V219" s="8">
        <f t="shared" si="68"/>
        <v>0</v>
      </c>
      <c r="W219" s="8">
        <f>IFERROR(VLOOKUP(B219,Write_Bytes_ps!B:F,4,FALSE)/1024/1024,"")</f>
        <v>6.5685587042499299E-2</v>
      </c>
      <c r="X219" s="8">
        <f>IFERROR(VLOOKUP(B219,Read_Bytes_ps!B:F,4,FALSE)/1024/1024,"")</f>
        <v>7.8124017407340694E-4</v>
      </c>
      <c r="Y219" s="8">
        <f>IFERROR(VLOOKUP(B219,Writes_ps!B:F,5,FALSE),"")</f>
        <v>98.534523971969307</v>
      </c>
      <c r="Z219" s="8">
        <f>IFERROR(VLOOKUP(B219,Reads_ps!B:F,5,FALSE),"")</f>
        <v>54.813374304993303</v>
      </c>
      <c r="AA219" s="120">
        <f t="shared" si="82"/>
        <v>6.646682721657271E-2</v>
      </c>
      <c r="AB219" s="122">
        <f t="shared" si="83"/>
        <v>154</v>
      </c>
      <c r="AC219" s="122" t="str">
        <f t="shared" si="69"/>
        <v>E16s v3</v>
      </c>
      <c r="AD219" s="8" t="s">
        <v>439</v>
      </c>
      <c r="AE219" s="8">
        <f>IFERROR(VLOOKUP(AD219,'Web-SKUS'!A:E,2,FALSE),"")</f>
        <v>4</v>
      </c>
      <c r="AF219" s="8">
        <f>_xlfn.NUMBERVALUE(IFERROR(VLOOKUP(AD219,'Web-SKUS'!A:E,4,FALSE),""))</f>
        <v>32</v>
      </c>
      <c r="AG219" s="8">
        <f>IFERROR(VLOOKUP(AD219,VM_Performance_Stats!A:G,7,FALSE),0)</f>
        <v>8</v>
      </c>
      <c r="AH219" s="8">
        <f>IFERROR(VLOOKUP(AD219,VM_Performance_Stats!A:I,8,FALSE),"")</f>
        <v>6400</v>
      </c>
      <c r="AI219" s="8">
        <f t="shared" si="70"/>
        <v>1</v>
      </c>
      <c r="AJ219" s="8">
        <f t="shared" si="71"/>
        <v>1</v>
      </c>
      <c r="AK219" s="8">
        <f>IFERROR(IF(VLOOKUP(AD219,VM_Performance_Stats!A:I,8,FALSE)&gt;AB219,1,0),0)</f>
        <v>1</v>
      </c>
      <c r="AL219" t="str">
        <f>IFERROR(VLOOKUP(AD219,'Web-SKUS'!A:G,7,FALSE),"")</f>
        <v>£111.0513/month</v>
      </c>
      <c r="AM219" s="116">
        <f t="shared" si="72"/>
        <v>111.0513</v>
      </c>
      <c r="AN219" t="str">
        <f>IFERROR(IF(C219=1,VLOOKUP(K219,'Web-SKUS'!A:G,7,FALSE),VLOOKUP(K219,'Web-SKUS'!A:G,6,FALSE)),"")</f>
        <v>£409.6073/month</v>
      </c>
      <c r="AO219" s="116">
        <f t="shared" si="73"/>
        <v>409.60730000000001</v>
      </c>
      <c r="AP219" s="116">
        <f t="shared" si="74"/>
        <v>111.0513</v>
      </c>
      <c r="AQ219" s="115">
        <f t="shared" si="75"/>
        <v>298.55600000000004</v>
      </c>
      <c r="AR219" s="115">
        <f t="shared" si="77"/>
        <v>3582.6720000000005</v>
      </c>
      <c r="AS219" s="115" t="str">
        <f>VLOOKUP(B219,'Willie List'!B:M,12,FALSE)</f>
        <v>NO</v>
      </c>
      <c r="AT219" s="115" t="str">
        <f t="shared" si="78"/>
        <v>Standard_E16s_v3</v>
      </c>
      <c r="AU219" s="115" t="str">
        <f t="shared" si="79"/>
        <v>E16s v3</v>
      </c>
      <c r="AV219" t="str">
        <f t="shared" si="80"/>
        <v>E4ds v4</v>
      </c>
      <c r="AW219" s="8">
        <f t="shared" si="81"/>
        <v>0</v>
      </c>
    </row>
    <row r="220" spans="1:49">
      <c r="B220" t="s">
        <v>625</v>
      </c>
      <c r="C220" s="8">
        <f>IFERROR(IF(VLOOKUP(B220,'Willie List'!B:B,1,FALSE) &lt;&gt; "",1,0),0)</f>
        <v>1</v>
      </c>
      <c r="D220" s="8">
        <v>1</v>
      </c>
      <c r="E220" t="s">
        <v>99</v>
      </c>
      <c r="F220" t="s">
        <v>626</v>
      </c>
      <c r="G220" t="s">
        <v>295</v>
      </c>
      <c r="H220" t="s">
        <v>153</v>
      </c>
      <c r="I220" t="s">
        <v>154</v>
      </c>
      <c r="J220" t="s">
        <v>80</v>
      </c>
      <c r="K220" s="8" t="str">
        <f t="shared" si="76"/>
        <v>F16s v2</v>
      </c>
      <c r="L220" s="8">
        <f>VLOOKUP(K220,'Web-SKUS'!A:E,2,FALSE)</f>
        <v>16</v>
      </c>
      <c r="M220" s="8" t="str">
        <f>VLOOKUP(K220,'Web-SKUS'!A:E,4,FALSE)</f>
        <v>32</v>
      </c>
      <c r="N220" t="s">
        <v>277</v>
      </c>
      <c r="O220" s="8">
        <v>4</v>
      </c>
      <c r="P220" t="s">
        <v>157</v>
      </c>
      <c r="Q220">
        <f>IFERROR(VLOOKUP(B220,PercentCPU!B:F,4,FALSE),"")</f>
        <v>1.9812397311272711</v>
      </c>
      <c r="R220">
        <f>IFERROR(VLOOKUP(B220,MemoryAvailable!B:F,3,FALSE),"")</f>
        <v>28829.707621799043</v>
      </c>
      <c r="S220" s="2">
        <f t="shared" si="65"/>
        <v>0.12018714533083974</v>
      </c>
      <c r="T220">
        <f t="shared" si="66"/>
        <v>1</v>
      </c>
      <c r="U220" s="8">
        <f t="shared" si="67"/>
        <v>4</v>
      </c>
      <c r="V220" s="8" t="str">
        <f t="shared" si="68"/>
        <v>D Series</v>
      </c>
      <c r="W220" s="8">
        <f>IFERROR(VLOOKUP(B220,Write_Bytes_ps!B:F,4,FALSE)/1024/1024,"")</f>
        <v>6.5153620681747584E-2</v>
      </c>
      <c r="X220" s="8">
        <f>IFERROR(VLOOKUP(B220,Read_Bytes_ps!B:F,4,FALSE)/1024/1024,"")</f>
        <v>0</v>
      </c>
      <c r="Y220" s="8">
        <f>IFERROR(VLOOKUP(B220,Writes_ps!B:F,5,FALSE),"")</f>
        <v>998.96085869528497</v>
      </c>
      <c r="Z220" s="8">
        <f>IFERROR(VLOOKUP(B220,Reads_ps!B:F,5,FALSE),"")</f>
        <v>202.63445972425899</v>
      </c>
      <c r="AA220" s="120">
        <f t="shared" si="82"/>
        <v>6.5153620681747584E-2</v>
      </c>
      <c r="AB220" s="122">
        <f t="shared" si="83"/>
        <v>1202</v>
      </c>
      <c r="AC220" s="122" t="str">
        <f t="shared" si="69"/>
        <v>F16s v2</v>
      </c>
      <c r="AD220" s="8" t="s">
        <v>290</v>
      </c>
      <c r="AE220" s="8">
        <f>IFERROR(VLOOKUP(AD220,'Web-SKUS'!A:E,2,FALSE),"")</f>
        <v>2</v>
      </c>
      <c r="AF220" s="8">
        <f>_xlfn.NUMBERVALUE(IFERROR(VLOOKUP(AD220,'Web-SKUS'!A:E,4,FALSE),""))</f>
        <v>4</v>
      </c>
      <c r="AG220" s="8">
        <f>IFERROR(VLOOKUP(AD220,VM_Performance_Stats!A:G,7,FALSE),0)</f>
        <v>4</v>
      </c>
      <c r="AH220" s="8">
        <f>IFERROR(VLOOKUP(AD220,VM_Performance_Stats!A:I,8,FALSE),"")</f>
        <v>3200</v>
      </c>
      <c r="AI220" s="8">
        <f t="shared" si="70"/>
        <v>1</v>
      </c>
      <c r="AJ220" s="8">
        <f t="shared" si="71"/>
        <v>1</v>
      </c>
      <c r="AK220" s="8">
        <f>IFERROR(IF(VLOOKUP(AD220,VM_Performance_Stats!A:I,8,FALSE)&gt;AB220,1,0),0)</f>
        <v>1</v>
      </c>
      <c r="AL220" t="str">
        <f>IFERROR(VLOOKUP(AD220,'Web-SKUS'!A:G,7,FALSE),"")</f>
        <v>£31.2409/month</v>
      </c>
      <c r="AM220" s="116">
        <f t="shared" si="72"/>
        <v>31.2409</v>
      </c>
      <c r="AN220" t="str">
        <f>IFERROR(IF(C220=1,VLOOKUP(K220,'Web-SKUS'!A:G,7,FALSE),VLOOKUP(K220,'Web-SKUS'!A:G,6,FALSE)),"")</f>
        <v>£250.0517/month</v>
      </c>
      <c r="AO220" s="116">
        <f t="shared" si="73"/>
        <v>250.05170000000001</v>
      </c>
      <c r="AP220" s="116">
        <f t="shared" si="74"/>
        <v>31.2409</v>
      </c>
      <c r="AQ220" s="115">
        <f t="shared" si="75"/>
        <v>218.8108</v>
      </c>
      <c r="AR220" s="115">
        <f t="shared" si="77"/>
        <v>2625.7296000000001</v>
      </c>
      <c r="AS220" s="115" t="str">
        <f>VLOOKUP(B220,'Willie List'!B:M,12,FALSE)</f>
        <v>YES</v>
      </c>
      <c r="AT220" s="115" t="str">
        <f t="shared" si="78"/>
        <v>Standard_F16s_v2</v>
      </c>
      <c r="AU220" s="115" t="str">
        <f t="shared" si="79"/>
        <v>F16s v2</v>
      </c>
      <c r="AV220" t="str">
        <f t="shared" si="80"/>
        <v>F2s v2</v>
      </c>
      <c r="AW220" s="8">
        <f t="shared" si="81"/>
        <v>0</v>
      </c>
    </row>
    <row r="221" spans="1:49" s="238" customFormat="1">
      <c r="A221" s="238" t="s">
        <v>627</v>
      </c>
      <c r="B221" t="s">
        <v>628</v>
      </c>
      <c r="C221" s="8">
        <f>IFERROR(IF(VLOOKUP(B221,'Willie List'!B:B,1,FALSE) &lt;&gt; "",1,0),0)</f>
        <v>1</v>
      </c>
      <c r="D221" s="8">
        <v>1</v>
      </c>
      <c r="E221" t="s">
        <v>99</v>
      </c>
      <c r="F221" t="s">
        <v>629</v>
      </c>
      <c r="G221" t="s">
        <v>295</v>
      </c>
      <c r="H221" t="s">
        <v>153</v>
      </c>
      <c r="I221" t="s">
        <v>276</v>
      </c>
      <c r="J221" t="s">
        <v>500</v>
      </c>
      <c r="K221" s="8" t="str">
        <f t="shared" si="76"/>
        <v>E8s v3</v>
      </c>
      <c r="L221" s="8">
        <f>VLOOKUP(K221,'Web-SKUS'!A:E,2,FALSE)</f>
        <v>8</v>
      </c>
      <c r="M221" s="8" t="str">
        <f>VLOOKUP(K221,'Web-SKUS'!A:E,4,FALSE)</f>
        <v>64</v>
      </c>
      <c r="N221" t="s">
        <v>277</v>
      </c>
      <c r="O221" s="8">
        <v>13</v>
      </c>
      <c r="P221" t="s">
        <v>157</v>
      </c>
      <c r="Q221">
        <f>IFERROR(VLOOKUP(B221,PercentCPU!B:F,4,FALSE),"")</f>
        <v>5.1817987951919235</v>
      </c>
      <c r="R221">
        <f>IFERROR(VLOOKUP(B221,MemoryAvailable!B:F,3,FALSE),"")</f>
        <v>2963.0363430405437</v>
      </c>
      <c r="S221" s="2">
        <f t="shared" si="65"/>
        <v>0.95478765345702299</v>
      </c>
      <c r="T221">
        <f t="shared" si="66"/>
        <v>1</v>
      </c>
      <c r="U221" s="8">
        <f t="shared" si="67"/>
        <v>61</v>
      </c>
      <c r="V221" s="8">
        <f t="shared" si="68"/>
        <v>0</v>
      </c>
      <c r="W221" s="8">
        <f>IFERROR(VLOOKUP(B221,Write_Bytes_ps!B:F,4,FALSE)/1024/1024,"")</f>
        <v>0.17020638213728725</v>
      </c>
      <c r="X221" s="8">
        <f>IFERROR(VLOOKUP(B221,Read_Bytes_ps!B:F,4,FALSE)/1024/1024,"")</f>
        <v>0.10559672411728388</v>
      </c>
      <c r="Y221" s="8">
        <f>IFERROR(VLOOKUP(B221,Writes_ps!B:F,5,FALSE),"")</f>
        <v>1077.48425292969</v>
      </c>
      <c r="Z221" s="8">
        <f>IFERROR(VLOOKUP(B221,Reads_ps!B:F,5,FALSE),"")</f>
        <v>3978.47729492188</v>
      </c>
      <c r="AA221" s="120">
        <f t="shared" si="82"/>
        <v>0.27580310625457116</v>
      </c>
      <c r="AB221" s="122">
        <f t="shared" si="83"/>
        <v>5056</v>
      </c>
      <c r="AC221" s="122" t="str">
        <f t="shared" si="69"/>
        <v>E8s v3</v>
      </c>
      <c r="AD221" s="8" t="s">
        <v>630</v>
      </c>
      <c r="AE221" s="8">
        <f>IFERROR(VLOOKUP(AD221,'Web-SKUS'!A:E,2,FALSE),"")</f>
        <v>8</v>
      </c>
      <c r="AF221" s="8">
        <f>_xlfn.NUMBERVALUE(IFERROR(VLOOKUP(AD221,'Web-SKUS'!A:E,4,FALSE),""))</f>
        <v>64</v>
      </c>
      <c r="AG221" s="8">
        <f>IFERROR(VLOOKUP(AD221,VM_Performance_Stats!A:G,7,FALSE),0)</f>
        <v>16</v>
      </c>
      <c r="AH221" s="8">
        <f>IFERROR(VLOOKUP(AD221,VM_Performance_Stats!A:I,8,FALSE),"")</f>
        <v>12800</v>
      </c>
      <c r="AI221" s="8">
        <f t="shared" si="70"/>
        <v>1</v>
      </c>
      <c r="AJ221" s="8">
        <f t="shared" si="71"/>
        <v>1</v>
      </c>
      <c r="AK221" s="8">
        <f>IFERROR(IF(VLOOKUP(AD221,VM_Performance_Stats!A:I,8,FALSE)&gt;AB221,1,0),0)</f>
        <v>1</v>
      </c>
      <c r="AL221" t="str">
        <f>IFERROR(VLOOKUP(AD221,'Web-SKUS'!A:G,7,FALSE),"")</f>
        <v>£222.1624/month</v>
      </c>
      <c r="AM221" s="116">
        <f t="shared" si="72"/>
        <v>222.16239999999999</v>
      </c>
      <c r="AN221" t="str">
        <f>IFERROR(IF(C221=1,VLOOKUP(K221,'Web-SKUS'!A:G,7,FALSE),VLOOKUP(K221,'Web-SKUS'!A:G,6,FALSE)),"")</f>
        <v>£204.8336/month</v>
      </c>
      <c r="AO221" s="116">
        <f t="shared" si="73"/>
        <v>204.83359999999999</v>
      </c>
      <c r="AP221" s="116">
        <f t="shared" si="74"/>
        <v>222.16239999999999</v>
      </c>
      <c r="AQ221" s="115">
        <f t="shared" si="75"/>
        <v>-17.328800000000001</v>
      </c>
      <c r="AR221" s="244">
        <f t="shared" si="77"/>
        <v>-207.94560000000001</v>
      </c>
      <c r="AS221" s="244">
        <f>VLOOKUP(B221,'Willie List'!B:M,12,FALSE)</f>
        <v>0</v>
      </c>
      <c r="AT221" s="244" t="str">
        <f t="shared" si="78"/>
        <v>Standard_E8s_v3</v>
      </c>
      <c r="AU221" s="244" t="str">
        <f t="shared" si="79"/>
        <v>E8s v3</v>
      </c>
      <c r="AV221" s="238" t="str">
        <f t="shared" si="80"/>
        <v>E8ds v4</v>
      </c>
      <c r="AW221" s="239">
        <f t="shared" si="81"/>
        <v>0</v>
      </c>
    </row>
    <row r="222" spans="1:49">
      <c r="B222" t="s">
        <v>631</v>
      </c>
      <c r="C222" s="8">
        <f>IFERROR(IF(VLOOKUP(B222,'Willie List'!B:B,1,FALSE) &lt;&gt; "",1,0),0)</f>
        <v>1</v>
      </c>
      <c r="D222" s="8">
        <v>1</v>
      </c>
      <c r="E222" t="s">
        <v>99</v>
      </c>
      <c r="F222" t="s">
        <v>632</v>
      </c>
      <c r="G222" t="s">
        <v>295</v>
      </c>
      <c r="H222" t="s">
        <v>153</v>
      </c>
      <c r="I222" t="s">
        <v>276</v>
      </c>
      <c r="J222" t="s">
        <v>74</v>
      </c>
      <c r="K222" s="8" t="str">
        <f t="shared" si="76"/>
        <v>E32ds v4</v>
      </c>
      <c r="L222" s="8">
        <f>VLOOKUP(K222,'Web-SKUS'!A:E,2,FALSE)</f>
        <v>32</v>
      </c>
      <c r="M222" s="8" t="str">
        <f>VLOOKUP(K222,'Web-SKUS'!A:E,4,FALSE)</f>
        <v>256</v>
      </c>
      <c r="N222" t="s">
        <v>277</v>
      </c>
      <c r="O222" s="8">
        <v>13</v>
      </c>
      <c r="P222" t="s">
        <v>157</v>
      </c>
      <c r="Q222">
        <f>IFERROR(VLOOKUP(B222,PercentCPU!B:F,4,FALSE),"")</f>
        <v>1.5795008479849908</v>
      </c>
      <c r="R222">
        <f>IFERROR(VLOOKUP(B222,MemoryAvailable!B:F,3,FALSE),"")</f>
        <v>16085.678255536948</v>
      </c>
      <c r="S222" s="2">
        <f t="shared" si="65"/>
        <v>0.9386380071428797</v>
      </c>
      <c r="T222">
        <f t="shared" si="66"/>
        <v>1</v>
      </c>
      <c r="U222" s="8">
        <f t="shared" si="67"/>
        <v>240</v>
      </c>
      <c r="V222" s="8">
        <f t="shared" si="68"/>
        <v>0</v>
      </c>
      <c r="W222" s="8">
        <f>IFERROR(VLOOKUP(B222,Write_Bytes_ps!B:F,4,FALSE)/1024/1024,"")</f>
        <v>11.082555094564581</v>
      </c>
      <c r="X222" s="8">
        <f>IFERROR(VLOOKUP(B222,Read_Bytes_ps!B:F,4,FALSE)/1024/1024,"")</f>
        <v>0.5120039976072438</v>
      </c>
      <c r="Y222" s="8">
        <f>IFERROR(VLOOKUP(B222,Writes_ps!B:F,5,FALSE),"")</f>
        <v>6990.927734375</v>
      </c>
      <c r="Z222" s="8">
        <f>IFERROR(VLOOKUP(B222,Reads_ps!B:F,5,FALSE),"")</f>
        <v>10872.740234375</v>
      </c>
      <c r="AA222" s="120">
        <f t="shared" si="82"/>
        <v>11.594559092171824</v>
      </c>
      <c r="AB222" s="122">
        <f t="shared" si="83"/>
        <v>17864</v>
      </c>
      <c r="AC222" s="122" t="str">
        <f t="shared" si="69"/>
        <v>E32ds v4</v>
      </c>
      <c r="AD222" s="8" t="s">
        <v>633</v>
      </c>
      <c r="AE222" s="8" t="str">
        <f>IFERROR(VLOOKUP(AD222,'Web-SKUS'!A:E,2,FALSE),"")</f>
        <v>8 / 32</v>
      </c>
      <c r="AF222" s="8">
        <f>_xlfn.NUMBERVALUE(IFERROR(VLOOKUP(AD222,'Web-SKUS'!A:E,4,FALSE),""))</f>
        <v>256</v>
      </c>
      <c r="AG222" s="8">
        <f>IFERROR(VLOOKUP(AD222,VM_Performance_Stats!A:G,7,FALSE),0)</f>
        <v>32</v>
      </c>
      <c r="AH222" s="8">
        <f>IFERROR(VLOOKUP(AD222,VM_Performance_Stats!A:I,8,FALSE),"")</f>
        <v>51200</v>
      </c>
      <c r="AI222" s="8">
        <f t="shared" si="70"/>
        <v>1</v>
      </c>
      <c r="AJ222" s="8">
        <f t="shared" si="71"/>
        <v>1</v>
      </c>
      <c r="AK222" s="8">
        <f>IFERROR(IF(VLOOKUP(AD222,VM_Performance_Stats!A:I,8,FALSE)&gt;AB222,1,0),0)</f>
        <v>1</v>
      </c>
      <c r="AL222" t="str">
        <f>IFERROR(VLOOKUP(AD222,'Web-SKUS'!A:G,7,FALSE),"")</f>
        <v>£888.5353/month</v>
      </c>
      <c r="AM222" s="116">
        <f t="shared" si="72"/>
        <v>888.53530000000001</v>
      </c>
      <c r="AN222" t="str">
        <f>IFERROR(IF(C222=1,VLOOKUP(K222,'Web-SKUS'!A:G,7,FALSE),VLOOKUP(K222,'Web-SKUS'!A:G,6,FALSE)),"")</f>
        <v>£888.5353/month</v>
      </c>
      <c r="AO222" s="116">
        <f t="shared" si="73"/>
        <v>888.53530000000001</v>
      </c>
      <c r="AP222" s="116">
        <f t="shared" si="74"/>
        <v>888.53530000000001</v>
      </c>
      <c r="AQ222" s="115">
        <f t="shared" si="75"/>
        <v>0</v>
      </c>
      <c r="AR222" s="115">
        <f t="shared" si="77"/>
        <v>0</v>
      </c>
      <c r="AS222" s="115" t="str">
        <f>VLOOKUP(B222,'Willie List'!B:M,12,FALSE)</f>
        <v>YES</v>
      </c>
      <c r="AT222" s="115" t="str">
        <f t="shared" si="78"/>
        <v>Standard_E32ds_v4</v>
      </c>
      <c r="AU222" s="115" t="str">
        <f t="shared" si="79"/>
        <v>E32ds v4</v>
      </c>
      <c r="AV222" t="str">
        <f t="shared" si="80"/>
        <v>E32-8ds v4</v>
      </c>
      <c r="AW222" s="8">
        <f t="shared" si="81"/>
        <v>0</v>
      </c>
    </row>
    <row r="223" spans="1:49">
      <c r="A223" t="s">
        <v>634</v>
      </c>
      <c r="B223" t="s">
        <v>635</v>
      </c>
      <c r="C223" s="8">
        <f>IFERROR(IF(VLOOKUP(B223,'Willie List'!B:B,1,FALSE) &lt;&gt; "",1,0),0)</f>
        <v>1</v>
      </c>
      <c r="D223" s="8">
        <v>1</v>
      </c>
      <c r="E223" t="s">
        <v>99</v>
      </c>
      <c r="F223" t="s">
        <v>434</v>
      </c>
      <c r="G223" t="s">
        <v>152</v>
      </c>
      <c r="H223" t="s">
        <v>153</v>
      </c>
      <c r="I223" t="s">
        <v>276</v>
      </c>
      <c r="J223" t="s">
        <v>56</v>
      </c>
      <c r="K223" s="8" t="str">
        <f t="shared" si="76"/>
        <v>D2ds v4</v>
      </c>
      <c r="L223" s="8">
        <f>VLOOKUP(K223,'Web-SKUS'!A:E,2,FALSE)</f>
        <v>2</v>
      </c>
      <c r="M223" s="8" t="str">
        <f>VLOOKUP(K223,'Web-SKUS'!A:E,4,FALSE)</f>
        <v>8</v>
      </c>
      <c r="N223" t="s">
        <v>277</v>
      </c>
      <c r="O223" s="8">
        <v>2</v>
      </c>
      <c r="P223" t="s">
        <v>157</v>
      </c>
      <c r="Q223">
        <f>IFERROR(VLOOKUP(B223,PercentCPU!B:F,4,FALSE),"")</f>
        <v>3.7380190786867411</v>
      </c>
      <c r="R223">
        <f>IFERROR(VLOOKUP(B223,MemoryAvailable!B:F,3,FALSE),"")</f>
        <v>3350.3260531523892</v>
      </c>
      <c r="S223" s="2">
        <f t="shared" si="65"/>
        <v>0.59102465171479623</v>
      </c>
      <c r="T223">
        <f t="shared" si="66"/>
        <v>1</v>
      </c>
      <c r="U223" s="8">
        <f t="shared" si="67"/>
        <v>5</v>
      </c>
      <c r="V223" s="8">
        <f t="shared" si="68"/>
        <v>0</v>
      </c>
      <c r="W223" s="8">
        <f>IFERROR(VLOOKUP(B223,Write_Bytes_ps!B:F,4,FALSE)/1024/1024,"")</f>
        <v>0.21070307035330568</v>
      </c>
      <c r="X223" s="8">
        <f>IFERROR(VLOOKUP(B223,Read_Bytes_ps!B:F,4,FALSE)/1024/1024,"")</f>
        <v>0.59218353095941645</v>
      </c>
      <c r="Y223" s="8">
        <f>IFERROR(VLOOKUP(B223,Writes_ps!B:F,5,FALSE),"")</f>
        <v>147.366287231445</v>
      </c>
      <c r="Z223" s="8">
        <f>IFERROR(VLOOKUP(B223,Reads_ps!B:F,5,FALSE),"")</f>
        <v>1731.20129394531</v>
      </c>
      <c r="AA223" s="120">
        <f t="shared" si="82"/>
        <v>0.80288660131272216</v>
      </c>
      <c r="AB223" s="122">
        <f t="shared" si="83"/>
        <v>1879</v>
      </c>
      <c r="AC223" s="122" t="str">
        <f t="shared" si="69"/>
        <v>D2ds v4</v>
      </c>
      <c r="AD223" s="8" t="s">
        <v>412</v>
      </c>
      <c r="AE223" s="8">
        <f>IFERROR(VLOOKUP(AD223,'Web-SKUS'!A:E,2,FALSE),"")</f>
        <v>2</v>
      </c>
      <c r="AF223" s="8">
        <f>_xlfn.NUMBERVALUE(IFERROR(VLOOKUP(AD223,'Web-SKUS'!A:E,4,FALSE),""))</f>
        <v>8</v>
      </c>
      <c r="AG223" s="8">
        <f>IFERROR(VLOOKUP(AD223,VM_Performance_Stats!A:G,7,FALSE),0)</f>
        <v>4</v>
      </c>
      <c r="AH223" s="8">
        <f>IFERROR(VLOOKUP(AD223,VM_Performance_Stats!A:I,8,FALSE),"")</f>
        <v>3200</v>
      </c>
      <c r="AI223" s="8">
        <f t="shared" si="70"/>
        <v>1</v>
      </c>
      <c r="AJ223" s="8">
        <f t="shared" si="71"/>
        <v>1</v>
      </c>
      <c r="AK223" s="8">
        <f>IFERROR(IF(VLOOKUP(AD223,VM_Performance_Stats!A:I,8,FALSE)&gt;AB223,1,0),0)</f>
        <v>1</v>
      </c>
      <c r="AL223" t="str">
        <f>IFERROR(VLOOKUP(AD223,'Web-SKUS'!A:G,7,FALSE),"")</f>
        <v>£43.6621/month</v>
      </c>
      <c r="AM223" s="116">
        <f t="shared" si="72"/>
        <v>43.662100000000002</v>
      </c>
      <c r="AN223" t="str">
        <f>IFERROR(IF(C223=1,VLOOKUP(K223,'Web-SKUS'!A:G,7,FALSE),VLOOKUP(K223,'Web-SKUS'!A:G,6,FALSE)),"")</f>
        <v>£43.6621/month</v>
      </c>
      <c r="AO223" s="116">
        <f t="shared" si="73"/>
        <v>43.662100000000002</v>
      </c>
      <c r="AP223" s="116">
        <f t="shared" si="74"/>
        <v>43.662100000000002</v>
      </c>
      <c r="AQ223" s="115">
        <f t="shared" si="75"/>
        <v>0</v>
      </c>
      <c r="AR223" s="115">
        <f t="shared" si="77"/>
        <v>0</v>
      </c>
      <c r="AS223" s="115" t="str">
        <f>VLOOKUP(B223,'Willie List'!B:M,12,FALSE)</f>
        <v>YES</v>
      </c>
      <c r="AT223" s="115" t="str">
        <f t="shared" si="78"/>
        <v>Standard_D2ds_v4</v>
      </c>
      <c r="AU223" s="115" t="str">
        <f t="shared" si="79"/>
        <v>D2ds v4</v>
      </c>
      <c r="AV223" t="str">
        <f t="shared" si="80"/>
        <v>D2ds v4</v>
      </c>
      <c r="AW223" s="8">
        <f t="shared" si="81"/>
        <v>1</v>
      </c>
    </row>
    <row r="224" spans="1:49" s="101" customFormat="1">
      <c r="A224" s="101" t="s">
        <v>636</v>
      </c>
      <c r="B224" t="s">
        <v>637</v>
      </c>
      <c r="C224" s="8">
        <f>IFERROR(IF(VLOOKUP(B224,'Willie List'!B:B,1,FALSE) &lt;&gt; "",1,0),0)</f>
        <v>1</v>
      </c>
      <c r="D224" s="8">
        <v>1</v>
      </c>
      <c r="E224" t="s">
        <v>99</v>
      </c>
      <c r="F224" t="s">
        <v>638</v>
      </c>
      <c r="G224" t="s">
        <v>152</v>
      </c>
      <c r="H224" t="s">
        <v>153</v>
      </c>
      <c r="I224" t="s">
        <v>154</v>
      </c>
      <c r="J224" t="s">
        <v>639</v>
      </c>
      <c r="K224" s="8" t="str">
        <f t="shared" si="76"/>
        <v>E32s v3</v>
      </c>
      <c r="L224" s="8">
        <f>VLOOKUP(K224,'Web-SKUS'!A:E,2,FALSE)</f>
        <v>32</v>
      </c>
      <c r="M224" s="8" t="str">
        <f>VLOOKUP(K224,'Web-SKUS'!A:E,4,FALSE)</f>
        <v>256</v>
      </c>
      <c r="N224" t="s">
        <v>277</v>
      </c>
      <c r="O224" s="8">
        <v>5</v>
      </c>
      <c r="P224" t="s">
        <v>157</v>
      </c>
      <c r="Q224">
        <f>IFERROR(VLOOKUP(B224,PercentCPU!B:F,4,FALSE),"")</f>
        <v>1.7672234867715806</v>
      </c>
      <c r="R224">
        <f>IFERROR(VLOOKUP(B224,MemoryAvailable!B:F,3,FALSE),"")</f>
        <v>232876.37416544312</v>
      </c>
      <c r="S224" s="2">
        <f t="shared" si="65"/>
        <v>0.11164713224241973</v>
      </c>
      <c r="T224">
        <f t="shared" si="66"/>
        <v>1</v>
      </c>
      <c r="U224" s="8">
        <f t="shared" si="67"/>
        <v>29</v>
      </c>
      <c r="V224" s="8">
        <f t="shared" si="68"/>
        <v>0</v>
      </c>
      <c r="W224" s="8">
        <f>IFERROR(VLOOKUP(B224,Write_Bytes_ps!B:F,4,FALSE)/1024/1024,"")</f>
        <v>6.5795224293592677E-2</v>
      </c>
      <c r="X224" s="8">
        <f>IFERROR(VLOOKUP(B224,Read_Bytes_ps!B:F,4,FALSE)/1024/1024,"")</f>
        <v>2.6041555305922288E-4</v>
      </c>
      <c r="Y224" s="8">
        <f>IFERROR(VLOOKUP(B224,Writes_ps!B:F,5,FALSE),"")</f>
        <v>615.28769003147897</v>
      </c>
      <c r="Z224" s="8">
        <f>IFERROR(VLOOKUP(B224,Reads_ps!B:F,5,FALSE),"")</f>
        <v>133.03390131492301</v>
      </c>
      <c r="AA224" s="120">
        <f t="shared" si="82"/>
        <v>6.6055639846651901E-2</v>
      </c>
      <c r="AB224" s="122">
        <f t="shared" si="83"/>
        <v>749</v>
      </c>
      <c r="AC224" s="122" t="str">
        <f t="shared" si="69"/>
        <v>E32s v3</v>
      </c>
      <c r="AD224" s="8" t="s">
        <v>640</v>
      </c>
      <c r="AE224" s="8">
        <f>IFERROR(VLOOKUP(AD224,'Web-SKUS'!A:E,2,FALSE),"")</f>
        <v>2</v>
      </c>
      <c r="AF224" s="8">
        <f>_xlfn.NUMBERVALUE(IFERROR(VLOOKUP(AD224,'Web-SKUS'!A:E,4,FALSE),""))</f>
        <v>32</v>
      </c>
      <c r="AG224" s="8">
        <f>IFERROR(VLOOKUP(AD224,VM_Performance_Stats!A:G,7,FALSE),0)</f>
        <v>8</v>
      </c>
      <c r="AH224" s="8">
        <f>IFERROR(VLOOKUP(AD224,VM_Performance_Stats!A:I,8,FALSE),"")</f>
        <v>6400</v>
      </c>
      <c r="AI224" s="8">
        <f t="shared" si="70"/>
        <v>1</v>
      </c>
      <c r="AJ224" s="8">
        <f t="shared" si="71"/>
        <v>1</v>
      </c>
      <c r="AK224" s="8">
        <f>IFERROR(IF(VLOOKUP(AD224,VM_Performance_Stats!A:I,8,FALSE)&gt;AB224,1,0),0)</f>
        <v>1</v>
      </c>
      <c r="AL224" t="str">
        <f>IFERROR(VLOOKUP(AD224,'Web-SKUS'!A:G,7,FALSE),"")</f>
        <v>£111.0513/month</v>
      </c>
      <c r="AM224" s="116">
        <f t="shared" si="72"/>
        <v>111.0513</v>
      </c>
      <c r="AN224" t="str">
        <f>IFERROR(IF(C224=1,VLOOKUP(K224,'Web-SKUS'!A:G,7,FALSE),VLOOKUP(K224,'Web-SKUS'!A:G,6,FALSE)),"")</f>
        <v>£819.2201/month</v>
      </c>
      <c r="AO224" s="116">
        <f t="shared" si="73"/>
        <v>819.2201</v>
      </c>
      <c r="AP224" s="116">
        <f t="shared" si="74"/>
        <v>111.0513</v>
      </c>
      <c r="AQ224" s="115">
        <f t="shared" si="75"/>
        <v>708.16880000000003</v>
      </c>
      <c r="AR224" s="225">
        <f t="shared" si="77"/>
        <v>8498.0256000000008</v>
      </c>
      <c r="AS224" s="225" t="str">
        <f>VLOOKUP(B224,'Willie List'!B:M,12,FALSE)</f>
        <v>NO</v>
      </c>
      <c r="AT224" s="225" t="str">
        <f t="shared" si="78"/>
        <v>Standard_E32s_v3</v>
      </c>
      <c r="AU224" s="225" t="str">
        <f t="shared" si="79"/>
        <v>E32s v3</v>
      </c>
      <c r="AV224" s="101" t="str">
        <f t="shared" si="80"/>
        <v>E4-2ds v4</v>
      </c>
      <c r="AW224" s="228">
        <f t="shared" si="81"/>
        <v>0</v>
      </c>
    </row>
    <row r="225" spans="1:49" s="101" customFormat="1">
      <c r="A225" s="101" t="s">
        <v>636</v>
      </c>
      <c r="B225" s="101" t="s">
        <v>641</v>
      </c>
      <c r="C225" s="228">
        <f>IFERROR(IF(VLOOKUP(B225,'Willie List'!B:B,1,FALSE) &lt;&gt; "",1,0),0)</f>
        <v>1</v>
      </c>
      <c r="D225" s="228"/>
      <c r="E225" s="101" t="s">
        <v>97</v>
      </c>
      <c r="F225" s="101" t="s">
        <v>527</v>
      </c>
      <c r="G225" s="101" t="s">
        <v>152</v>
      </c>
      <c r="H225" s="101" t="s">
        <v>153</v>
      </c>
      <c r="I225" s="101" t="s">
        <v>276</v>
      </c>
      <c r="J225" s="101" t="s">
        <v>41</v>
      </c>
      <c r="K225" s="228" t="str">
        <f t="shared" ref="K225:K256" si="84">IFERROR(REPLACE(REPLACE(J225,FIND("Standard_",J225,1),9,""),FIND("_",REPLACE(J225,FIND("Standard_",J225,1),9,""),1),1," "),REPLACE(J225,FIND("Standard_",J225,1),9,""))</f>
        <v>D2 v3</v>
      </c>
      <c r="L225" s="228">
        <f>VLOOKUP(K225,'Web-SKUS'!A:E,2,FALSE)</f>
        <v>2</v>
      </c>
      <c r="M225" s="228" t="str">
        <f>VLOOKUP(K225,'Web-SKUS'!A:E,4,FALSE)</f>
        <v>8</v>
      </c>
      <c r="N225" s="101" t="s">
        <v>277</v>
      </c>
      <c r="O225" s="228">
        <v>2</v>
      </c>
      <c r="P225" s="101" t="s">
        <v>157</v>
      </c>
      <c r="Q225" s="101">
        <f>IFERROR(VLOOKUP(B225,PercentCPU!B:F,4,FALSE),"")</f>
        <v>11.141014205201095</v>
      </c>
      <c r="R225" s="101">
        <f>IFERROR(VLOOKUP(B225,MemoryAvailable!B:F,3,FALSE),"")</f>
        <v>5102.7206842117666</v>
      </c>
      <c r="S225" s="229">
        <f t="shared" si="65"/>
        <v>0.37710929147805583</v>
      </c>
      <c r="T225" s="101">
        <f t="shared" si="66"/>
        <v>1</v>
      </c>
      <c r="U225" s="228">
        <f t="shared" si="67"/>
        <v>3</v>
      </c>
      <c r="V225" s="228">
        <f t="shared" si="68"/>
        <v>0</v>
      </c>
      <c r="W225" s="8">
        <f>IFERROR(VLOOKUP(B225,Write_Bytes_ps!B:F,4,FALSE)/1024/1024,"")</f>
        <v>9.0826926945624345E-2</v>
      </c>
      <c r="X225" s="8">
        <f>IFERROR(VLOOKUP(B225,Read_Bytes_ps!B:F,4,FALSE)/1024/1024,"")</f>
        <v>8.2388618582880241E-2</v>
      </c>
      <c r="Y225" s="8">
        <f>IFERROR(VLOOKUP(B225,Writes_ps!B:F,5,FALSE),"")</f>
        <v>86.065818786621094</v>
      </c>
      <c r="Z225" s="8">
        <f>IFERROR(VLOOKUP(B225,Reads_ps!B:F,5,FALSE),"")</f>
        <v>125.75676727294901</v>
      </c>
      <c r="AA225" s="230">
        <f t="shared" si="82"/>
        <v>0.1732155455285046</v>
      </c>
      <c r="AB225" s="231">
        <f t="shared" si="83"/>
        <v>212</v>
      </c>
      <c r="AC225" s="231" t="str">
        <f t="shared" si="69"/>
        <v>D2 v3</v>
      </c>
      <c r="AD225" s="228" t="s">
        <v>290</v>
      </c>
      <c r="AE225" s="228">
        <f>IFERROR(VLOOKUP(AD225,'Web-SKUS'!A:E,2,FALSE),"")</f>
        <v>2</v>
      </c>
      <c r="AF225" s="228">
        <f>_xlfn.NUMBERVALUE(IFERROR(VLOOKUP(AD225,'Web-SKUS'!A:E,4,FALSE),""))</f>
        <v>4</v>
      </c>
      <c r="AG225" s="228">
        <f>IFERROR(VLOOKUP(AD225,VM_Performance_Stats!A:G,7,FALSE),0)</f>
        <v>4</v>
      </c>
      <c r="AH225" s="228">
        <f>IFERROR(VLOOKUP(AD225,VM_Performance_Stats!A:I,8,FALSE),"")</f>
        <v>3200</v>
      </c>
      <c r="AI225" s="228">
        <f t="shared" si="70"/>
        <v>1</v>
      </c>
      <c r="AJ225" s="228">
        <f t="shared" si="71"/>
        <v>1</v>
      </c>
      <c r="AK225" s="228">
        <f>IFERROR(IF(VLOOKUP(AD225,VM_Performance_Stats!A:I,8,FALSE)&gt;AB225,1,0),0)</f>
        <v>1</v>
      </c>
      <c r="AL225" t="str">
        <f>IFERROR(VLOOKUP(AD225,'Web-SKUS'!A:G,7,FALSE),"")</f>
        <v>£31.2409/month</v>
      </c>
      <c r="AM225" s="232">
        <f t="shared" si="72"/>
        <v>31.2409</v>
      </c>
      <c r="AN225" t="str">
        <f>IFERROR(IF(C225=1,VLOOKUP(K225,'Web-SKUS'!A:G,7,FALSE),VLOOKUP(K225,'Web-SKUS'!A:G,6,FALSE)),"")</f>
        <v>£41.6109/month</v>
      </c>
      <c r="AO225" s="232">
        <f t="shared" si="73"/>
        <v>41.610900000000001</v>
      </c>
      <c r="AP225" s="232">
        <f t="shared" si="74"/>
        <v>31.2409</v>
      </c>
      <c r="AQ225" s="225">
        <f t="shared" si="75"/>
        <v>10.370000000000001</v>
      </c>
      <c r="AR225" s="225">
        <f t="shared" si="77"/>
        <v>124.44000000000001</v>
      </c>
      <c r="AS225" s="225" t="str">
        <f>VLOOKUP(B225,'Willie List'!B:M,12,FALSE)</f>
        <v>YES</v>
      </c>
      <c r="AT225" s="225" t="str">
        <f t="shared" si="78"/>
        <v>Standard_D2_v3</v>
      </c>
      <c r="AU225" s="225" t="str">
        <f t="shared" si="79"/>
        <v>D2 v3</v>
      </c>
      <c r="AV225" s="101" t="str">
        <f t="shared" si="80"/>
        <v>F2s v2</v>
      </c>
      <c r="AW225" s="228">
        <f t="shared" si="81"/>
        <v>0</v>
      </c>
    </row>
    <row r="226" spans="1:49">
      <c r="B226" t="s">
        <v>642</v>
      </c>
      <c r="C226" s="8">
        <f>IFERROR(IF(VLOOKUP(B226,'Willie List'!B:B,1,FALSE) &lt;&gt; "",1,0),0)</f>
        <v>1</v>
      </c>
      <c r="D226" s="8">
        <v>1</v>
      </c>
      <c r="E226" t="s">
        <v>99</v>
      </c>
      <c r="F226" t="s">
        <v>626</v>
      </c>
      <c r="G226" t="s">
        <v>152</v>
      </c>
      <c r="H226" t="s">
        <v>153</v>
      </c>
      <c r="I226" t="s">
        <v>154</v>
      </c>
      <c r="J226" t="s">
        <v>81</v>
      </c>
      <c r="K226" s="8" t="str">
        <f t="shared" si="84"/>
        <v>F32s v2</v>
      </c>
      <c r="L226" s="8">
        <f>VLOOKUP(K226,'Web-SKUS'!A:E,2,FALSE)</f>
        <v>32</v>
      </c>
      <c r="M226" s="8" t="str">
        <f>VLOOKUP(K226,'Web-SKUS'!A:E,4,FALSE)</f>
        <v>64</v>
      </c>
      <c r="N226" t="s">
        <v>277</v>
      </c>
      <c r="O226" s="8">
        <v>5</v>
      </c>
      <c r="P226" t="s">
        <v>157</v>
      </c>
      <c r="Q226">
        <f>IFERROR(VLOOKUP(B226,PercentCPU!B:F,4,FALSE),"")</f>
        <v>4.3771194975072163</v>
      </c>
      <c r="R226">
        <f>IFERROR(VLOOKUP(B226,MemoryAvailable!B:F,3,FALSE),"")</f>
        <v>34504.62158053914</v>
      </c>
      <c r="S226" s="2">
        <f t="shared" si="65"/>
        <v>0.4735012576211679</v>
      </c>
      <c r="T226">
        <f t="shared" si="66"/>
        <v>2</v>
      </c>
      <c r="U226" s="8">
        <f t="shared" si="67"/>
        <v>30</v>
      </c>
      <c r="V226" s="8">
        <f t="shared" si="68"/>
        <v>0</v>
      </c>
      <c r="W226" s="8">
        <f>IFERROR(VLOOKUP(B226,Write_Bytes_ps!B:F,4,FALSE)/1024/1024,"")</f>
        <v>7.3722819263208686E-2</v>
      </c>
      <c r="X226" s="8">
        <f>IFERROR(VLOOKUP(B226,Read_Bytes_ps!B:F,4,FALSE)/1024/1024,"")</f>
        <v>9.8305088480280748E-3</v>
      </c>
      <c r="Y226" s="8">
        <f>IFERROR(VLOOKUP(B226,Writes_ps!B:F,5,FALSE),"")</f>
        <v>278.313611880878</v>
      </c>
      <c r="Z226" s="8">
        <f>IFERROR(VLOOKUP(B226,Reads_ps!B:F,5,FALSE),"")</f>
        <v>137.53671190201999</v>
      </c>
      <c r="AA226" s="120">
        <f t="shared" si="82"/>
        <v>8.3553328111236766E-2</v>
      </c>
      <c r="AB226" s="122">
        <f t="shared" si="83"/>
        <v>416</v>
      </c>
      <c r="AC226" s="122" t="str">
        <f>K226</f>
        <v>F32s v2</v>
      </c>
      <c r="AD226" s="8" t="s">
        <v>640</v>
      </c>
      <c r="AE226" s="8">
        <f>IFERROR(VLOOKUP(AD226,'Web-SKUS'!A:E,2,FALSE),"")</f>
        <v>2</v>
      </c>
      <c r="AF226" s="8">
        <f>_xlfn.NUMBERVALUE(IFERROR(VLOOKUP(AD226,'Web-SKUS'!A:E,4,FALSE),""))</f>
        <v>32</v>
      </c>
      <c r="AG226" s="8">
        <f>IFERROR(VLOOKUP(AD226,VM_Performance_Stats!A:G,7,FALSE),0)</f>
        <v>8</v>
      </c>
      <c r="AH226" s="8">
        <f>IFERROR(VLOOKUP(AD226,VM_Performance_Stats!A:I,8,FALSE),"")</f>
        <v>6400</v>
      </c>
      <c r="AI226" s="8">
        <f t="shared" si="70"/>
        <v>1</v>
      </c>
      <c r="AJ226" s="8">
        <f t="shared" si="71"/>
        <v>1</v>
      </c>
      <c r="AK226" s="8">
        <f>IFERROR(IF(VLOOKUP(AD226,VM_Performance_Stats!A:I,8,FALSE)&gt;AB226,1,0),0)</f>
        <v>1</v>
      </c>
      <c r="AL226" t="str">
        <f>IFERROR(VLOOKUP(AD226,'Web-SKUS'!A:G,7,FALSE),"")</f>
        <v>£111.0513/month</v>
      </c>
      <c r="AM226" s="116">
        <f t="shared" si="72"/>
        <v>111.0513</v>
      </c>
      <c r="AN226" t="str">
        <f>IFERROR(IF(C226=1,VLOOKUP(K226,'Web-SKUS'!A:G,7,FALSE),VLOOKUP(K226,'Web-SKUS'!A:G,6,FALSE)),"")</f>
        <v>£500.1633/month</v>
      </c>
      <c r="AO226" s="116">
        <f t="shared" si="73"/>
        <v>500.16329999999999</v>
      </c>
      <c r="AP226" s="116">
        <f t="shared" si="74"/>
        <v>111.0513</v>
      </c>
      <c r="AQ226" s="115">
        <f t="shared" si="75"/>
        <v>389.11199999999997</v>
      </c>
      <c r="AR226" s="115">
        <f t="shared" si="77"/>
        <v>4669.3439999999991</v>
      </c>
      <c r="AS226" s="115" t="str">
        <f>VLOOKUP(B226,'Willie List'!B:M,12,FALSE)</f>
        <v>Confirm with iOCO please</v>
      </c>
      <c r="AT226" s="115" t="str">
        <f t="shared" si="78"/>
        <v>Standard_F32s_v2</v>
      </c>
      <c r="AU226" s="115" t="str">
        <f t="shared" si="79"/>
        <v>F32s v2</v>
      </c>
      <c r="AV226" t="str">
        <f t="shared" si="80"/>
        <v>E4-2ds v4</v>
      </c>
      <c r="AW226" s="8">
        <f t="shared" si="81"/>
        <v>0</v>
      </c>
    </row>
    <row r="227" spans="1:49" s="238" customFormat="1">
      <c r="A227" s="238" t="s">
        <v>643</v>
      </c>
      <c r="B227" s="101" t="s">
        <v>644</v>
      </c>
      <c r="C227" s="228">
        <f>IFERROR(IF(VLOOKUP(B227,'Willie List'!B:B,1,FALSE) &lt;&gt; "",1,0),0)</f>
        <v>1</v>
      </c>
      <c r="D227" s="228">
        <v>1</v>
      </c>
      <c r="E227" s="101" t="s">
        <v>95</v>
      </c>
      <c r="F227" s="101" t="s">
        <v>645</v>
      </c>
      <c r="G227" s="101" t="s">
        <v>152</v>
      </c>
      <c r="H227" s="101" t="s">
        <v>153</v>
      </c>
      <c r="I227" s="101" t="s">
        <v>154</v>
      </c>
      <c r="J227" s="101" t="s">
        <v>68</v>
      </c>
      <c r="K227" s="228" t="str">
        <f t="shared" si="84"/>
        <v>E8ds v4</v>
      </c>
      <c r="L227" s="228">
        <f>VLOOKUP(K227,'Web-SKUS'!A:E,2,FALSE)</f>
        <v>8</v>
      </c>
      <c r="M227" s="228" t="str">
        <f>VLOOKUP(K227,'Web-SKUS'!A:E,4,FALSE)</f>
        <v>64</v>
      </c>
      <c r="N227" s="101" t="s">
        <v>277</v>
      </c>
      <c r="O227" s="228">
        <v>4</v>
      </c>
      <c r="P227" s="101" t="s">
        <v>157</v>
      </c>
      <c r="Q227" s="101">
        <f>IFERROR(VLOOKUP(B227,PercentCPU!B:F,4,FALSE),"")</f>
        <v>2.5662936552956914</v>
      </c>
      <c r="R227" s="101">
        <f>IFERROR(VLOOKUP(B227,MemoryAvailable!B:F,3,FALSE),"")</f>
        <v>35560.258952029792</v>
      </c>
      <c r="S227" s="229">
        <f t="shared" si="65"/>
        <v>0.4573935096431001</v>
      </c>
      <c r="T227" s="101">
        <f t="shared" si="66"/>
        <v>1</v>
      </c>
      <c r="U227" s="228">
        <f t="shared" si="67"/>
        <v>29</v>
      </c>
      <c r="V227" s="228">
        <f t="shared" si="68"/>
        <v>0</v>
      </c>
      <c r="W227" s="8">
        <f>IFERROR(VLOOKUP(B227,Write_Bytes_ps!B:F,4,FALSE)/1024/1024,"")</f>
        <v>6.9394856969680563E-2</v>
      </c>
      <c r="X227" s="8">
        <f>IFERROR(VLOOKUP(B227,Read_Bytes_ps!B:F,4,FALSE)/1024/1024,"")</f>
        <v>0</v>
      </c>
      <c r="Y227" s="8">
        <f>IFERROR(VLOOKUP(B227,Writes_ps!B:F,5,FALSE),"")</f>
        <v>152.084974728166</v>
      </c>
      <c r="Z227" s="8">
        <f>IFERROR(VLOOKUP(B227,Reads_ps!B:F,5,FALSE),"")</f>
        <v>55.317063566597803</v>
      </c>
      <c r="AA227" s="230">
        <f t="shared" si="82"/>
        <v>6.9394856969680563E-2</v>
      </c>
      <c r="AB227" s="231">
        <f t="shared" si="83"/>
        <v>208</v>
      </c>
      <c r="AC227" s="231" t="str">
        <f t="shared" si="69"/>
        <v>E8ds v4</v>
      </c>
      <c r="AD227" s="228" t="s">
        <v>640</v>
      </c>
      <c r="AE227" s="228">
        <f>IFERROR(VLOOKUP(AD227,'Web-SKUS'!A:E,2,FALSE),"")</f>
        <v>2</v>
      </c>
      <c r="AF227" s="228">
        <f>_xlfn.NUMBERVALUE(IFERROR(VLOOKUP(AD227,'Web-SKUS'!A:E,4,FALSE),""))</f>
        <v>32</v>
      </c>
      <c r="AG227" s="228">
        <f>IFERROR(VLOOKUP(AD227,VM_Performance_Stats!A:G,7,FALSE),0)</f>
        <v>8</v>
      </c>
      <c r="AH227" s="228">
        <f>IFERROR(VLOOKUP(AD227,VM_Performance_Stats!A:I,8,FALSE),"")</f>
        <v>6400</v>
      </c>
      <c r="AI227" s="228">
        <f t="shared" si="70"/>
        <v>1</v>
      </c>
      <c r="AJ227" s="228">
        <f t="shared" si="71"/>
        <v>1</v>
      </c>
      <c r="AK227" s="228">
        <f>IFERROR(IF(VLOOKUP(AD227,VM_Performance_Stats!A:I,8,FALSE)&gt;AB227,1,0),0)</f>
        <v>1</v>
      </c>
      <c r="AL227" t="str">
        <f>IFERROR(VLOOKUP(AD227,'Web-SKUS'!A:G,7,FALSE),"")</f>
        <v>£111.0513/month</v>
      </c>
      <c r="AM227" s="232">
        <f t="shared" si="72"/>
        <v>111.0513</v>
      </c>
      <c r="AN227" t="str">
        <f>IFERROR(IF(C227=1,VLOOKUP(K227,'Web-SKUS'!A:G,7,FALSE),VLOOKUP(K227,'Web-SKUS'!A:G,6,FALSE)),"")</f>
        <v>£222.1624/month</v>
      </c>
      <c r="AO227" s="232">
        <f t="shared" si="73"/>
        <v>222.16239999999999</v>
      </c>
      <c r="AP227" s="232">
        <f t="shared" si="74"/>
        <v>111.0513</v>
      </c>
      <c r="AQ227" s="225">
        <f t="shared" si="75"/>
        <v>111.11109999999999</v>
      </c>
      <c r="AR227" s="244">
        <f t="shared" si="77"/>
        <v>1333.3332</v>
      </c>
      <c r="AS227" s="244" t="str">
        <f>VLOOKUP(B227,'Willie List'!B:M,12,FALSE)</f>
        <v>YES</v>
      </c>
      <c r="AT227" s="244" t="str">
        <f t="shared" si="78"/>
        <v>Standard_E8ds_v4</v>
      </c>
      <c r="AU227" s="244" t="str">
        <f t="shared" si="79"/>
        <v>E8ds v4</v>
      </c>
      <c r="AV227" s="238" t="str">
        <f t="shared" si="80"/>
        <v>E4-2ds v4</v>
      </c>
      <c r="AW227" s="239">
        <f t="shared" si="81"/>
        <v>0</v>
      </c>
    </row>
    <row r="228" spans="1:49" s="238" customFormat="1">
      <c r="A228" s="238" t="s">
        <v>646</v>
      </c>
      <c r="B228" s="101" t="s">
        <v>647</v>
      </c>
      <c r="C228" s="228">
        <f>IFERROR(IF(VLOOKUP(B228,'Willie List'!B:B,1,FALSE) &lt;&gt; "",1,0),0)</f>
        <v>1</v>
      </c>
      <c r="D228" s="228"/>
      <c r="E228" s="101" t="s">
        <v>97</v>
      </c>
      <c r="F228" s="101" t="s">
        <v>527</v>
      </c>
      <c r="G228" s="101" t="s">
        <v>152</v>
      </c>
      <c r="H228" s="101" t="s">
        <v>153</v>
      </c>
      <c r="I228" s="101" t="s">
        <v>276</v>
      </c>
      <c r="J228" s="101" t="s">
        <v>41</v>
      </c>
      <c r="K228" s="228" t="str">
        <f t="shared" si="84"/>
        <v>D2 v3</v>
      </c>
      <c r="L228" s="228">
        <f>VLOOKUP(K228,'Web-SKUS'!A:E,2,FALSE)</f>
        <v>2</v>
      </c>
      <c r="M228" s="228" t="str">
        <f>VLOOKUP(K228,'Web-SKUS'!A:E,4,FALSE)</f>
        <v>8</v>
      </c>
      <c r="N228" s="101" t="s">
        <v>277</v>
      </c>
      <c r="O228" s="228">
        <v>2</v>
      </c>
      <c r="P228" s="101" t="s">
        <v>157</v>
      </c>
      <c r="Q228" s="101">
        <f>IFERROR(VLOOKUP(B228,PercentCPU!B:F,4,FALSE),"")</f>
        <v>6.2482136882551229</v>
      </c>
      <c r="R228" s="101">
        <f>IFERROR(VLOOKUP(B228,MemoryAvailable!B:F,3,FALSE),"")</f>
        <v>4688.8939918509623</v>
      </c>
      <c r="S228" s="229">
        <f t="shared" si="65"/>
        <v>0.42762524513538058</v>
      </c>
      <c r="T228" s="101">
        <f t="shared" si="66"/>
        <v>1</v>
      </c>
      <c r="U228" s="228">
        <f t="shared" si="67"/>
        <v>3</v>
      </c>
      <c r="V228" s="228">
        <f t="shared" si="68"/>
        <v>0</v>
      </c>
      <c r="W228" s="8">
        <f>IFERROR(VLOOKUP(B228,Write_Bytes_ps!B:F,4,FALSE)/1024/1024,"")</f>
        <v>9.7261603233156774E-2</v>
      </c>
      <c r="X228" s="8">
        <f>IFERROR(VLOOKUP(B228,Read_Bytes_ps!B:F,4,FALSE)/1024/1024,"")</f>
        <v>8.2895897266490062E-2</v>
      </c>
      <c r="Y228" s="8">
        <f>IFERROR(VLOOKUP(B228,Writes_ps!B:F,5,FALSE),"")</f>
        <v>166.79193115234401</v>
      </c>
      <c r="Z228" s="8">
        <f>IFERROR(VLOOKUP(B228,Reads_ps!B:F,5,FALSE),"")</f>
        <v>124.544807434082</v>
      </c>
      <c r="AA228" s="230">
        <f t="shared" si="82"/>
        <v>0.18015750049964685</v>
      </c>
      <c r="AB228" s="231">
        <f t="shared" si="83"/>
        <v>292</v>
      </c>
      <c r="AC228" s="231" t="str">
        <f t="shared" si="69"/>
        <v>D2 v3</v>
      </c>
      <c r="AD228" s="228" t="s">
        <v>290</v>
      </c>
      <c r="AE228" s="228">
        <f>IFERROR(VLOOKUP(AD228,'Web-SKUS'!A:E,2,FALSE),"")</f>
        <v>2</v>
      </c>
      <c r="AF228" s="228">
        <f>_xlfn.NUMBERVALUE(IFERROR(VLOOKUP(AD228,'Web-SKUS'!A:E,4,FALSE),""))</f>
        <v>4</v>
      </c>
      <c r="AG228" s="228">
        <f>IFERROR(VLOOKUP(AD228,VM_Performance_Stats!A:G,7,FALSE),0)</f>
        <v>4</v>
      </c>
      <c r="AH228" s="228">
        <f>IFERROR(VLOOKUP(AD228,VM_Performance_Stats!A:I,8,FALSE),"")</f>
        <v>3200</v>
      </c>
      <c r="AI228" s="228">
        <f t="shared" si="70"/>
        <v>1</v>
      </c>
      <c r="AJ228" s="228">
        <f t="shared" si="71"/>
        <v>1</v>
      </c>
      <c r="AK228" s="228">
        <f>IFERROR(IF(VLOOKUP(AD228,VM_Performance_Stats!A:I,8,FALSE)&gt;AB228,1,0),0)</f>
        <v>1</v>
      </c>
      <c r="AL228" t="str">
        <f>IFERROR(VLOOKUP(AD228,'Web-SKUS'!A:G,7,FALSE),"")</f>
        <v>£31.2409/month</v>
      </c>
      <c r="AM228" s="232">
        <f t="shared" si="72"/>
        <v>31.2409</v>
      </c>
      <c r="AN228" t="str">
        <f>IFERROR(IF(C228=1,VLOOKUP(K228,'Web-SKUS'!A:G,7,FALSE),VLOOKUP(K228,'Web-SKUS'!A:G,6,FALSE)),"")</f>
        <v>£41.6109/month</v>
      </c>
      <c r="AO228" s="232">
        <f t="shared" si="73"/>
        <v>41.610900000000001</v>
      </c>
      <c r="AP228" s="232">
        <f t="shared" si="74"/>
        <v>31.2409</v>
      </c>
      <c r="AQ228" s="225">
        <f t="shared" si="75"/>
        <v>10.370000000000001</v>
      </c>
      <c r="AR228" s="244">
        <f t="shared" si="77"/>
        <v>124.44000000000001</v>
      </c>
      <c r="AS228" s="244" t="str">
        <f>VLOOKUP(B228,'Willie List'!B:M,12,FALSE)</f>
        <v>YES</v>
      </c>
      <c r="AT228" s="244" t="str">
        <f t="shared" si="78"/>
        <v>Standard_D2_v3</v>
      </c>
      <c r="AU228" s="244" t="str">
        <f t="shared" si="79"/>
        <v>D2 v3</v>
      </c>
      <c r="AV228" s="238" t="str">
        <f t="shared" si="80"/>
        <v>F2s v2</v>
      </c>
      <c r="AW228" s="239">
        <f t="shared" si="81"/>
        <v>0</v>
      </c>
    </row>
    <row r="229" spans="1:49">
      <c r="B229" t="s">
        <v>648</v>
      </c>
      <c r="C229" s="8">
        <f>IFERROR(IF(VLOOKUP(B229,'Willie List'!B:B,1,FALSE) &lt;&gt; "",1,0),0)</f>
        <v>1</v>
      </c>
      <c r="D229" s="8">
        <v>1</v>
      </c>
      <c r="E229" t="s">
        <v>99</v>
      </c>
      <c r="F229" t="s">
        <v>629</v>
      </c>
      <c r="G229" t="s">
        <v>152</v>
      </c>
      <c r="H229" t="s">
        <v>153</v>
      </c>
      <c r="I229" t="s">
        <v>276</v>
      </c>
      <c r="J229" t="s">
        <v>649</v>
      </c>
      <c r="K229" s="8" t="str">
        <f t="shared" si="84"/>
        <v>E20s v3</v>
      </c>
      <c r="L229" s="8">
        <f>VLOOKUP(K229,'Web-SKUS'!A:E,2,FALSE)</f>
        <v>20</v>
      </c>
      <c r="M229" s="8" t="str">
        <f>VLOOKUP(K229,'Web-SKUS'!A:E,4,FALSE)</f>
        <v>160</v>
      </c>
      <c r="N229" t="s">
        <v>277</v>
      </c>
      <c r="O229" s="8">
        <v>13</v>
      </c>
      <c r="P229" t="s">
        <v>157</v>
      </c>
      <c r="Q229">
        <f>IFERROR(VLOOKUP(B229,PercentCPU!B:F,4,FALSE),"")</f>
        <v>28.266751476871317</v>
      </c>
      <c r="R229">
        <f>IFERROR(VLOOKUP(B229,MemoryAvailable!B:F,3,FALSE),"")</f>
        <v>21935.627426011084</v>
      </c>
      <c r="S229" s="2">
        <f t="shared" si="65"/>
        <v>0.8661155552611628</v>
      </c>
      <c r="T229">
        <f t="shared" si="66"/>
        <v>6</v>
      </c>
      <c r="U229" s="8">
        <f t="shared" si="67"/>
        <v>139</v>
      </c>
      <c r="V229" s="8">
        <f t="shared" si="68"/>
        <v>0</v>
      </c>
      <c r="W229" s="8">
        <f>IFERROR(VLOOKUP(B229,Write_Bytes_ps!B:F,4,FALSE)/1024/1024,"")</f>
        <v>0.37726171513932583</v>
      </c>
      <c r="X229" s="8">
        <f>IFERROR(VLOOKUP(B229,Read_Bytes_ps!B:F,4,FALSE)/1024/1024,"")</f>
        <v>0.78845975442815752</v>
      </c>
      <c r="Y229" s="8">
        <f>IFERROR(VLOOKUP(B229,Writes_ps!B:F,5,FALSE),"")</f>
        <v>4098.06396484375</v>
      </c>
      <c r="Z229" s="8">
        <f>IFERROR(VLOOKUP(B229,Reads_ps!B:F,5,FALSE),"")</f>
        <v>9378.5595703125</v>
      </c>
      <c r="AA229" s="120">
        <f t="shared" si="82"/>
        <v>1.1657214695674833</v>
      </c>
      <c r="AB229" s="122">
        <f t="shared" si="83"/>
        <v>13477</v>
      </c>
      <c r="AC229" s="122" t="str">
        <f t="shared" si="69"/>
        <v>E20s v3</v>
      </c>
      <c r="AD229" s="8" t="s">
        <v>650</v>
      </c>
      <c r="AE229" s="8">
        <f>IFERROR(VLOOKUP(AD229,'Web-SKUS'!A:E,2,FALSE),"")</f>
        <v>20</v>
      </c>
      <c r="AF229" s="8">
        <f>_xlfn.NUMBERVALUE(IFERROR(VLOOKUP(AD229,'Web-SKUS'!A:E,4,FALSE),""))</f>
        <v>160</v>
      </c>
      <c r="AG229" s="8">
        <f>IFERROR(VLOOKUP(AD229,VM_Performance_Stats!A:G,7,FALSE),0)</f>
        <v>32</v>
      </c>
      <c r="AH229" s="8">
        <f>IFERROR(VLOOKUP(AD229,VM_Performance_Stats!A:I,8,FALSE),"")</f>
        <v>32000</v>
      </c>
      <c r="AI229" s="8">
        <f t="shared" si="70"/>
        <v>1</v>
      </c>
      <c r="AJ229" s="8">
        <f t="shared" si="71"/>
        <v>1</v>
      </c>
      <c r="AK229" s="8">
        <f>IFERROR(IF(VLOOKUP(AD229,VM_Performance_Stats!A:I,8,FALSE)&gt;AB229,1,0),0)</f>
        <v>1</v>
      </c>
      <c r="AL229" t="str">
        <f>IFERROR(VLOOKUP(AD229,'Web-SKUS'!A:G,7,FALSE),"")</f>
        <v>£555.3162/month</v>
      </c>
      <c r="AM229" s="116">
        <f t="shared" si="72"/>
        <v>555.31619999999998</v>
      </c>
      <c r="AN229" t="str">
        <f>IFERROR(IF(C229=1,VLOOKUP(K229,'Web-SKUS'!A:G,7,FALSE),VLOOKUP(K229,'Web-SKUS'!A:G,6,FALSE)),"")</f>
        <v>£486.1261/month</v>
      </c>
      <c r="AO229" s="116">
        <f t="shared" si="73"/>
        <v>486.12610000000001</v>
      </c>
      <c r="AP229" s="116">
        <f t="shared" si="74"/>
        <v>555.31619999999998</v>
      </c>
      <c r="AQ229" s="115">
        <f t="shared" si="75"/>
        <v>-69.190099999999973</v>
      </c>
      <c r="AR229" s="115">
        <f t="shared" si="77"/>
        <v>-830.28119999999967</v>
      </c>
      <c r="AS229" s="115">
        <f>VLOOKUP(B229,'Willie List'!B:M,12,FALSE)</f>
        <v>0</v>
      </c>
      <c r="AT229" s="115" t="str">
        <f t="shared" si="78"/>
        <v>Standard_E20s_v3</v>
      </c>
      <c r="AU229" s="115" t="str">
        <f t="shared" si="79"/>
        <v>E20s v3</v>
      </c>
      <c r="AV229" t="str">
        <f t="shared" si="80"/>
        <v>E20ds v4</v>
      </c>
      <c r="AW229" s="8">
        <f t="shared" si="81"/>
        <v>0</v>
      </c>
    </row>
    <row r="230" spans="1:49" s="238" customFormat="1">
      <c r="A230" s="238" t="s">
        <v>651</v>
      </c>
      <c r="B230" s="101" t="s">
        <v>652</v>
      </c>
      <c r="C230" s="228">
        <f>IFERROR(IF(VLOOKUP(B230,'Willie List'!B:B,1,FALSE) &lt;&gt; "",1,0),0)</f>
        <v>1</v>
      </c>
      <c r="D230" s="228">
        <v>1</v>
      </c>
      <c r="E230" s="101" t="s">
        <v>97</v>
      </c>
      <c r="F230" s="101" t="s">
        <v>499</v>
      </c>
      <c r="G230" s="101" t="s">
        <v>152</v>
      </c>
      <c r="H230" s="101" t="s">
        <v>153</v>
      </c>
      <c r="I230" s="101" t="s">
        <v>154</v>
      </c>
      <c r="J230" s="101" t="s">
        <v>500</v>
      </c>
      <c r="K230" s="228" t="str">
        <f t="shared" si="84"/>
        <v>E8s v3</v>
      </c>
      <c r="L230" s="228">
        <f>VLOOKUP(K230,'Web-SKUS'!A:E,2,FALSE)</f>
        <v>8</v>
      </c>
      <c r="M230" s="228" t="str">
        <f>VLOOKUP(K230,'Web-SKUS'!A:E,4,FALSE)</f>
        <v>64</v>
      </c>
      <c r="N230" s="101" t="s">
        <v>277</v>
      </c>
      <c r="O230" s="228">
        <v>3</v>
      </c>
      <c r="P230" s="101" t="s">
        <v>157</v>
      </c>
      <c r="Q230" s="101">
        <f>IFERROR(VLOOKUP(B230,PercentCPU!B:F,4,FALSE),"")</f>
        <v>7.0943466102570154</v>
      </c>
      <c r="R230" s="101">
        <f>IFERROR(VLOOKUP(B230,MemoryAvailable!B:F,3,FALSE),"")</f>
        <v>34205.009192324149</v>
      </c>
      <c r="S230" s="229">
        <f t="shared" si="65"/>
        <v>0.47807297985345232</v>
      </c>
      <c r="T230" s="101">
        <f t="shared" si="66"/>
        <v>1</v>
      </c>
      <c r="U230" s="228">
        <f t="shared" si="67"/>
        <v>31</v>
      </c>
      <c r="V230" s="228">
        <f t="shared" si="68"/>
        <v>0</v>
      </c>
      <c r="W230" s="8">
        <f>IFERROR(VLOOKUP(B230,Write_Bytes_ps!B:F,4,FALSE)/1024/1024,"")</f>
        <v>7.4052785985773376E-2</v>
      </c>
      <c r="X230" s="8">
        <f>IFERROR(VLOOKUP(B230,Read_Bytes_ps!B:F,4,FALSE)/1024/1024,"")</f>
        <v>5.2085377089325781E-4</v>
      </c>
      <c r="Y230" s="8">
        <f>IFERROR(VLOOKUP(B230,Writes_ps!B:F,5,FALSE),"")</f>
        <v>289.57879652892899</v>
      </c>
      <c r="Z230" s="8">
        <f>IFERROR(VLOOKUP(B230,Reads_ps!B:F,5,FALSE),"")</f>
        <v>129.545633608283</v>
      </c>
      <c r="AA230" s="230">
        <f t="shared" si="82"/>
        <v>7.4573639756666629E-2</v>
      </c>
      <c r="AB230" s="231">
        <f t="shared" si="83"/>
        <v>420</v>
      </c>
      <c r="AC230" s="231" t="str">
        <f t="shared" si="69"/>
        <v>E8s v3</v>
      </c>
      <c r="AD230" s="228" t="s">
        <v>640</v>
      </c>
      <c r="AE230" s="228">
        <f>IFERROR(VLOOKUP(AD230,'Web-SKUS'!A:E,2,FALSE),"")</f>
        <v>2</v>
      </c>
      <c r="AF230" s="228">
        <f>_xlfn.NUMBERVALUE(IFERROR(VLOOKUP(AD230,'Web-SKUS'!A:E,4,FALSE),""))</f>
        <v>32</v>
      </c>
      <c r="AG230" s="228">
        <f>IFERROR(VLOOKUP(AD230,VM_Performance_Stats!A:G,7,FALSE),0)</f>
        <v>8</v>
      </c>
      <c r="AH230" s="228">
        <f>IFERROR(VLOOKUP(AD230,VM_Performance_Stats!A:I,8,FALSE),"")</f>
        <v>6400</v>
      </c>
      <c r="AI230" s="228">
        <f t="shared" si="70"/>
        <v>1</v>
      </c>
      <c r="AJ230" s="228">
        <f t="shared" si="71"/>
        <v>1</v>
      </c>
      <c r="AK230" s="228">
        <f>IFERROR(IF(VLOOKUP(AD230,VM_Performance_Stats!A:I,8,FALSE)&gt;AB230,1,0),0)</f>
        <v>1</v>
      </c>
      <c r="AL230" t="str">
        <f>IFERROR(VLOOKUP(AD230,'Web-SKUS'!A:G,7,FALSE),"")</f>
        <v>£111.0513/month</v>
      </c>
      <c r="AM230" s="232">
        <f t="shared" si="72"/>
        <v>111.0513</v>
      </c>
      <c r="AN230" t="str">
        <f>IFERROR(IF(C230=1,VLOOKUP(K230,'Web-SKUS'!A:G,7,FALSE),VLOOKUP(K230,'Web-SKUS'!A:G,6,FALSE)),"")</f>
        <v>£204.8336/month</v>
      </c>
      <c r="AO230" s="232">
        <f t="shared" si="73"/>
        <v>204.83359999999999</v>
      </c>
      <c r="AP230" s="232">
        <f t="shared" si="74"/>
        <v>111.0513</v>
      </c>
      <c r="AQ230" s="225">
        <f t="shared" si="75"/>
        <v>93.782299999999992</v>
      </c>
      <c r="AR230" s="244">
        <f t="shared" si="77"/>
        <v>1125.3876</v>
      </c>
      <c r="AS230" s="244">
        <f>VLOOKUP(B230,'Willie List'!B:M,12,FALSE)</f>
        <v>0</v>
      </c>
      <c r="AT230" s="244" t="str">
        <f t="shared" si="78"/>
        <v>Standard_E8s_v3</v>
      </c>
      <c r="AU230" s="244" t="str">
        <f t="shared" si="79"/>
        <v>E8s v3</v>
      </c>
      <c r="AV230" s="238" t="str">
        <f t="shared" si="80"/>
        <v>E4-2ds v4</v>
      </c>
      <c r="AW230" s="239">
        <f t="shared" si="81"/>
        <v>0</v>
      </c>
    </row>
    <row r="231" spans="1:49" s="101" customFormat="1">
      <c r="A231" s="101" t="s">
        <v>653</v>
      </c>
      <c r="B231" t="s">
        <v>654</v>
      </c>
      <c r="C231" s="8">
        <f>IFERROR(IF(VLOOKUP(B231,'Willie List'!B:B,1,FALSE) &lt;&gt; "",1,0),0)</f>
        <v>1</v>
      </c>
      <c r="D231" s="8">
        <v>1</v>
      </c>
      <c r="E231" t="s">
        <v>99</v>
      </c>
      <c r="F231" t="s">
        <v>632</v>
      </c>
      <c r="G231" t="s">
        <v>152</v>
      </c>
      <c r="H231" t="s">
        <v>153</v>
      </c>
      <c r="I231" t="s">
        <v>276</v>
      </c>
      <c r="J231" t="s">
        <v>655</v>
      </c>
      <c r="K231" s="8" t="str">
        <f t="shared" si="84"/>
        <v>E64-32s v3</v>
      </c>
      <c r="L231" s="8">
        <v>32</v>
      </c>
      <c r="M231" s="8" t="str">
        <f>VLOOKUP(K231,'Web-SKUS'!A:E,4,FALSE)</f>
        <v>432</v>
      </c>
      <c r="N231" t="s">
        <v>277</v>
      </c>
      <c r="O231" s="8">
        <v>19</v>
      </c>
      <c r="P231" t="s">
        <v>157</v>
      </c>
      <c r="Q231">
        <f>IFERROR(VLOOKUP(B231,PercentCPU!B:F,4,FALSE),"")</f>
        <v>65.731590757163914</v>
      </c>
      <c r="R231">
        <f>IFERROR(VLOOKUP(B231,MemoryAvailable!B:F,3,FALSE),"")</f>
        <v>20810.79782169648</v>
      </c>
      <c r="S231" s="2">
        <f t="shared" si="65"/>
        <v>0.95295591493576282</v>
      </c>
      <c r="T231">
        <f t="shared" si="66"/>
        <v>22</v>
      </c>
      <c r="U231" s="8">
        <f t="shared" si="67"/>
        <v>412</v>
      </c>
      <c r="V231" s="8">
        <f t="shared" si="68"/>
        <v>0</v>
      </c>
      <c r="W231" s="8">
        <f>IFERROR(VLOOKUP(B231,Write_Bytes_ps!B:F,4,FALSE)/1024/1024,"")</f>
        <v>20.574297038041497</v>
      </c>
      <c r="X231" s="8">
        <f>IFERROR(VLOOKUP(B231,Read_Bytes_ps!B:F,4,FALSE)/1024/1024,"")</f>
        <v>64.598005328910176</v>
      </c>
      <c r="Y231" s="8">
        <f>IFERROR(VLOOKUP(B231,Writes_ps!B:F,5,FALSE),"")</f>
        <v>4609.18798828125</v>
      </c>
      <c r="Z231" s="8">
        <f>IFERROR(VLOOKUP(B231,Reads_ps!B:F,5,FALSE),"")</f>
        <v>32420.7421875</v>
      </c>
      <c r="AA231" s="120">
        <f t="shared" si="82"/>
        <v>85.172302366951669</v>
      </c>
      <c r="AB231" s="122">
        <f t="shared" si="83"/>
        <v>37030</v>
      </c>
      <c r="AC231" s="122" t="str">
        <f t="shared" si="69"/>
        <v>E64-32s v3</v>
      </c>
      <c r="AD231" s="8" t="s">
        <v>656</v>
      </c>
      <c r="AE231" s="8" t="str">
        <f>IFERROR(VLOOKUP(AD231,'Web-SKUS'!A:E,2,FALSE),"")</f>
        <v>32 / 64</v>
      </c>
      <c r="AF231" s="8">
        <f>_xlfn.NUMBERVALUE(IFERROR(VLOOKUP(AD231,'Web-SKUS'!A:E,4,FALSE),""))</f>
        <v>504</v>
      </c>
      <c r="AG231" s="8">
        <f>IFERROR(VLOOKUP(AD231,VM_Performance_Stats!A:G,7,FALSE),0)</f>
        <v>32</v>
      </c>
      <c r="AH231" s="8">
        <f>IFERROR(VLOOKUP(AD231,VM_Performance_Stats!A:I,8,FALSE),"")</f>
        <v>80000</v>
      </c>
      <c r="AI231" s="8">
        <f t="shared" si="70"/>
        <v>1</v>
      </c>
      <c r="AJ231" s="8">
        <f t="shared" si="71"/>
        <v>1</v>
      </c>
      <c r="AK231" s="8">
        <f>IFERROR(IF(VLOOKUP(AD231,VM_Performance_Stats!A:I,8,FALSE)&gt;AB231,1,0),0)</f>
        <v>1</v>
      </c>
      <c r="AL231" t="str">
        <f>IFERROR(VLOOKUP(AD231,'Web-SKUS'!A:G,7,FALSE),"")</f>
        <v>£1,777.1250/month</v>
      </c>
      <c r="AM231" s="116">
        <f t="shared" si="72"/>
        <v>1777.125</v>
      </c>
      <c r="AN231" t="str">
        <f>IFERROR(IF(C231=1,VLOOKUP(K231,'Web-SKUS'!A:G,7,FALSE),VLOOKUP(K231,'Web-SKUS'!A:G,6,FALSE)),"")</f>
        <v>£1,544.2824/month</v>
      </c>
      <c r="AO231" s="116">
        <f t="shared" si="73"/>
        <v>1544.2824000000001</v>
      </c>
      <c r="AP231" s="116">
        <f t="shared" si="74"/>
        <v>1777.125</v>
      </c>
      <c r="AQ231" s="115">
        <f t="shared" si="75"/>
        <v>-232.84259999999995</v>
      </c>
      <c r="AR231" s="225">
        <f t="shared" si="77"/>
        <v>-2794.1111999999994</v>
      </c>
      <c r="AS231" s="225" t="str">
        <f>VLOOKUP(B231,'Willie List'!B:M,12,FALSE)</f>
        <v>YES</v>
      </c>
      <c r="AT231" s="225" t="str">
        <f t="shared" si="78"/>
        <v>Standard_E64-32s_v3</v>
      </c>
      <c r="AU231" s="225" t="str">
        <f t="shared" si="79"/>
        <v>E64-32s v3</v>
      </c>
      <c r="AV231" s="101" t="str">
        <f t="shared" si="80"/>
        <v>E64-32ds v4</v>
      </c>
      <c r="AW231" s="228">
        <f t="shared" si="81"/>
        <v>0</v>
      </c>
    </row>
    <row r="232" spans="1:49">
      <c r="B232" s="101" t="s">
        <v>657</v>
      </c>
      <c r="C232" s="228">
        <f>IFERROR(IF(VLOOKUP(B232,'Willie List'!B:B,1,FALSE) &lt;&gt; "",1,0),0)</f>
        <v>1</v>
      </c>
      <c r="D232" s="228">
        <v>1</v>
      </c>
      <c r="E232" s="101" t="s">
        <v>97</v>
      </c>
      <c r="F232" s="101" t="s">
        <v>658</v>
      </c>
      <c r="G232" s="101" t="s">
        <v>152</v>
      </c>
      <c r="H232" s="101" t="s">
        <v>153</v>
      </c>
      <c r="I232" s="101" t="s">
        <v>276</v>
      </c>
      <c r="J232" s="101" t="s">
        <v>649</v>
      </c>
      <c r="K232" s="228" t="str">
        <f t="shared" si="84"/>
        <v>E20s v3</v>
      </c>
      <c r="L232" s="228">
        <f>VLOOKUP(K232,'Web-SKUS'!A:E,2,FALSE)</f>
        <v>20</v>
      </c>
      <c r="M232" s="228" t="str">
        <f>VLOOKUP(K232,'Web-SKUS'!A:E,4,FALSE)</f>
        <v>160</v>
      </c>
      <c r="N232" s="101" t="s">
        <v>277</v>
      </c>
      <c r="O232" s="228">
        <v>21</v>
      </c>
      <c r="P232" s="101" t="s">
        <v>157</v>
      </c>
      <c r="Q232" s="101">
        <f>IFERROR(VLOOKUP(B232,PercentCPU!B:F,4,FALSE),"")</f>
        <v>41.637117384682327</v>
      </c>
      <c r="R232" s="101">
        <f>IFERROR(VLOOKUP(B232,MemoryAvailable!B:F,3,FALSE),"")</f>
        <v>6138.3124646293154</v>
      </c>
      <c r="S232" s="229">
        <f t="shared" si="65"/>
        <v>0.96253471396100276</v>
      </c>
      <c r="T232" s="101">
        <f t="shared" si="66"/>
        <v>9</v>
      </c>
      <c r="U232" s="228">
        <f t="shared" si="67"/>
        <v>154</v>
      </c>
      <c r="V232" s="228">
        <f t="shared" si="68"/>
        <v>0</v>
      </c>
      <c r="W232" s="8">
        <f>IFERROR(VLOOKUP(B232,Write_Bytes_ps!B:F,4,FALSE)/1024/1024,"")</f>
        <v>40.091775277341945</v>
      </c>
      <c r="X232" s="8">
        <f>IFERROR(VLOOKUP(B232,Read_Bytes_ps!B:F,4,FALSE)/1024/1024,"")</f>
        <v>153.59940471637498</v>
      </c>
      <c r="Y232" s="8">
        <f>IFERROR(VLOOKUP(B232,Writes_ps!B:F,5,FALSE),"")</f>
        <v>5408.50439453125</v>
      </c>
      <c r="Z232" s="8">
        <f>IFERROR(VLOOKUP(B232,Reads_ps!B:F,5,FALSE),"")</f>
        <v>14430.8427734375</v>
      </c>
      <c r="AA232" s="230">
        <f t="shared" si="82"/>
        <v>193.69117999371693</v>
      </c>
      <c r="AB232" s="231">
        <f t="shared" si="83"/>
        <v>19840</v>
      </c>
      <c r="AC232" s="231" t="str">
        <f t="shared" si="69"/>
        <v>E20s v3</v>
      </c>
      <c r="AD232" s="228" t="s">
        <v>650</v>
      </c>
      <c r="AE232" s="228">
        <f>IFERROR(VLOOKUP(AD232,'Web-SKUS'!A:E,2,FALSE),"")</f>
        <v>20</v>
      </c>
      <c r="AF232" s="228">
        <f>_xlfn.NUMBERVALUE(IFERROR(VLOOKUP(AD232,'Web-SKUS'!A:E,4,FALSE),""))</f>
        <v>160</v>
      </c>
      <c r="AG232" s="228">
        <f>IFERROR(VLOOKUP(AD232,VM_Performance_Stats!A:G,7,FALSE),0)</f>
        <v>32</v>
      </c>
      <c r="AH232" s="228">
        <f>IFERROR(VLOOKUP(AD232,VM_Performance_Stats!A:I,8,FALSE),"")</f>
        <v>32000</v>
      </c>
      <c r="AI232" s="228">
        <f t="shared" si="70"/>
        <v>1</v>
      </c>
      <c r="AJ232" s="228">
        <f t="shared" si="71"/>
        <v>1</v>
      </c>
      <c r="AK232" s="228">
        <f>IFERROR(IF(VLOOKUP(AD232,VM_Performance_Stats!A:I,8,FALSE)&gt;AB232,1,0),0)</f>
        <v>1</v>
      </c>
      <c r="AL232" t="str">
        <f>IFERROR(VLOOKUP(AD232,'Web-SKUS'!A:G,7,FALSE),"")</f>
        <v>£555.3162/month</v>
      </c>
      <c r="AM232" s="232">
        <f t="shared" si="72"/>
        <v>555.31619999999998</v>
      </c>
      <c r="AN232" t="str">
        <f>IFERROR(IF(C232=1,VLOOKUP(K232,'Web-SKUS'!A:G,7,FALSE),VLOOKUP(K232,'Web-SKUS'!A:G,6,FALSE)),"")</f>
        <v>£486.1261/month</v>
      </c>
      <c r="AO232" s="232">
        <f t="shared" si="73"/>
        <v>486.12610000000001</v>
      </c>
      <c r="AP232" s="232">
        <f t="shared" si="74"/>
        <v>555.31619999999998</v>
      </c>
      <c r="AQ232" s="225">
        <f t="shared" si="75"/>
        <v>-69.190099999999973</v>
      </c>
      <c r="AR232" s="115">
        <f t="shared" si="77"/>
        <v>-830.28119999999967</v>
      </c>
      <c r="AS232" s="115" t="str">
        <f>VLOOKUP(B232,'Willie List'!B:M,12,FALSE)</f>
        <v>YES</v>
      </c>
      <c r="AT232" s="115" t="str">
        <f t="shared" si="78"/>
        <v>Standard_E20s_v3</v>
      </c>
      <c r="AU232" s="115" t="str">
        <f t="shared" si="79"/>
        <v>E20s v3</v>
      </c>
      <c r="AV232" t="str">
        <f t="shared" si="80"/>
        <v>E20ds v4</v>
      </c>
      <c r="AW232" s="8">
        <f t="shared" si="81"/>
        <v>0</v>
      </c>
    </row>
    <row r="233" spans="1:49">
      <c r="A233" t="s">
        <v>358</v>
      </c>
      <c r="B233" t="s">
        <v>659</v>
      </c>
      <c r="C233" s="8">
        <f>IFERROR(IF(VLOOKUP(B233,'Willie List'!B:B,1,FALSE) &lt;&gt; "",1,0),0)</f>
        <v>1</v>
      </c>
      <c r="D233" s="8">
        <v>1</v>
      </c>
      <c r="E233" t="s">
        <v>99</v>
      </c>
      <c r="F233" t="s">
        <v>660</v>
      </c>
      <c r="G233" t="s">
        <v>152</v>
      </c>
      <c r="H233" t="s">
        <v>153</v>
      </c>
      <c r="I233" t="s">
        <v>276</v>
      </c>
      <c r="J233" t="s">
        <v>289</v>
      </c>
      <c r="K233" s="8" t="str">
        <f t="shared" si="84"/>
        <v>D4s v4</v>
      </c>
      <c r="L233" s="8">
        <f>VLOOKUP(K233,'Web-SKUS'!A:E,2,FALSE)</f>
        <v>4</v>
      </c>
      <c r="M233" s="8" t="str">
        <f>VLOOKUP(K233,'Web-SKUS'!A:E,4,FALSE)</f>
        <v>16</v>
      </c>
      <c r="N233" t="s">
        <v>277</v>
      </c>
      <c r="O233" s="8">
        <v>2</v>
      </c>
      <c r="P233" t="s">
        <v>157</v>
      </c>
      <c r="Q233">
        <f>IFERROR(VLOOKUP(B233,PercentCPU!B:F,4,FALSE),"")</f>
        <v>3.737889828714684</v>
      </c>
      <c r="R233">
        <f>IFERROR(VLOOKUP(B233,MemoryAvailable!B:F,3,FALSE),"")</f>
        <v>11295.507924546075</v>
      </c>
      <c r="S233" s="2">
        <f t="shared" si="65"/>
        <v>0.31057690890221712</v>
      </c>
      <c r="T233">
        <f t="shared" si="66"/>
        <v>1</v>
      </c>
      <c r="U233" s="8">
        <f t="shared" si="67"/>
        <v>5</v>
      </c>
      <c r="V233" s="8">
        <f t="shared" si="68"/>
        <v>0</v>
      </c>
      <c r="W233" s="8">
        <f>IFERROR(VLOOKUP(B233,Write_Bytes_ps!B:F,4,FALSE)/1024/1024,"")</f>
        <v>0.30576443219856064</v>
      </c>
      <c r="X233" s="8">
        <f>IFERROR(VLOOKUP(B233,Read_Bytes_ps!B:F,4,FALSE)/1024/1024,"")</f>
        <v>0.29746690063300801</v>
      </c>
      <c r="Y233" s="8">
        <f>IFERROR(VLOOKUP(B233,Writes_ps!B:F,5,FALSE),"")</f>
        <v>141.00782775878901</v>
      </c>
      <c r="Z233" s="8">
        <f>IFERROR(VLOOKUP(B233,Reads_ps!B:F,5,FALSE),"")</f>
        <v>66.687034606933594</v>
      </c>
      <c r="AA233" s="120">
        <f t="shared" si="82"/>
        <v>0.6032313328315686</v>
      </c>
      <c r="AB233" s="122">
        <f t="shared" si="83"/>
        <v>208</v>
      </c>
      <c r="AC233" s="122" t="str">
        <f t="shared" si="69"/>
        <v>D4s v4</v>
      </c>
      <c r="AD233" s="8" t="s">
        <v>412</v>
      </c>
      <c r="AE233" s="8">
        <f>IFERROR(VLOOKUP(AD233,'Web-SKUS'!A:E,2,FALSE),"")</f>
        <v>2</v>
      </c>
      <c r="AF233" s="8">
        <f>_xlfn.NUMBERVALUE(IFERROR(VLOOKUP(AD233,'Web-SKUS'!A:E,4,FALSE),""))</f>
        <v>8</v>
      </c>
      <c r="AG233" s="8">
        <f>IFERROR(VLOOKUP(AD233,VM_Performance_Stats!A:G,7,FALSE),0)</f>
        <v>4</v>
      </c>
      <c r="AH233" s="8">
        <f>IFERROR(VLOOKUP(AD233,VM_Performance_Stats!A:I,8,FALSE),"")</f>
        <v>3200</v>
      </c>
      <c r="AI233" s="8">
        <f t="shared" si="70"/>
        <v>1</v>
      </c>
      <c r="AJ233" s="8">
        <f t="shared" si="71"/>
        <v>1</v>
      </c>
      <c r="AK233" s="8">
        <f>IFERROR(IF(VLOOKUP(AD233,VM_Performance_Stats!A:I,8,FALSE)&gt;AB233,1,0),0)</f>
        <v>1</v>
      </c>
      <c r="AL233" t="str">
        <f>IFERROR(VLOOKUP(AD233,'Web-SKUS'!A:G,7,FALSE),"")</f>
        <v>£43.6621/month</v>
      </c>
      <c r="AM233" s="116">
        <f t="shared" si="72"/>
        <v>43.662100000000002</v>
      </c>
      <c r="AN233" t="str">
        <f>IFERROR(IF(C233=1,VLOOKUP(K233,'Web-SKUS'!A:G,7,FALSE),VLOOKUP(K233,'Web-SKUS'!A:G,6,FALSE)),"")</f>
        <v>£73.8474/month</v>
      </c>
      <c r="AO233" s="116">
        <f t="shared" si="73"/>
        <v>73.847399999999993</v>
      </c>
      <c r="AP233" s="116">
        <f t="shared" si="74"/>
        <v>43.662100000000002</v>
      </c>
      <c r="AQ233" s="115">
        <f t="shared" si="75"/>
        <v>30.185299999999991</v>
      </c>
      <c r="AR233" s="115">
        <f t="shared" si="77"/>
        <v>362.22359999999992</v>
      </c>
      <c r="AS233" s="115" t="str">
        <f>VLOOKUP(B233,'Willie List'!B:M,12,FALSE)</f>
        <v>YES</v>
      </c>
      <c r="AT233" s="115" t="str">
        <f t="shared" si="78"/>
        <v>Standard_D4s_v4</v>
      </c>
      <c r="AU233" s="115" t="str">
        <f t="shared" si="79"/>
        <v>D4s v4</v>
      </c>
      <c r="AV233" t="str">
        <f t="shared" si="80"/>
        <v>D2ds v4</v>
      </c>
      <c r="AW233" s="8">
        <f t="shared" si="81"/>
        <v>0</v>
      </c>
    </row>
    <row r="234" spans="1:49">
      <c r="B234" s="101" t="s">
        <v>661</v>
      </c>
      <c r="C234" s="228">
        <f>IFERROR(IF(VLOOKUP(B234,'Willie List'!B:B,1,FALSE) &lt;&gt; "",1,0),0)</f>
        <v>1</v>
      </c>
      <c r="D234" s="228">
        <v>1</v>
      </c>
      <c r="E234" s="101" t="s">
        <v>97</v>
      </c>
      <c r="F234" s="101" t="s">
        <v>658</v>
      </c>
      <c r="G234" s="101" t="s">
        <v>152</v>
      </c>
      <c r="H234" s="101" t="s">
        <v>153</v>
      </c>
      <c r="I234" s="101" t="s">
        <v>276</v>
      </c>
      <c r="J234" s="101" t="s">
        <v>649</v>
      </c>
      <c r="K234" s="228" t="str">
        <f t="shared" si="84"/>
        <v>E20s v3</v>
      </c>
      <c r="L234" s="228">
        <f>VLOOKUP(K234,'Web-SKUS'!A:E,2,FALSE)</f>
        <v>20</v>
      </c>
      <c r="M234" s="228" t="str">
        <f>VLOOKUP(K234,'Web-SKUS'!A:E,4,FALSE)</f>
        <v>160</v>
      </c>
      <c r="N234" s="101" t="s">
        <v>277</v>
      </c>
      <c r="O234" s="228">
        <v>21</v>
      </c>
      <c r="P234" s="101" t="s">
        <v>157</v>
      </c>
      <c r="Q234" s="101">
        <f>IFERROR(VLOOKUP(B234,PercentCPU!B:F,4,FALSE),"")</f>
        <v>27.25850212122203</v>
      </c>
      <c r="R234" s="101">
        <f>IFERROR(VLOOKUP(B234,MemoryAvailable!B:F,3,FALSE),"")</f>
        <v>12096.089821066049</v>
      </c>
      <c r="S234" s="229">
        <f t="shared" si="65"/>
        <v>0.92617132677571989</v>
      </c>
      <c r="T234" s="101">
        <f t="shared" si="66"/>
        <v>6</v>
      </c>
      <c r="U234" s="228">
        <f t="shared" si="67"/>
        <v>148</v>
      </c>
      <c r="V234" s="228">
        <f t="shared" si="68"/>
        <v>0</v>
      </c>
      <c r="W234" s="8">
        <f>IFERROR(VLOOKUP(B234,Write_Bytes_ps!B:F,4,FALSE)/1024/1024,"")</f>
        <v>10.39058646752262</v>
      </c>
      <c r="X234" s="8">
        <f>IFERROR(VLOOKUP(B234,Read_Bytes_ps!B:F,4,FALSE)/1024/1024,"")</f>
        <v>166.75377558501825</v>
      </c>
      <c r="Y234" s="8">
        <f>IFERROR(VLOOKUP(B234,Writes_ps!B:F,5,FALSE),"")</f>
        <v>7353.0654296875</v>
      </c>
      <c r="Z234" s="8">
        <f>IFERROR(VLOOKUP(B234,Reads_ps!B:F,5,FALSE),"")</f>
        <v>18412.958984375</v>
      </c>
      <c r="AA234" s="230">
        <f t="shared" si="82"/>
        <v>177.14436205254086</v>
      </c>
      <c r="AB234" s="231">
        <f t="shared" si="83"/>
        <v>25767</v>
      </c>
      <c r="AC234" s="231" t="str">
        <f t="shared" si="69"/>
        <v>E20s v3</v>
      </c>
      <c r="AD234" s="228" t="s">
        <v>650</v>
      </c>
      <c r="AE234" s="228">
        <f>IFERROR(VLOOKUP(AD234,'Web-SKUS'!A:E,2,FALSE),"")</f>
        <v>20</v>
      </c>
      <c r="AF234" s="228">
        <f>_xlfn.NUMBERVALUE(IFERROR(VLOOKUP(AD234,'Web-SKUS'!A:E,4,FALSE),""))</f>
        <v>160</v>
      </c>
      <c r="AG234" s="228">
        <f>IFERROR(VLOOKUP(AD234,VM_Performance_Stats!A:G,7,FALSE),0)</f>
        <v>32</v>
      </c>
      <c r="AH234" s="228">
        <f>IFERROR(VLOOKUP(AD234,VM_Performance_Stats!A:I,8,FALSE),"")</f>
        <v>32000</v>
      </c>
      <c r="AI234" s="228">
        <f t="shared" si="70"/>
        <v>1</v>
      </c>
      <c r="AJ234" s="228">
        <f t="shared" si="71"/>
        <v>1</v>
      </c>
      <c r="AK234" s="228">
        <f>IFERROR(IF(VLOOKUP(AD234,VM_Performance_Stats!A:I,8,FALSE)&gt;AB234,1,0),0)</f>
        <v>1</v>
      </c>
      <c r="AL234" t="str">
        <f>IFERROR(VLOOKUP(AD234,'Web-SKUS'!A:G,7,FALSE),"")</f>
        <v>£555.3162/month</v>
      </c>
      <c r="AM234" s="232">
        <f t="shared" si="72"/>
        <v>555.31619999999998</v>
      </c>
      <c r="AN234" t="str">
        <f>IFERROR(IF(C234=1,VLOOKUP(K234,'Web-SKUS'!A:G,7,FALSE),VLOOKUP(K234,'Web-SKUS'!A:G,6,FALSE)),"")</f>
        <v>£486.1261/month</v>
      </c>
      <c r="AO234" s="232">
        <f t="shared" si="73"/>
        <v>486.12610000000001</v>
      </c>
      <c r="AP234" s="232">
        <f t="shared" si="74"/>
        <v>555.31619999999998</v>
      </c>
      <c r="AQ234" s="225">
        <f t="shared" si="75"/>
        <v>-69.190099999999973</v>
      </c>
      <c r="AR234" s="115">
        <f t="shared" si="77"/>
        <v>-830.28119999999967</v>
      </c>
      <c r="AS234" s="115" t="str">
        <f>VLOOKUP(B234,'Willie List'!B:M,12,FALSE)</f>
        <v>YES</v>
      </c>
      <c r="AT234" s="115" t="str">
        <f t="shared" si="78"/>
        <v>Standard_E20s_v3</v>
      </c>
      <c r="AU234" s="115" t="str">
        <f t="shared" si="79"/>
        <v>E20s v3</v>
      </c>
      <c r="AV234" t="str">
        <f t="shared" si="80"/>
        <v>E20ds v4</v>
      </c>
      <c r="AW234" s="8">
        <f t="shared" si="81"/>
        <v>0</v>
      </c>
    </row>
    <row r="235" spans="1:49" s="238" customFormat="1">
      <c r="A235" s="238" t="s">
        <v>662</v>
      </c>
      <c r="B235" t="s">
        <v>663</v>
      </c>
      <c r="C235" s="8">
        <f>IFERROR(IF(VLOOKUP(B235,'Willie List'!B:B,1,FALSE) &lt;&gt; "",1,0),0)</f>
        <v>1</v>
      </c>
      <c r="D235" s="8">
        <v>1</v>
      </c>
      <c r="E235" t="s">
        <v>99</v>
      </c>
      <c r="F235" t="s">
        <v>638</v>
      </c>
      <c r="G235" t="s">
        <v>152</v>
      </c>
      <c r="H235" t="s">
        <v>153</v>
      </c>
      <c r="I235" t="s">
        <v>154</v>
      </c>
      <c r="J235" t="s">
        <v>639</v>
      </c>
      <c r="K235" s="8" t="str">
        <f t="shared" si="84"/>
        <v>E32s v3</v>
      </c>
      <c r="L235" s="8">
        <f>VLOOKUP(K235,'Web-SKUS'!A:E,2,FALSE)</f>
        <v>32</v>
      </c>
      <c r="M235" s="8" t="str">
        <f>VLOOKUP(K235,'Web-SKUS'!A:E,4,FALSE)</f>
        <v>256</v>
      </c>
      <c r="N235" t="s">
        <v>277</v>
      </c>
      <c r="O235" s="8">
        <v>3</v>
      </c>
      <c r="P235" t="s">
        <v>157</v>
      </c>
      <c r="Q235">
        <f>IFERROR(VLOOKUP(B235,PercentCPU!B:F,4,FALSE),"")</f>
        <v>1.6229277789182128</v>
      </c>
      <c r="R235">
        <f>IFERROR(VLOOKUP(B235,MemoryAvailable!B:F,3,FALSE),"")</f>
        <v>224605.10902930694</v>
      </c>
      <c r="S235" s="2">
        <f t="shared" si="65"/>
        <v>0.14319950474049781</v>
      </c>
      <c r="T235">
        <f t="shared" si="66"/>
        <v>1</v>
      </c>
      <c r="U235" s="8">
        <f t="shared" si="67"/>
        <v>37</v>
      </c>
      <c r="V235" s="8">
        <f t="shared" si="68"/>
        <v>0</v>
      </c>
      <c r="W235" s="8">
        <f>IFERROR(VLOOKUP(B235,Write_Bytes_ps!B:F,4,FALSE)/1024/1024,"")</f>
        <v>8.5898571061285151E-2</v>
      </c>
      <c r="X235" s="8">
        <f>IFERROR(VLOOKUP(B235,Read_Bytes_ps!B:F,4,FALSE)/1024/1024,"")</f>
        <v>7.8127086398653762E-4</v>
      </c>
      <c r="Y235" s="8">
        <f>IFERROR(VLOOKUP(B235,Writes_ps!B:F,5,FALSE),"")</f>
        <v>158.95065742666699</v>
      </c>
      <c r="Z235" s="8">
        <f>IFERROR(VLOOKUP(B235,Reads_ps!B:F,5,FALSE),"")</f>
        <v>53.307078022246301</v>
      </c>
      <c r="AA235" s="120">
        <f t="shared" si="82"/>
        <v>8.6679841925271686E-2</v>
      </c>
      <c r="AB235" s="122">
        <f t="shared" si="83"/>
        <v>213</v>
      </c>
      <c r="AC235" s="122" t="str">
        <f t="shared" si="69"/>
        <v>E32s v3</v>
      </c>
      <c r="AD235" s="8" t="s">
        <v>664</v>
      </c>
      <c r="AE235" s="8">
        <f>IFERROR(VLOOKUP(AD235,'Web-SKUS'!A:E,2,FALSE),"")</f>
        <v>2</v>
      </c>
      <c r="AF235" s="8">
        <f>_xlfn.NUMBERVALUE(IFERROR(VLOOKUP(AD235,'Web-SKUS'!A:E,4,FALSE),""))</f>
        <v>64</v>
      </c>
      <c r="AG235" s="8">
        <f>IFERROR(VLOOKUP(AD235,VM_Performance_Stats!A:G,7,FALSE),0)</f>
        <v>16</v>
      </c>
      <c r="AH235" s="8">
        <f>IFERROR(VLOOKUP(AD235,VM_Performance_Stats!A:I,8,FALSE),"")</f>
        <v>12800</v>
      </c>
      <c r="AI235" s="8">
        <f t="shared" si="70"/>
        <v>1</v>
      </c>
      <c r="AJ235" s="8">
        <f t="shared" si="71"/>
        <v>1</v>
      </c>
      <c r="AK235" s="8">
        <f>IFERROR(IF(VLOOKUP(AD235,VM_Performance_Stats!A:I,8,FALSE)&gt;AB235,1,0),0)</f>
        <v>1</v>
      </c>
      <c r="AL235" t="str">
        <f>IFERROR(VLOOKUP(AD235,'Web-SKUS'!A:G,7,FALSE),"")</f>
        <v>£222.1624/month</v>
      </c>
      <c r="AM235" s="116">
        <f t="shared" si="72"/>
        <v>222.16239999999999</v>
      </c>
      <c r="AN235" t="str">
        <f>IFERROR(IF(C235=1,VLOOKUP(K235,'Web-SKUS'!A:G,7,FALSE),VLOOKUP(K235,'Web-SKUS'!A:G,6,FALSE)),"")</f>
        <v>£819.2201/month</v>
      </c>
      <c r="AO235" s="116">
        <f t="shared" si="73"/>
        <v>819.2201</v>
      </c>
      <c r="AP235" s="116">
        <f t="shared" si="74"/>
        <v>222.16239999999999</v>
      </c>
      <c r="AQ235" s="115">
        <f t="shared" si="75"/>
        <v>597.05770000000007</v>
      </c>
      <c r="AR235" s="244">
        <f t="shared" si="77"/>
        <v>7164.6924000000008</v>
      </c>
      <c r="AS235" s="244" t="str">
        <f>VLOOKUP(B235,'Willie List'!B:M,12,FALSE)</f>
        <v>NO</v>
      </c>
      <c r="AT235" s="244" t="str">
        <f t="shared" si="78"/>
        <v>Standard_E32s_v3</v>
      </c>
      <c r="AU235" s="244" t="str">
        <f t="shared" si="79"/>
        <v>E32s v3</v>
      </c>
      <c r="AV235" s="238" t="str">
        <f t="shared" si="80"/>
        <v>E8-2ds v4</v>
      </c>
      <c r="AW235" s="239">
        <f t="shared" si="81"/>
        <v>0</v>
      </c>
    </row>
    <row r="236" spans="1:49">
      <c r="B236" t="s">
        <v>665</v>
      </c>
      <c r="C236" s="8">
        <f>IFERROR(IF(VLOOKUP(B236,'Willie List'!B:B,1,FALSE) &lt;&gt; "",1,0),0)</f>
        <v>1</v>
      </c>
      <c r="D236" s="8">
        <v>1</v>
      </c>
      <c r="E236" t="s">
        <v>99</v>
      </c>
      <c r="F236" t="s">
        <v>626</v>
      </c>
      <c r="G236" t="s">
        <v>152</v>
      </c>
      <c r="H236" t="s">
        <v>153</v>
      </c>
      <c r="I236" t="s">
        <v>154</v>
      </c>
      <c r="J236" t="s">
        <v>81</v>
      </c>
      <c r="K236" s="8" t="str">
        <f t="shared" si="84"/>
        <v>F32s v2</v>
      </c>
      <c r="L236" s="8">
        <f>VLOOKUP(K236,'Web-SKUS'!A:E,2,FALSE)</f>
        <v>32</v>
      </c>
      <c r="M236" s="8" t="str">
        <f>VLOOKUP(K236,'Web-SKUS'!A:E,4,FALSE)</f>
        <v>64</v>
      </c>
      <c r="N236" t="s">
        <v>277</v>
      </c>
      <c r="O236" s="8">
        <v>5</v>
      </c>
      <c r="P236" t="s">
        <v>157</v>
      </c>
      <c r="Q236">
        <f>IFERROR(VLOOKUP(B236,PercentCPU!B:F,4,FALSE),"")</f>
        <v>0.86153519192936223</v>
      </c>
      <c r="R236">
        <f>IFERROR(VLOOKUP(B236,MemoryAvailable!B:F,3,FALSE),"")</f>
        <v>37824.064298260018</v>
      </c>
      <c r="S236" s="2">
        <f t="shared" si="65"/>
        <v>0.42285058138641329</v>
      </c>
      <c r="T236">
        <f t="shared" si="66"/>
        <v>1</v>
      </c>
      <c r="U236" s="8">
        <f t="shared" si="67"/>
        <v>27</v>
      </c>
      <c r="V236" s="8">
        <f t="shared" si="68"/>
        <v>0</v>
      </c>
      <c r="W236" s="8">
        <f>IFERROR(VLOOKUP(B236,Write_Bytes_ps!B:F,4,FALSE)/1024/1024,"")</f>
        <v>6.9854132378010109E-2</v>
      </c>
      <c r="X236" s="8">
        <f>IFERROR(VLOOKUP(B236,Read_Bytes_ps!B:F,4,FALSE)/1024/1024,"")</f>
        <v>2.6041664395213491E-4</v>
      </c>
      <c r="Y236" s="8">
        <f>IFERROR(VLOOKUP(B236,Writes_ps!B:F,5,FALSE),"")</f>
        <v>346.349029599289</v>
      </c>
      <c r="Z236" s="8">
        <f>IFERROR(VLOOKUP(B236,Reads_ps!B:F,5,FALSE),"")</f>
        <v>80.284064709120202</v>
      </c>
      <c r="AA236" s="120">
        <f t="shared" si="82"/>
        <v>7.011454902196225E-2</v>
      </c>
      <c r="AB236" s="122">
        <f t="shared" si="83"/>
        <v>427</v>
      </c>
      <c r="AC236" s="122" t="str">
        <f t="shared" si="69"/>
        <v>F32s v2</v>
      </c>
      <c r="AD236" s="8" t="s">
        <v>640</v>
      </c>
      <c r="AE236" s="8">
        <f>IFERROR(VLOOKUP(AD236,'Web-SKUS'!A:E,2,FALSE),"")</f>
        <v>2</v>
      </c>
      <c r="AF236" s="8">
        <f>_xlfn.NUMBERVALUE(IFERROR(VLOOKUP(AD236,'Web-SKUS'!A:E,4,FALSE),""))</f>
        <v>32</v>
      </c>
      <c r="AG236" s="8">
        <f>IFERROR(VLOOKUP(AD236,VM_Performance_Stats!A:G,7,FALSE),0)</f>
        <v>8</v>
      </c>
      <c r="AH236" s="8">
        <f>IFERROR(VLOOKUP(AD236,VM_Performance_Stats!A:I,8,FALSE),"")</f>
        <v>6400</v>
      </c>
      <c r="AI236" s="8">
        <f t="shared" si="70"/>
        <v>1</v>
      </c>
      <c r="AJ236" s="8">
        <f t="shared" si="71"/>
        <v>1</v>
      </c>
      <c r="AK236" s="8">
        <f>IFERROR(IF(VLOOKUP(AD236,VM_Performance_Stats!A:I,8,FALSE)&gt;AB236,1,0),0)</f>
        <v>1</v>
      </c>
      <c r="AL236" t="str">
        <f>IFERROR(VLOOKUP(AD236,'Web-SKUS'!A:G,7,FALSE),"")</f>
        <v>£111.0513/month</v>
      </c>
      <c r="AM236" s="116">
        <f t="shared" si="72"/>
        <v>111.0513</v>
      </c>
      <c r="AN236" t="str">
        <f>IFERROR(IF(C236=1,VLOOKUP(K236,'Web-SKUS'!A:G,7,FALSE),VLOOKUP(K236,'Web-SKUS'!A:G,6,FALSE)),"")</f>
        <v>£500.1633/month</v>
      </c>
      <c r="AO236" s="116">
        <f t="shared" si="73"/>
        <v>500.16329999999999</v>
      </c>
      <c r="AP236" s="116">
        <f t="shared" si="74"/>
        <v>111.0513</v>
      </c>
      <c r="AQ236" s="115">
        <f t="shared" si="75"/>
        <v>389.11199999999997</v>
      </c>
      <c r="AR236" s="115">
        <f t="shared" si="77"/>
        <v>4669.3439999999991</v>
      </c>
      <c r="AS236" s="115" t="str">
        <f>VLOOKUP(B236,'Willie List'!B:M,12,FALSE)</f>
        <v>YES</v>
      </c>
      <c r="AT236" s="115" t="str">
        <f t="shared" si="78"/>
        <v>Standard_F32s_v2</v>
      </c>
      <c r="AU236" s="115" t="str">
        <f t="shared" si="79"/>
        <v>F32s v2</v>
      </c>
      <c r="AV236" t="str">
        <f t="shared" si="80"/>
        <v>E4-2ds v4</v>
      </c>
      <c r="AW236" s="8">
        <f t="shared" si="81"/>
        <v>0</v>
      </c>
    </row>
    <row r="237" spans="1:49" s="101" customFormat="1">
      <c r="A237" s="101" t="s">
        <v>666</v>
      </c>
      <c r="B237" t="s">
        <v>667</v>
      </c>
      <c r="C237" s="8">
        <f>IFERROR(IF(VLOOKUP(B237,'Willie List'!B:B,1,FALSE) &lt;&gt; "",1,0),0)</f>
        <v>1</v>
      </c>
      <c r="D237" s="8"/>
      <c r="E237" t="s">
        <v>97</v>
      </c>
      <c r="F237" t="s">
        <v>668</v>
      </c>
      <c r="G237" t="s">
        <v>152</v>
      </c>
      <c r="H237" t="s">
        <v>153</v>
      </c>
      <c r="I237" t="s">
        <v>154</v>
      </c>
      <c r="J237" t="s">
        <v>56</v>
      </c>
      <c r="K237" s="8" t="str">
        <f t="shared" si="84"/>
        <v>D2ds v4</v>
      </c>
      <c r="L237" s="8">
        <f>VLOOKUP(K237,'Web-SKUS'!A:E,2,FALSE)</f>
        <v>2</v>
      </c>
      <c r="M237" s="8" t="str">
        <f>VLOOKUP(K237,'Web-SKUS'!A:E,4,FALSE)</f>
        <v>8</v>
      </c>
      <c r="N237" t="s">
        <v>277</v>
      </c>
      <c r="O237" s="8">
        <v>2</v>
      </c>
      <c r="P237" t="s">
        <v>157</v>
      </c>
      <c r="Q237">
        <f>IFERROR(VLOOKUP(B237,PercentCPU!B:F,4,FALSE),"")</f>
        <v>6.8837397596565246</v>
      </c>
      <c r="R237">
        <f>IFERROR(VLOOKUP(B237,MemoryAvailable!B:F,3,FALSE),"")</f>
        <v>6069.7197138951187</v>
      </c>
      <c r="S237" s="2">
        <f t="shared" si="65"/>
        <v>0.25906741773741226</v>
      </c>
      <c r="T237">
        <f t="shared" si="66"/>
        <v>1</v>
      </c>
      <c r="U237" s="8">
        <f t="shared" si="67"/>
        <v>2</v>
      </c>
      <c r="V237" s="8" t="str">
        <f t="shared" si="68"/>
        <v>F Series</v>
      </c>
      <c r="W237" s="8">
        <f>IFERROR(VLOOKUP(B237,Write_Bytes_ps!B:F,4,FALSE)/1024/1024,"")</f>
        <v>5.0070610672012912E-2</v>
      </c>
      <c r="X237" s="8">
        <f>IFERROR(VLOOKUP(B237,Read_Bytes_ps!B:F,4,FALSE)/1024/1024,"")</f>
        <v>5.20832814740099E-4</v>
      </c>
      <c r="Y237" s="8">
        <f>IFERROR(VLOOKUP(B237,Writes_ps!B:F,5,FALSE),"")</f>
        <v>157.44306340649399</v>
      </c>
      <c r="Z237" s="8">
        <f>IFERROR(VLOOKUP(B237,Reads_ps!B:F,5,FALSE),"")</f>
        <v>281.79785285065401</v>
      </c>
      <c r="AA237" s="120">
        <f t="shared" si="82"/>
        <v>5.0591443486753013E-2</v>
      </c>
      <c r="AB237" s="122">
        <f t="shared" si="83"/>
        <v>440</v>
      </c>
      <c r="AC237" s="122" t="str">
        <f t="shared" si="69"/>
        <v>D2ds v4</v>
      </c>
      <c r="AD237" s="8" t="s">
        <v>290</v>
      </c>
      <c r="AE237" s="8">
        <f>IFERROR(VLOOKUP(AD237,'Web-SKUS'!A:E,2,FALSE),"")</f>
        <v>2</v>
      </c>
      <c r="AF237" s="8">
        <f>_xlfn.NUMBERVALUE(IFERROR(VLOOKUP(AD237,'Web-SKUS'!A:E,4,FALSE),""))</f>
        <v>4</v>
      </c>
      <c r="AG237" s="8">
        <f>IFERROR(VLOOKUP(AD237,VM_Performance_Stats!A:G,7,FALSE),0)</f>
        <v>4</v>
      </c>
      <c r="AH237" s="8">
        <f>IFERROR(VLOOKUP(AD237,VM_Performance_Stats!A:I,8,FALSE),"")</f>
        <v>3200</v>
      </c>
      <c r="AI237" s="8">
        <f t="shared" si="70"/>
        <v>1</v>
      </c>
      <c r="AJ237" s="8">
        <f t="shared" si="71"/>
        <v>1</v>
      </c>
      <c r="AK237" s="8">
        <f>IFERROR(IF(VLOOKUP(AD237,VM_Performance_Stats!A:I,8,FALSE)&gt;AB237,1,0),0)</f>
        <v>1</v>
      </c>
      <c r="AL237" t="str">
        <f>IFERROR(VLOOKUP(AD237,'Web-SKUS'!A:G,7,FALSE),"")</f>
        <v>£31.2409/month</v>
      </c>
      <c r="AM237" s="116">
        <f t="shared" si="72"/>
        <v>31.2409</v>
      </c>
      <c r="AN237" t="str">
        <f>IFERROR(IF(C237=1,VLOOKUP(K237,'Web-SKUS'!A:G,7,FALSE),VLOOKUP(K237,'Web-SKUS'!A:G,6,FALSE)),"")</f>
        <v>£43.6621/month</v>
      </c>
      <c r="AO237" s="116">
        <f t="shared" si="73"/>
        <v>43.662100000000002</v>
      </c>
      <c r="AP237" s="116">
        <f t="shared" si="74"/>
        <v>31.2409</v>
      </c>
      <c r="AQ237" s="115">
        <f t="shared" si="75"/>
        <v>12.421200000000002</v>
      </c>
      <c r="AR237" s="225">
        <f t="shared" si="77"/>
        <v>149.05440000000004</v>
      </c>
      <c r="AS237" s="225" t="str">
        <f>VLOOKUP(B237,'Willie List'!B:M,12,FALSE)</f>
        <v>YES</v>
      </c>
      <c r="AT237" s="225" t="str">
        <f t="shared" si="78"/>
        <v>Standard_D2ds_v4</v>
      </c>
      <c r="AU237" s="225" t="str">
        <f t="shared" si="79"/>
        <v>D2ds v4</v>
      </c>
      <c r="AV237" s="101" t="str">
        <f t="shared" si="80"/>
        <v>F2s v2</v>
      </c>
      <c r="AW237" s="228">
        <f t="shared" si="81"/>
        <v>0</v>
      </c>
    </row>
    <row r="238" spans="1:49">
      <c r="B238" t="s">
        <v>669</v>
      </c>
      <c r="C238" s="8">
        <f>IFERROR(IF(VLOOKUP(B238,'Willie List'!B:B,1,FALSE) &lt;&gt; "",1,0),0)</f>
        <v>1</v>
      </c>
      <c r="D238" s="8">
        <v>1</v>
      </c>
      <c r="E238" t="s">
        <v>99</v>
      </c>
      <c r="F238" t="s">
        <v>629</v>
      </c>
      <c r="G238" t="s">
        <v>152</v>
      </c>
      <c r="H238" t="s">
        <v>153</v>
      </c>
      <c r="I238" t="s">
        <v>276</v>
      </c>
      <c r="J238" t="s">
        <v>649</v>
      </c>
      <c r="K238" s="8" t="str">
        <f t="shared" si="84"/>
        <v>E20s v3</v>
      </c>
      <c r="L238" s="8">
        <f>VLOOKUP(K238,'Web-SKUS'!A:E,2,FALSE)</f>
        <v>20</v>
      </c>
      <c r="M238" s="8" t="str">
        <f>VLOOKUP(K238,'Web-SKUS'!A:E,4,FALSE)</f>
        <v>160</v>
      </c>
      <c r="N238" t="s">
        <v>277</v>
      </c>
      <c r="O238" s="8">
        <v>13</v>
      </c>
      <c r="P238" t="s">
        <v>157</v>
      </c>
      <c r="Q238">
        <f>IFERROR(VLOOKUP(B238,PercentCPU!B:F,4,FALSE),"")</f>
        <v>2.0820593465551229</v>
      </c>
      <c r="R238">
        <f>IFERROR(VLOOKUP(B238,MemoryAvailable!B:F,3,FALSE),"")</f>
        <v>39064.037065855555</v>
      </c>
      <c r="S238" s="2">
        <f t="shared" si="65"/>
        <v>0.76157203939297147</v>
      </c>
      <c r="T238">
        <f t="shared" si="66"/>
        <v>1</v>
      </c>
      <c r="U238" s="8">
        <f t="shared" si="67"/>
        <v>122</v>
      </c>
      <c r="V238" s="8">
        <f t="shared" si="68"/>
        <v>0</v>
      </c>
      <c r="W238" s="8">
        <f>IFERROR(VLOOKUP(B238,Write_Bytes_ps!B:F,4,FALSE)/1024/1024,"")</f>
        <v>0.2075057160726041</v>
      </c>
      <c r="X238" s="8">
        <f>IFERROR(VLOOKUP(B238,Read_Bytes_ps!B:F,4,FALSE)/1024/1024,"")</f>
        <v>0.41418173416145909</v>
      </c>
      <c r="Y238" s="8">
        <f>IFERROR(VLOOKUP(B238,Writes_ps!B:F,5,FALSE),"")</f>
        <v>4090.59643554688</v>
      </c>
      <c r="Z238" s="8">
        <f>IFERROR(VLOOKUP(B238,Reads_ps!B:F,5,FALSE),"")</f>
        <v>14556.44140625</v>
      </c>
      <c r="AA238" s="120">
        <f t="shared" si="82"/>
        <v>0.62168745023406324</v>
      </c>
      <c r="AB238" s="122">
        <f t="shared" si="83"/>
        <v>18648</v>
      </c>
      <c r="AC238" s="122" t="str">
        <f t="shared" si="69"/>
        <v>E20s v3</v>
      </c>
      <c r="AD238" s="8" t="s">
        <v>670</v>
      </c>
      <c r="AE238" s="8">
        <f>IFERROR(VLOOKUP(AD238,'Web-SKUS'!A:E,2,FALSE),"")</f>
        <v>4</v>
      </c>
      <c r="AF238" s="8">
        <f>_xlfn.NUMBERVALUE(IFERROR(VLOOKUP(AD238,'Web-SKUS'!A:E,4,FALSE),""))</f>
        <v>128</v>
      </c>
      <c r="AG238" s="8">
        <f>IFERROR(VLOOKUP(AD238,VM_Performance_Stats!A:G,7,FALSE),0)</f>
        <v>32</v>
      </c>
      <c r="AH238" s="8">
        <f>IFERROR(VLOOKUP(AD238,VM_Performance_Stats!A:I,8,FALSE),"")</f>
        <v>25600</v>
      </c>
      <c r="AI238" s="8">
        <f t="shared" si="70"/>
        <v>1</v>
      </c>
      <c r="AJ238" s="8">
        <f t="shared" si="71"/>
        <v>1</v>
      </c>
      <c r="AK238" s="8">
        <f>IFERROR(IF(VLOOKUP(AD238,VM_Performance_Stats!A:I,8,FALSE)&gt;AB238,1,0),0)</f>
        <v>1</v>
      </c>
      <c r="AL238" t="str">
        <f>IFERROR(VLOOKUP(AD238,'Web-SKUS'!A:G,7,FALSE),"")</f>
        <v>£444.2650/month</v>
      </c>
      <c r="AM238" s="116">
        <f t="shared" si="72"/>
        <v>444.26499999999999</v>
      </c>
      <c r="AN238" t="str">
        <f>IFERROR(IF(C238=1,VLOOKUP(K238,'Web-SKUS'!A:G,7,FALSE),VLOOKUP(K238,'Web-SKUS'!A:G,6,FALSE)),"")</f>
        <v>£486.1261/month</v>
      </c>
      <c r="AO238" s="116">
        <f t="shared" si="73"/>
        <v>486.12610000000001</v>
      </c>
      <c r="AP238" s="116">
        <f t="shared" si="74"/>
        <v>444.26499999999999</v>
      </c>
      <c r="AQ238" s="115">
        <f t="shared" si="75"/>
        <v>41.861100000000022</v>
      </c>
      <c r="AR238" s="115">
        <f t="shared" si="77"/>
        <v>502.33320000000026</v>
      </c>
      <c r="AS238" s="115">
        <f>VLOOKUP(B238,'Willie List'!B:M,12,FALSE)</f>
        <v>0</v>
      </c>
      <c r="AT238" s="115" t="str">
        <f t="shared" si="78"/>
        <v>Standard_E20s_v3</v>
      </c>
      <c r="AU238" s="115" t="str">
        <f t="shared" si="79"/>
        <v>E20s v3</v>
      </c>
      <c r="AV238" t="str">
        <f t="shared" si="80"/>
        <v>E16-4ds v4</v>
      </c>
      <c r="AW238" s="8">
        <f t="shared" si="81"/>
        <v>0</v>
      </c>
    </row>
    <row r="239" spans="1:49">
      <c r="B239" t="s">
        <v>671</v>
      </c>
      <c r="C239" s="8">
        <f>IFERROR(IF(VLOOKUP(B239,'Willie List'!B:B,1,FALSE) &lt;&gt; "",1,0),0)</f>
        <v>1</v>
      </c>
      <c r="D239" s="8">
        <v>1</v>
      </c>
      <c r="E239" t="s">
        <v>99</v>
      </c>
      <c r="F239" t="s">
        <v>632</v>
      </c>
      <c r="G239" t="s">
        <v>152</v>
      </c>
      <c r="H239" t="s">
        <v>153</v>
      </c>
      <c r="I239" t="s">
        <v>276</v>
      </c>
      <c r="J239" t="s">
        <v>639</v>
      </c>
      <c r="K239" s="8" t="str">
        <f t="shared" si="84"/>
        <v>E32s v3</v>
      </c>
      <c r="L239" s="8">
        <f>VLOOKUP(K239,'Web-SKUS'!A:E,2,FALSE)</f>
        <v>32</v>
      </c>
      <c r="M239" s="8" t="str">
        <f>VLOOKUP(K239,'Web-SKUS'!A:E,4,FALSE)</f>
        <v>256</v>
      </c>
      <c r="N239" t="s">
        <v>277</v>
      </c>
      <c r="O239" s="8">
        <v>13</v>
      </c>
      <c r="P239" t="s">
        <v>157</v>
      </c>
      <c r="Q239">
        <f>IFERROR(VLOOKUP(B239,PercentCPU!B:F,4,FALSE),"")</f>
        <v>21.548400021996088</v>
      </c>
      <c r="R239">
        <f>IFERROR(VLOOKUP(B239,MemoryAvailable!B:F,3,FALSE),"")</f>
        <v>12395.258956752199</v>
      </c>
      <c r="S239" s="2">
        <f t="shared" si="65"/>
        <v>0.95271583955096362</v>
      </c>
      <c r="T239">
        <f t="shared" si="66"/>
        <v>7</v>
      </c>
      <c r="U239" s="8">
        <f t="shared" si="67"/>
        <v>244</v>
      </c>
      <c r="V239" s="8">
        <f t="shared" si="68"/>
        <v>0</v>
      </c>
      <c r="W239" s="8">
        <f>IFERROR(VLOOKUP(B239,Write_Bytes_ps!B:F,4,FALSE)/1024/1024,"")</f>
        <v>11.229307101181377</v>
      </c>
      <c r="X239" s="8">
        <f>IFERROR(VLOOKUP(B239,Read_Bytes_ps!B:F,4,FALSE)/1024/1024,"")</f>
        <v>82.478955615438906</v>
      </c>
      <c r="Y239" s="8">
        <f>IFERROR(VLOOKUP(B239,Writes_ps!B:F,5,FALSE),"")</f>
        <v>6804.89404296875</v>
      </c>
      <c r="Z239" s="8">
        <f>IFERROR(VLOOKUP(B239,Reads_ps!B:F,5,FALSE),"")</f>
        <v>34098.0546875</v>
      </c>
      <c r="AA239" s="120">
        <f t="shared" si="82"/>
        <v>93.708262716620283</v>
      </c>
      <c r="AB239" s="122">
        <f t="shared" si="83"/>
        <v>40903</v>
      </c>
      <c r="AC239" s="122" t="str">
        <f t="shared" si="69"/>
        <v>E32s v3</v>
      </c>
      <c r="AD239" s="8" t="s">
        <v>633</v>
      </c>
      <c r="AE239" s="8" t="str">
        <f>IFERROR(VLOOKUP(AD239,'Web-SKUS'!A:E,2,FALSE),"")</f>
        <v>8 / 32</v>
      </c>
      <c r="AF239" s="8">
        <f>_xlfn.NUMBERVALUE(IFERROR(VLOOKUP(AD239,'Web-SKUS'!A:E,4,FALSE),""))</f>
        <v>256</v>
      </c>
      <c r="AG239" s="8">
        <f>IFERROR(VLOOKUP(AD239,VM_Performance_Stats!A:G,7,FALSE),0)</f>
        <v>32</v>
      </c>
      <c r="AH239" s="8">
        <f>IFERROR(VLOOKUP(AD239,VM_Performance_Stats!A:I,8,FALSE),"")</f>
        <v>51200</v>
      </c>
      <c r="AI239" s="8">
        <f t="shared" si="70"/>
        <v>1</v>
      </c>
      <c r="AJ239" s="8">
        <f t="shared" si="71"/>
        <v>1</v>
      </c>
      <c r="AK239" s="8">
        <f>IFERROR(IF(VLOOKUP(AD239,VM_Performance_Stats!A:I,8,FALSE)&gt;AB239,1,0),0)</f>
        <v>1</v>
      </c>
      <c r="AL239" t="str">
        <f>IFERROR(VLOOKUP(AD239,'Web-SKUS'!A:G,7,FALSE),"")</f>
        <v>£888.5353/month</v>
      </c>
      <c r="AM239" s="116">
        <f t="shared" si="72"/>
        <v>888.53530000000001</v>
      </c>
      <c r="AN239" t="str">
        <f>IFERROR(IF(C239=1,VLOOKUP(K239,'Web-SKUS'!A:G,7,FALSE),VLOOKUP(K239,'Web-SKUS'!A:G,6,FALSE)),"")</f>
        <v>£819.2201/month</v>
      </c>
      <c r="AO239" s="116">
        <f t="shared" si="73"/>
        <v>819.2201</v>
      </c>
      <c r="AP239" s="116">
        <f t="shared" si="74"/>
        <v>888.53530000000001</v>
      </c>
      <c r="AQ239" s="115">
        <f t="shared" si="75"/>
        <v>-69.315200000000004</v>
      </c>
      <c r="AR239" s="115">
        <f t="shared" si="77"/>
        <v>-831.78240000000005</v>
      </c>
      <c r="AS239" s="115" t="str">
        <f>VLOOKUP(B239,'Willie List'!B:M,12,FALSE)</f>
        <v>YES</v>
      </c>
      <c r="AT239" s="115" t="str">
        <f t="shared" si="78"/>
        <v>Standard_E32s_v3</v>
      </c>
      <c r="AU239" s="115" t="str">
        <f t="shared" si="79"/>
        <v>E32s v3</v>
      </c>
      <c r="AV239" t="str">
        <f t="shared" si="80"/>
        <v>E32-8ds v4</v>
      </c>
      <c r="AW239" s="8">
        <f t="shared" si="81"/>
        <v>0</v>
      </c>
    </row>
    <row r="240" spans="1:49" s="101" customFormat="1">
      <c r="A240" s="101" t="s">
        <v>653</v>
      </c>
      <c r="B240" t="s">
        <v>672</v>
      </c>
      <c r="C240" s="8">
        <f>IFERROR(IF(VLOOKUP(B240,'Willie List'!B:B,1,FALSE) &lt;&gt; "",1,0),0)</f>
        <v>1</v>
      </c>
      <c r="D240" s="8">
        <v>1</v>
      </c>
      <c r="E240" t="s">
        <v>97</v>
      </c>
      <c r="F240" t="s">
        <v>673</v>
      </c>
      <c r="G240" t="s">
        <v>152</v>
      </c>
      <c r="H240" t="s">
        <v>153</v>
      </c>
      <c r="I240" t="s">
        <v>276</v>
      </c>
      <c r="J240" t="s">
        <v>60</v>
      </c>
      <c r="K240" s="8" t="str">
        <f t="shared" si="84"/>
        <v>D32ds v4</v>
      </c>
      <c r="L240" s="8">
        <f>VLOOKUP(K240,'Web-SKUS'!A:E,2,FALSE)</f>
        <v>32</v>
      </c>
      <c r="M240" s="8" t="str">
        <f>VLOOKUP(K240,'Web-SKUS'!A:E,4,FALSE)</f>
        <v>128</v>
      </c>
      <c r="N240" t="s">
        <v>277</v>
      </c>
      <c r="O240" s="8">
        <v>2</v>
      </c>
      <c r="P240" t="s">
        <v>157</v>
      </c>
      <c r="Q240">
        <f>IFERROR(VLOOKUP(B240,PercentCPU!B:F,4,FALSE),"")</f>
        <v>11.124915034422592</v>
      </c>
      <c r="R240">
        <f>IFERROR(VLOOKUP(B240,MemoryAvailable!B:F,3,FALSE),"")</f>
        <v>78982.639297433838</v>
      </c>
      <c r="S240" s="2">
        <f t="shared" si="65"/>
        <v>0.39741028368046694</v>
      </c>
      <c r="T240">
        <f t="shared" si="66"/>
        <v>4</v>
      </c>
      <c r="U240" s="8">
        <f t="shared" si="67"/>
        <v>51</v>
      </c>
      <c r="V240" s="8">
        <f t="shared" si="68"/>
        <v>0</v>
      </c>
      <c r="W240" s="8">
        <f>IFERROR(VLOOKUP(B240,Write_Bytes_ps!B:F,4,FALSE)/1024/1024,"")</f>
        <v>0.62638750458560088</v>
      </c>
      <c r="X240" s="8">
        <f>IFERROR(VLOOKUP(B240,Read_Bytes_ps!B:F,4,FALSE)/1024/1024,"")</f>
        <v>0.27892700727298153</v>
      </c>
      <c r="Y240" s="8">
        <f>IFERROR(VLOOKUP(B240,Writes_ps!B:F,5,FALSE),"")</f>
        <v>1464.79577636719</v>
      </c>
      <c r="Z240" s="8">
        <f>IFERROR(VLOOKUP(B240,Reads_ps!B:F,5,FALSE),"")</f>
        <v>961.90148925781295</v>
      </c>
      <c r="AA240" s="120">
        <f t="shared" si="82"/>
        <v>0.90531451185858236</v>
      </c>
      <c r="AB240" s="122">
        <f t="shared" si="83"/>
        <v>2427</v>
      </c>
      <c r="AC240" s="122" t="str">
        <f t="shared" si="69"/>
        <v>D32ds v4</v>
      </c>
      <c r="AD240" s="8" t="s">
        <v>621</v>
      </c>
      <c r="AE240" s="8">
        <f>IFERROR(VLOOKUP(AD240,'Web-SKUS'!A:E,2,FALSE),"")</f>
        <v>4</v>
      </c>
      <c r="AF240" s="8">
        <f>_xlfn.NUMBERVALUE(IFERROR(VLOOKUP(AD240,'Web-SKUS'!A:E,4,FALSE),""))</f>
        <v>64</v>
      </c>
      <c r="AG240" s="8">
        <f>IFERROR(VLOOKUP(AD240,VM_Performance_Stats!A:G,7,FALSE),0)</f>
        <v>16</v>
      </c>
      <c r="AH240" s="8">
        <f>IFERROR(VLOOKUP(AD240,VM_Performance_Stats!A:I,8,FALSE),"")</f>
        <v>12800</v>
      </c>
      <c r="AI240" s="8">
        <f t="shared" si="70"/>
        <v>1</v>
      </c>
      <c r="AJ240" s="8">
        <f t="shared" si="71"/>
        <v>1</v>
      </c>
      <c r="AK240" s="8">
        <f>IFERROR(IF(VLOOKUP(AD240,VM_Performance_Stats!A:I,8,FALSE)&gt;AB240,1,0),0)</f>
        <v>1</v>
      </c>
      <c r="AL240" t="str">
        <f>IFERROR(VLOOKUP(AD240,'Web-SKUS'!A:G,7,FALSE),"")</f>
        <v>£222.1624/month</v>
      </c>
      <c r="AM240" s="116">
        <f t="shared" si="72"/>
        <v>222.16239999999999</v>
      </c>
      <c r="AN240" t="str">
        <f>IFERROR(IF(C240=1,VLOOKUP(K240,'Web-SKUS'!A:G,7,FALSE),VLOOKUP(K240,'Web-SKUS'!A:G,6,FALSE)),"")</f>
        <v>£698.4788/month</v>
      </c>
      <c r="AO240" s="116">
        <f t="shared" si="73"/>
        <v>698.47879999999998</v>
      </c>
      <c r="AP240" s="116">
        <f t="shared" si="74"/>
        <v>222.16239999999999</v>
      </c>
      <c r="AQ240" s="115">
        <f t="shared" si="75"/>
        <v>476.31639999999999</v>
      </c>
      <c r="AR240" s="225">
        <f t="shared" si="77"/>
        <v>5715.7968000000001</v>
      </c>
      <c r="AS240" s="225">
        <f>VLOOKUP(B240,'Willie List'!B:M,12,FALSE)</f>
        <v>0</v>
      </c>
      <c r="AT240" s="225" t="str">
        <f t="shared" si="78"/>
        <v>Standard_D32ds_v4</v>
      </c>
      <c r="AU240" s="225" t="str">
        <f t="shared" si="79"/>
        <v>D32ds v4</v>
      </c>
      <c r="AV240" s="101" t="str">
        <f t="shared" si="80"/>
        <v>E8-4ds v4</v>
      </c>
      <c r="AW240" s="228">
        <f t="shared" si="81"/>
        <v>0</v>
      </c>
    </row>
    <row r="241" spans="1:49">
      <c r="B241" t="s">
        <v>674</v>
      </c>
      <c r="C241" s="8">
        <f>IFERROR(IF(VLOOKUP(B241,'Willie List'!B:B,1,FALSE) &lt;&gt; "",1,0),0)</f>
        <v>1</v>
      </c>
      <c r="D241" s="8">
        <v>1</v>
      </c>
      <c r="E241" t="s">
        <v>99</v>
      </c>
      <c r="F241" t="s">
        <v>638</v>
      </c>
      <c r="G241" t="s">
        <v>152</v>
      </c>
      <c r="H241" t="s">
        <v>153</v>
      </c>
      <c r="I241" t="s">
        <v>154</v>
      </c>
      <c r="J241" t="s">
        <v>675</v>
      </c>
      <c r="K241" s="8" t="str">
        <f t="shared" si="84"/>
        <v>E8 v3</v>
      </c>
      <c r="L241" s="8">
        <f>VLOOKUP(K241,'Web-SKUS'!A:E,2,FALSE)</f>
        <v>8</v>
      </c>
      <c r="M241" s="8" t="str">
        <f>VLOOKUP(K241,'Web-SKUS'!A:E,4,FALSE)</f>
        <v>64</v>
      </c>
      <c r="N241" t="s">
        <v>277</v>
      </c>
      <c r="O241" s="8">
        <v>2</v>
      </c>
      <c r="P241" t="s">
        <v>157</v>
      </c>
      <c r="Q241">
        <f>IFERROR(VLOOKUP(B241,PercentCPU!B:F,4,FALSE),"")</f>
        <v>2.1924788545124447</v>
      </c>
      <c r="R241">
        <f>IFERROR(VLOOKUP(B241,MemoryAvailable!B:F,3,FALSE),"")</f>
        <v>62056.18196860038</v>
      </c>
      <c r="S241" s="2">
        <f t="shared" si="65"/>
        <v>5.3097809317010802E-2</v>
      </c>
      <c r="T241">
        <f t="shared" si="66"/>
        <v>1</v>
      </c>
      <c r="U241" s="8">
        <f t="shared" si="67"/>
        <v>3</v>
      </c>
      <c r="V241" s="8">
        <f t="shared" si="68"/>
        <v>0</v>
      </c>
      <c r="W241" s="8">
        <f>IFERROR(VLOOKUP(B241,Write_Bytes_ps!B:F,4,FALSE)/1024/1024,"")</f>
        <v>5.531551688400789E-2</v>
      </c>
      <c r="X241" s="8">
        <f>IFERROR(VLOOKUP(B241,Read_Bytes_ps!B:F,4,FALSE)/1024/1024,"")</f>
        <v>5.2080623753217748E-4</v>
      </c>
      <c r="Y241" s="8">
        <f>IFERROR(VLOOKUP(B241,Writes_ps!B:F,5,FALSE),"")</f>
        <v>188.58524659980799</v>
      </c>
      <c r="Z241" s="8">
        <f>IFERROR(VLOOKUP(B241,Reads_ps!B:F,5,FALSE),"")</f>
        <v>72.680583779606593</v>
      </c>
      <c r="AA241" s="120">
        <f t="shared" si="82"/>
        <v>5.583632312154007E-2</v>
      </c>
      <c r="AB241" s="122">
        <f t="shared" si="83"/>
        <v>262</v>
      </c>
      <c r="AC241" s="122" t="str">
        <f t="shared" si="69"/>
        <v>E8 v3</v>
      </c>
      <c r="AD241" s="8" t="s">
        <v>290</v>
      </c>
      <c r="AE241" s="8">
        <f>IFERROR(VLOOKUP(AD241,'Web-SKUS'!A:E,2,FALSE),"")</f>
        <v>2</v>
      </c>
      <c r="AF241" s="8">
        <f>_xlfn.NUMBERVALUE(IFERROR(VLOOKUP(AD241,'Web-SKUS'!A:E,4,FALSE),""))</f>
        <v>4</v>
      </c>
      <c r="AG241" s="8">
        <f>IFERROR(VLOOKUP(AD241,VM_Performance_Stats!A:G,7,FALSE),0)</f>
        <v>4</v>
      </c>
      <c r="AH241" s="8">
        <f>IFERROR(VLOOKUP(AD241,VM_Performance_Stats!A:I,8,FALSE),"")</f>
        <v>3200</v>
      </c>
      <c r="AI241" s="8">
        <f t="shared" si="70"/>
        <v>1</v>
      </c>
      <c r="AJ241" s="8">
        <f t="shared" si="71"/>
        <v>1</v>
      </c>
      <c r="AK241" s="8">
        <f>IFERROR(IF(VLOOKUP(AD241,VM_Performance_Stats!A:I,8,FALSE)&gt;AB241,1,0),0)</f>
        <v>1</v>
      </c>
      <c r="AL241" t="str">
        <f>IFERROR(VLOOKUP(AD241,'Web-SKUS'!A:G,7,FALSE),"")</f>
        <v>£31.2409/month</v>
      </c>
      <c r="AM241" s="116">
        <f t="shared" si="72"/>
        <v>31.2409</v>
      </c>
      <c r="AN241" t="str">
        <f>IFERROR(IF(C241=1,VLOOKUP(K241,'Web-SKUS'!A:G,7,FALSE),VLOOKUP(K241,'Web-SKUS'!A:G,6,FALSE)),"")</f>
        <v>£204.8336/month</v>
      </c>
      <c r="AO241" s="116">
        <f t="shared" si="73"/>
        <v>204.83359999999999</v>
      </c>
      <c r="AP241" s="116">
        <f t="shared" si="74"/>
        <v>31.2409</v>
      </c>
      <c r="AQ241" s="115">
        <f t="shared" si="75"/>
        <v>173.59269999999998</v>
      </c>
      <c r="AR241" s="115">
        <f t="shared" si="77"/>
        <v>2083.1124</v>
      </c>
      <c r="AS241" s="115" t="str">
        <f>VLOOKUP(B241,'Willie List'!B:M,12,FALSE)</f>
        <v>NO</v>
      </c>
      <c r="AT241" s="115" t="str">
        <f t="shared" si="78"/>
        <v>Standard_E8_v3</v>
      </c>
      <c r="AU241" s="115" t="str">
        <f t="shared" si="79"/>
        <v>E8 v3</v>
      </c>
      <c r="AV241" t="str">
        <f t="shared" si="80"/>
        <v>F2s v2</v>
      </c>
      <c r="AW241" s="8">
        <f t="shared" si="81"/>
        <v>0</v>
      </c>
    </row>
    <row r="242" spans="1:49" s="101" customFormat="1">
      <c r="A242" s="101" t="s">
        <v>676</v>
      </c>
      <c r="B242" t="s">
        <v>677</v>
      </c>
      <c r="C242" s="8">
        <f>IFERROR(IF(VLOOKUP(B242,'Willie List'!B:B,1,FALSE) &lt;&gt; "",1,0),0)</f>
        <v>1</v>
      </c>
      <c r="D242" s="8">
        <v>1</v>
      </c>
      <c r="E242" t="s">
        <v>97</v>
      </c>
      <c r="F242" t="s">
        <v>678</v>
      </c>
      <c r="G242" t="s">
        <v>152</v>
      </c>
      <c r="H242" t="s">
        <v>153</v>
      </c>
      <c r="I242" t="s">
        <v>276</v>
      </c>
      <c r="J242" t="s">
        <v>56</v>
      </c>
      <c r="K242" s="8" t="str">
        <f t="shared" si="84"/>
        <v>D2ds v4</v>
      </c>
      <c r="L242" s="8">
        <f>VLOOKUP(K242,'Web-SKUS'!A:E,2,FALSE)</f>
        <v>2</v>
      </c>
      <c r="M242" s="8" t="str">
        <f>VLOOKUP(K242,'Web-SKUS'!A:E,4,FALSE)</f>
        <v>8</v>
      </c>
      <c r="N242" t="s">
        <v>277</v>
      </c>
      <c r="O242" s="8">
        <v>2</v>
      </c>
      <c r="P242" t="s">
        <v>157</v>
      </c>
      <c r="Q242">
        <f>IFERROR(VLOOKUP(B242,PercentCPU!B:F,4,FALSE),"")</f>
        <v>5.1062318235495656</v>
      </c>
      <c r="R242">
        <f>IFERROR(VLOOKUP(B242,MemoryAvailable!B:F,3,FALSE),"")</f>
        <v>5042.1380455519702</v>
      </c>
      <c r="S242" s="2">
        <f t="shared" si="65"/>
        <v>0.38450463311133176</v>
      </c>
      <c r="T242">
        <f t="shared" si="66"/>
        <v>1</v>
      </c>
      <c r="U242" s="8">
        <f t="shared" si="67"/>
        <v>3</v>
      </c>
      <c r="V242" s="8">
        <f t="shared" si="68"/>
        <v>0</v>
      </c>
      <c r="W242" s="8">
        <f>IFERROR(VLOOKUP(B242,Write_Bytes_ps!B:F,4,FALSE)/1024/1024,"")</f>
        <v>0.16788991639400627</v>
      </c>
      <c r="X242" s="8">
        <f>IFERROR(VLOOKUP(B242,Read_Bytes_ps!B:F,4,FALSE)/1024/1024,"")</f>
        <v>0.38203189128483955</v>
      </c>
      <c r="Y242" s="8">
        <f>IFERROR(VLOOKUP(B242,Writes_ps!B:F,5,FALSE),"")</f>
        <v>593.14251708984398</v>
      </c>
      <c r="Z242" s="8">
        <f>IFERROR(VLOOKUP(B242,Reads_ps!B:F,5,FALSE),"")</f>
        <v>425.117431640625</v>
      </c>
      <c r="AA242" s="120">
        <f t="shared" si="82"/>
        <v>0.5499218076788458</v>
      </c>
      <c r="AB242" s="122">
        <f t="shared" si="83"/>
        <v>1019</v>
      </c>
      <c r="AC242" s="122" t="str">
        <f t="shared" si="69"/>
        <v>D2ds v4</v>
      </c>
      <c r="AD242" s="8" t="s">
        <v>290</v>
      </c>
      <c r="AE242" s="8">
        <f>IFERROR(VLOOKUP(AD242,'Web-SKUS'!A:E,2,FALSE),"")</f>
        <v>2</v>
      </c>
      <c r="AF242" s="8">
        <f>_xlfn.NUMBERVALUE(IFERROR(VLOOKUP(AD242,'Web-SKUS'!A:E,4,FALSE),""))</f>
        <v>4</v>
      </c>
      <c r="AG242" s="8">
        <f>IFERROR(VLOOKUP(AD242,VM_Performance_Stats!A:G,7,FALSE),0)</f>
        <v>4</v>
      </c>
      <c r="AH242" s="8">
        <f>IFERROR(VLOOKUP(AD242,VM_Performance_Stats!A:I,8,FALSE),"")</f>
        <v>3200</v>
      </c>
      <c r="AI242" s="8">
        <f t="shared" si="70"/>
        <v>1</v>
      </c>
      <c r="AJ242" s="8">
        <f t="shared" si="71"/>
        <v>1</v>
      </c>
      <c r="AK242" s="8">
        <f>IFERROR(IF(VLOOKUP(AD242,VM_Performance_Stats!A:I,8,FALSE)&gt;AB242,1,0),0)</f>
        <v>1</v>
      </c>
      <c r="AL242" t="str">
        <f>IFERROR(VLOOKUP(AD242,'Web-SKUS'!A:G,7,FALSE),"")</f>
        <v>£31.2409/month</v>
      </c>
      <c r="AM242" s="116">
        <f t="shared" si="72"/>
        <v>31.2409</v>
      </c>
      <c r="AN242" t="str">
        <f>IFERROR(IF(C242=1,VLOOKUP(K242,'Web-SKUS'!A:G,7,FALSE),VLOOKUP(K242,'Web-SKUS'!A:G,6,FALSE)),"")</f>
        <v>£43.6621/month</v>
      </c>
      <c r="AO242" s="116">
        <f t="shared" si="73"/>
        <v>43.662100000000002</v>
      </c>
      <c r="AP242" s="116">
        <f t="shared" si="74"/>
        <v>31.2409</v>
      </c>
      <c r="AQ242" s="115">
        <f t="shared" si="75"/>
        <v>12.421200000000002</v>
      </c>
      <c r="AR242" s="225">
        <f t="shared" si="77"/>
        <v>149.05440000000004</v>
      </c>
      <c r="AS242" s="225" t="str">
        <f>VLOOKUP(B242,'Willie List'!B:M,12,FALSE)</f>
        <v>YES</v>
      </c>
      <c r="AT242" s="225" t="str">
        <f t="shared" si="78"/>
        <v>Standard_D2ds_v4</v>
      </c>
      <c r="AU242" s="225" t="str">
        <f t="shared" si="79"/>
        <v>D2ds v4</v>
      </c>
      <c r="AV242" s="101" t="str">
        <f t="shared" si="80"/>
        <v>F2s v2</v>
      </c>
      <c r="AW242" s="228">
        <f t="shared" si="81"/>
        <v>0</v>
      </c>
    </row>
    <row r="243" spans="1:49">
      <c r="B243" t="s">
        <v>679</v>
      </c>
      <c r="C243" s="8">
        <f>IFERROR(IF(VLOOKUP(B243,'Willie List'!B:B,1,FALSE) &lt;&gt; "",1,0),0)</f>
        <v>1</v>
      </c>
      <c r="D243" s="8">
        <v>1</v>
      </c>
      <c r="E243" t="s">
        <v>99</v>
      </c>
      <c r="F243" t="s">
        <v>620</v>
      </c>
      <c r="G243" t="s">
        <v>152</v>
      </c>
      <c r="H243" t="s">
        <v>153</v>
      </c>
      <c r="I243" t="s">
        <v>276</v>
      </c>
      <c r="J243" t="s">
        <v>649</v>
      </c>
      <c r="K243" s="8" t="str">
        <f t="shared" si="84"/>
        <v>E20s v3</v>
      </c>
      <c r="L243" s="8">
        <f>VLOOKUP(K243,'Web-SKUS'!A:E,2,FALSE)</f>
        <v>20</v>
      </c>
      <c r="M243" s="8" t="str">
        <f>VLOOKUP(K243,'Web-SKUS'!A:E,4,FALSE)</f>
        <v>160</v>
      </c>
      <c r="N243" t="s">
        <v>277</v>
      </c>
      <c r="O243" s="8">
        <v>13</v>
      </c>
      <c r="P243" t="s">
        <v>157</v>
      </c>
      <c r="Q243">
        <f>IFERROR(VLOOKUP(B243,PercentCPU!B:F,4,FALSE),"")</f>
        <v>47.67467027571395</v>
      </c>
      <c r="R243">
        <f>IFERROR(VLOOKUP(B243,MemoryAvailable!B:F,3,FALSE),"")</f>
        <v>18341.228235738214</v>
      </c>
      <c r="S243" s="2">
        <f t="shared" si="65"/>
        <v>0.88805402688148061</v>
      </c>
      <c r="T243">
        <f t="shared" si="66"/>
        <v>10</v>
      </c>
      <c r="U243" s="8">
        <f t="shared" si="67"/>
        <v>142</v>
      </c>
      <c r="V243" s="8">
        <f t="shared" si="68"/>
        <v>0</v>
      </c>
      <c r="W243" s="8">
        <f>IFERROR(VLOOKUP(B243,Write_Bytes_ps!B:F,4,FALSE)/1024/1024,"")</f>
        <v>5.9753152991688019</v>
      </c>
      <c r="X243" s="8">
        <f>IFERROR(VLOOKUP(B243,Read_Bytes_ps!B:F,4,FALSE)/1024/1024,"")</f>
        <v>73.238295467188507</v>
      </c>
      <c r="Y243" s="8">
        <f>IFERROR(VLOOKUP(B243,Writes_ps!B:F,5,FALSE),"")</f>
        <v>5967.5771484375</v>
      </c>
      <c r="Z243" s="8">
        <f>IFERROR(VLOOKUP(B243,Reads_ps!B:F,5,FALSE),"")</f>
        <v>15314.6015625</v>
      </c>
      <c r="AA243" s="120">
        <f t="shared" si="82"/>
        <v>79.213610766357306</v>
      </c>
      <c r="AB243" s="122">
        <f t="shared" ref="AB243:AB274" si="85">ROUNDUP(SUM(Y243:Z243),0)</f>
        <v>21283</v>
      </c>
      <c r="AC243" s="122" t="str">
        <f t="shared" si="69"/>
        <v>E20s v3</v>
      </c>
      <c r="AD243" s="8" t="s">
        <v>650</v>
      </c>
      <c r="AE243" s="8">
        <f>IFERROR(VLOOKUP(AD243,'Web-SKUS'!A:E,2,FALSE),"")</f>
        <v>20</v>
      </c>
      <c r="AF243" s="8">
        <f>_xlfn.NUMBERVALUE(IFERROR(VLOOKUP(AD243,'Web-SKUS'!A:E,4,FALSE),""))</f>
        <v>160</v>
      </c>
      <c r="AG243" s="8">
        <f>IFERROR(VLOOKUP(AD243,VM_Performance_Stats!A:G,7,FALSE),0)</f>
        <v>32</v>
      </c>
      <c r="AH243" s="8">
        <f>IFERROR(VLOOKUP(AD243,VM_Performance_Stats!A:I,8,FALSE),"")</f>
        <v>32000</v>
      </c>
      <c r="AI243" s="8">
        <f t="shared" si="70"/>
        <v>1</v>
      </c>
      <c r="AJ243" s="8">
        <f t="shared" si="71"/>
        <v>1</v>
      </c>
      <c r="AK243" s="8">
        <f>IFERROR(IF(VLOOKUP(AD243,VM_Performance_Stats!A:I,8,FALSE)&gt;AB243,1,0),0)</f>
        <v>1</v>
      </c>
      <c r="AL243" t="str">
        <f>IFERROR(VLOOKUP(AD243,'Web-SKUS'!A:G,7,FALSE),"")</f>
        <v>£555.3162/month</v>
      </c>
      <c r="AM243" s="116">
        <f t="shared" si="72"/>
        <v>555.31619999999998</v>
      </c>
      <c r="AN243" t="str">
        <f>IFERROR(IF(C243=1,VLOOKUP(K243,'Web-SKUS'!A:G,7,FALSE),VLOOKUP(K243,'Web-SKUS'!A:G,6,FALSE)),"")</f>
        <v>£486.1261/month</v>
      </c>
      <c r="AO243" s="116">
        <f t="shared" si="73"/>
        <v>486.12610000000001</v>
      </c>
      <c r="AP243" s="116">
        <f t="shared" si="74"/>
        <v>555.31619999999998</v>
      </c>
      <c r="AQ243" s="115">
        <f t="shared" si="75"/>
        <v>-69.190099999999973</v>
      </c>
      <c r="AR243" s="115">
        <f t="shared" si="77"/>
        <v>-830.28119999999967</v>
      </c>
      <c r="AS243" s="115">
        <f>VLOOKUP(B243,'Willie List'!B:M,12,FALSE)</f>
        <v>0</v>
      </c>
      <c r="AT243" s="115" t="str">
        <f t="shared" si="78"/>
        <v>Standard_E20s_v3</v>
      </c>
      <c r="AU243" s="115" t="str">
        <f t="shared" si="79"/>
        <v>E20s v3</v>
      </c>
      <c r="AV243" t="str">
        <f t="shared" si="80"/>
        <v>E20ds v4</v>
      </c>
      <c r="AW243" s="8">
        <f t="shared" si="81"/>
        <v>0</v>
      </c>
    </row>
    <row r="244" spans="1:49">
      <c r="B244" t="s">
        <v>680</v>
      </c>
      <c r="C244" s="8">
        <f>IFERROR(IF(VLOOKUP(B244,'Willie List'!B:B,1,FALSE) &lt;&gt; "",1,0),0)</f>
        <v>1</v>
      </c>
      <c r="D244" s="8">
        <v>1</v>
      </c>
      <c r="E244" t="s">
        <v>99</v>
      </c>
      <c r="F244" t="s">
        <v>620</v>
      </c>
      <c r="G244" t="s">
        <v>152</v>
      </c>
      <c r="H244" t="s">
        <v>153</v>
      </c>
      <c r="I244" t="s">
        <v>276</v>
      </c>
      <c r="J244" t="s">
        <v>649</v>
      </c>
      <c r="K244" s="8" t="str">
        <f t="shared" si="84"/>
        <v>E20s v3</v>
      </c>
      <c r="L244" s="8">
        <f>VLOOKUP(K244,'Web-SKUS'!A:E,2,FALSE)</f>
        <v>20</v>
      </c>
      <c r="M244" s="8" t="str">
        <f>VLOOKUP(K244,'Web-SKUS'!A:E,4,FALSE)</f>
        <v>160</v>
      </c>
      <c r="N244" t="s">
        <v>277</v>
      </c>
      <c r="O244" s="8">
        <v>13</v>
      </c>
      <c r="P244" t="s">
        <v>157</v>
      </c>
      <c r="Q244">
        <f>IFERROR(VLOOKUP(B244,PercentCPU!B:F,4,FALSE),"")</f>
        <v>24.601463181684846</v>
      </c>
      <c r="R244">
        <f>IFERROR(VLOOKUP(B244,MemoryAvailable!B:F,3,FALSE),"")</f>
        <v>23127.384501096622</v>
      </c>
      <c r="S244" s="2">
        <f t="shared" si="65"/>
        <v>0.85884164733217394</v>
      </c>
      <c r="T244">
        <f t="shared" si="66"/>
        <v>5</v>
      </c>
      <c r="U244" s="8">
        <f t="shared" si="67"/>
        <v>137</v>
      </c>
      <c r="V244" s="8">
        <f t="shared" si="68"/>
        <v>0</v>
      </c>
      <c r="W244" s="8">
        <f>IFERROR(VLOOKUP(B244,Write_Bytes_ps!B:F,4,FALSE)/1024/1024,"")</f>
        <v>1.5933958415578322</v>
      </c>
      <c r="X244" s="8">
        <f>IFERROR(VLOOKUP(B244,Read_Bytes_ps!B:F,4,FALSE)/1024/1024,"")</f>
        <v>0.44809855286002492</v>
      </c>
      <c r="Y244" s="8">
        <f>IFERROR(VLOOKUP(B244,Writes_ps!B:F,5,FALSE),"")</f>
        <v>7395.9619140625</v>
      </c>
      <c r="Z244" s="8">
        <f>IFERROR(VLOOKUP(B244,Reads_ps!B:F,5,FALSE),"")</f>
        <v>13873.4501953125</v>
      </c>
      <c r="AA244" s="120">
        <f t="shared" si="82"/>
        <v>2.0414943944178572</v>
      </c>
      <c r="AB244" s="122">
        <f t="shared" si="85"/>
        <v>21270</v>
      </c>
      <c r="AC244" s="122" t="str">
        <f t="shared" si="69"/>
        <v>E20s v3</v>
      </c>
      <c r="AD244" s="8" t="s">
        <v>650</v>
      </c>
      <c r="AE244" s="8">
        <f>IFERROR(VLOOKUP(AD244,'Web-SKUS'!A:E,2,FALSE),"")</f>
        <v>20</v>
      </c>
      <c r="AF244" s="8">
        <f>_xlfn.NUMBERVALUE(IFERROR(VLOOKUP(AD244,'Web-SKUS'!A:E,4,FALSE),""))</f>
        <v>160</v>
      </c>
      <c r="AG244" s="8">
        <f>IFERROR(VLOOKUP(AD244,VM_Performance_Stats!A:G,7,FALSE),0)</f>
        <v>32</v>
      </c>
      <c r="AH244" s="8">
        <f>IFERROR(VLOOKUP(AD244,VM_Performance_Stats!A:I,8,FALSE),"")</f>
        <v>32000</v>
      </c>
      <c r="AI244" s="8">
        <f t="shared" si="70"/>
        <v>1</v>
      </c>
      <c r="AJ244" s="8">
        <f t="shared" si="71"/>
        <v>1</v>
      </c>
      <c r="AK244" s="8">
        <f>IFERROR(IF(VLOOKUP(AD244,VM_Performance_Stats!A:I,8,FALSE)&gt;AB244,1,0),0)</f>
        <v>1</v>
      </c>
      <c r="AL244" t="str">
        <f>IFERROR(VLOOKUP(AD244,'Web-SKUS'!A:G,7,FALSE),"")</f>
        <v>£555.3162/month</v>
      </c>
      <c r="AM244" s="116">
        <f t="shared" si="72"/>
        <v>555.31619999999998</v>
      </c>
      <c r="AN244" t="str">
        <f>IFERROR(IF(C244=1,VLOOKUP(K244,'Web-SKUS'!A:G,7,FALSE),VLOOKUP(K244,'Web-SKUS'!A:G,6,FALSE)),"")</f>
        <v>£486.1261/month</v>
      </c>
      <c r="AO244" s="116">
        <f t="shared" si="73"/>
        <v>486.12610000000001</v>
      </c>
      <c r="AP244" s="116">
        <f t="shared" si="74"/>
        <v>555.31619999999998</v>
      </c>
      <c r="AQ244" s="115">
        <f t="shared" si="75"/>
        <v>-69.190099999999973</v>
      </c>
      <c r="AR244" s="115">
        <f t="shared" si="77"/>
        <v>-830.28119999999967</v>
      </c>
      <c r="AS244" s="115">
        <f>VLOOKUP(B244,'Willie List'!B:M,12,FALSE)</f>
        <v>0</v>
      </c>
      <c r="AT244" s="115" t="str">
        <f t="shared" si="78"/>
        <v>Standard_E20s_v3</v>
      </c>
      <c r="AU244" s="115" t="str">
        <f t="shared" si="79"/>
        <v>E20s v3</v>
      </c>
      <c r="AV244" t="str">
        <f t="shared" si="80"/>
        <v>E20ds v4</v>
      </c>
      <c r="AW244" s="8">
        <f t="shared" si="81"/>
        <v>0</v>
      </c>
    </row>
    <row r="245" spans="1:49">
      <c r="B245" t="s">
        <v>681</v>
      </c>
      <c r="C245" s="8">
        <f>IFERROR(IF(VLOOKUP(B245,'Willie List'!B:B,1,FALSE) &lt;&gt; "",1,0),0)</f>
        <v>0</v>
      </c>
      <c r="D245" s="8"/>
      <c r="E245" t="s">
        <v>99</v>
      </c>
      <c r="F245" t="s">
        <v>162</v>
      </c>
      <c r="G245" t="s">
        <v>152</v>
      </c>
      <c r="H245" t="s">
        <v>153</v>
      </c>
      <c r="I245" t="s">
        <v>154</v>
      </c>
      <c r="J245" t="s">
        <v>155</v>
      </c>
      <c r="K245" s="8" t="str">
        <f t="shared" si="84"/>
        <v>DS3 v2</v>
      </c>
      <c r="L245" s="8">
        <f>VLOOKUP(K245,'Web-SKUS'!A:E,2,FALSE)</f>
        <v>4</v>
      </c>
      <c r="M245" s="8" t="str">
        <f>VLOOKUP(K245,'Web-SKUS'!A:E,4,FALSE)</f>
        <v>14</v>
      </c>
      <c r="N245" t="s">
        <v>682</v>
      </c>
      <c r="O245">
        <v>4</v>
      </c>
      <c r="P245" t="s">
        <v>157</v>
      </c>
      <c r="Q245" t="str">
        <f>IFERROR(VLOOKUP(B245,PercentCPU!B:F,4,FALSE),"")</f>
        <v/>
      </c>
      <c r="R245" t="str">
        <f>IFERROR(VLOOKUP(B245,MemoryAvailable!B:F,3,FALSE),"")</f>
        <v/>
      </c>
      <c r="S245" s="2" t="str">
        <f t="shared" si="65"/>
        <v/>
      </c>
      <c r="T245" t="str">
        <f t="shared" si="66"/>
        <v/>
      </c>
      <c r="U245" s="8">
        <f t="shared" si="67"/>
        <v>0</v>
      </c>
      <c r="V245" s="8" t="str">
        <f t="shared" si="68"/>
        <v/>
      </c>
      <c r="W245" s="8" t="str">
        <f>IFERROR(VLOOKUP(B245,Write_Bytes_ps!B:F,4,FALSE)/1024/1024,"")</f>
        <v/>
      </c>
      <c r="X245" s="8" t="str">
        <f>IFERROR(VLOOKUP(B245,Read_Bytes_ps!B:F,4,FALSE)/1024/1024,"")</f>
        <v/>
      </c>
      <c r="Y245" s="8" t="str">
        <f>IFERROR(VLOOKUP(B245,Writes_ps!B:F,5,FALSE),"")</f>
        <v/>
      </c>
      <c r="Z245" s="8" t="str">
        <f>IFERROR(VLOOKUP(B245,Reads_ps!B:F,5,FALSE),"")</f>
        <v/>
      </c>
      <c r="AA245" s="8">
        <f t="shared" si="82"/>
        <v>0</v>
      </c>
      <c r="AB245" s="122">
        <f t="shared" si="85"/>
        <v>0</v>
      </c>
      <c r="AC245" s="122" t="str">
        <f t="shared" si="69"/>
        <v>DS3 v2</v>
      </c>
      <c r="AE245" s="8" t="str">
        <f>IFERROR(VLOOKUP(AD245,'Web-SKUS'!A:E,2,FALSE),"")</f>
        <v/>
      </c>
      <c r="AF245" s="8">
        <f>_xlfn.NUMBERVALUE(IFERROR(VLOOKUP(AD245,'Web-SKUS'!A:E,4,FALSE),""))</f>
        <v>0</v>
      </c>
      <c r="AG245" s="8">
        <f>IFERROR(VLOOKUP(AD245,VM_Performance_Stats!A:G,7,FALSE),0)</f>
        <v>0</v>
      </c>
      <c r="AH245" s="8" t="str">
        <f>IFERROR(VLOOKUP(AD245,VM_Performance_Stats!A:I,8,FALSE),"")</f>
        <v/>
      </c>
      <c r="AI245" s="8">
        <f t="shared" si="70"/>
        <v>1</v>
      </c>
      <c r="AJ245" s="8">
        <f t="shared" si="71"/>
        <v>0</v>
      </c>
      <c r="AK245" s="8">
        <f>IFERROR(IF(VLOOKUP(AD245,VM_Performance_Stats!A:I,8,FALSE)&gt;AB245,1,0),0)</f>
        <v>0</v>
      </c>
      <c r="AL245" t="str">
        <f>IFERROR(VLOOKUP(AD245,'Web-SKUS'!A:G,7,FALSE),"")</f>
        <v/>
      </c>
      <c r="AM245" s="116" t="str">
        <f t="shared" si="72"/>
        <v/>
      </c>
      <c r="AN245" t="str">
        <f>IFERROR(IF(C245=1,VLOOKUP(K245,'Web-SKUS'!A:G,7,FALSE),VLOOKUP(K245,'Web-SKUS'!A:G,6,FALSE)),"")</f>
        <v>£147.9886/month</v>
      </c>
      <c r="AO245" s="116">
        <f t="shared" si="73"/>
        <v>147.98859999999999</v>
      </c>
      <c r="AP245" s="116">
        <f t="shared" si="74"/>
        <v>147.98859999999999</v>
      </c>
      <c r="AQ245" s="115">
        <f t="shared" si="75"/>
        <v>0</v>
      </c>
      <c r="AR245" s="115">
        <f t="shared" si="77"/>
        <v>0</v>
      </c>
      <c r="AS245" s="115" t="e">
        <f>VLOOKUP(B245,'Willie List'!B:M,12,FALSE)</f>
        <v>#N/A</v>
      </c>
      <c r="AT245" s="115" t="str">
        <f t="shared" si="78"/>
        <v>Standard_DS3_v2</v>
      </c>
      <c r="AU245" s="115" t="str">
        <f t="shared" si="79"/>
        <v>DS3 v2</v>
      </c>
      <c r="AV245">
        <f t="shared" si="80"/>
        <v>0</v>
      </c>
      <c r="AW245" s="8">
        <f t="shared" si="81"/>
        <v>0</v>
      </c>
    </row>
    <row r="246" spans="1:49">
      <c r="B246" t="s">
        <v>683</v>
      </c>
      <c r="C246" s="8">
        <f>IFERROR(IF(VLOOKUP(B246,'Willie List'!B:B,1,FALSE) &lt;&gt; "",1,0),0)</f>
        <v>0</v>
      </c>
      <c r="D246" s="8"/>
      <c r="E246" t="s">
        <v>95</v>
      </c>
      <c r="F246" t="s">
        <v>151</v>
      </c>
      <c r="G246" t="s">
        <v>152</v>
      </c>
      <c r="H246" t="s">
        <v>153</v>
      </c>
      <c r="I246" t="s">
        <v>154</v>
      </c>
      <c r="J246" t="s">
        <v>155</v>
      </c>
      <c r="K246" s="8" t="str">
        <f t="shared" si="84"/>
        <v>DS3 v2</v>
      </c>
      <c r="L246" s="8">
        <f>VLOOKUP(K246,'Web-SKUS'!A:E,2,FALSE)</f>
        <v>4</v>
      </c>
      <c r="M246" s="8" t="str">
        <f>VLOOKUP(K246,'Web-SKUS'!A:E,4,FALSE)</f>
        <v>14</v>
      </c>
      <c r="N246" t="s">
        <v>684</v>
      </c>
      <c r="O246">
        <v>3</v>
      </c>
      <c r="P246" t="s">
        <v>157</v>
      </c>
      <c r="Q246" t="str">
        <f>IFERROR(VLOOKUP(B246,PercentCPU!B:F,4,FALSE),"")</f>
        <v/>
      </c>
      <c r="R246" t="str">
        <f>IFERROR(VLOOKUP(B246,MemoryAvailable!B:F,3,FALSE),"")</f>
        <v/>
      </c>
      <c r="S246" s="2" t="str">
        <f t="shared" si="65"/>
        <v/>
      </c>
      <c r="T246" t="str">
        <f t="shared" si="66"/>
        <v/>
      </c>
      <c r="U246" s="8">
        <f t="shared" si="67"/>
        <v>0</v>
      </c>
      <c r="V246" s="8" t="str">
        <f t="shared" si="68"/>
        <v/>
      </c>
      <c r="W246" s="8" t="str">
        <f>IFERROR(VLOOKUP(B246,Write_Bytes_ps!B:F,4,FALSE)/1024/1024,"")</f>
        <v/>
      </c>
      <c r="X246" s="8" t="str">
        <f>IFERROR(VLOOKUP(B246,Read_Bytes_ps!B:F,4,FALSE)/1024/1024,"")</f>
        <v/>
      </c>
      <c r="Y246" s="8" t="str">
        <f>IFERROR(VLOOKUP(B246,Writes_ps!B:F,5,FALSE),"")</f>
        <v/>
      </c>
      <c r="Z246" s="8" t="str">
        <f>IFERROR(VLOOKUP(B246,Reads_ps!B:F,5,FALSE),"")</f>
        <v/>
      </c>
      <c r="AA246" s="8">
        <f t="shared" si="82"/>
        <v>0</v>
      </c>
      <c r="AB246" s="122">
        <f t="shared" si="85"/>
        <v>0</v>
      </c>
      <c r="AC246" s="122" t="str">
        <f t="shared" si="69"/>
        <v>DS3 v2</v>
      </c>
      <c r="AE246" s="8" t="str">
        <f>IFERROR(VLOOKUP(AD246,'Web-SKUS'!A:E,2,FALSE),"")</f>
        <v/>
      </c>
      <c r="AF246" s="8">
        <f>_xlfn.NUMBERVALUE(IFERROR(VLOOKUP(AD246,'Web-SKUS'!A:E,4,FALSE),""))</f>
        <v>0</v>
      </c>
      <c r="AG246" s="8">
        <f>IFERROR(VLOOKUP(AD246,VM_Performance_Stats!A:G,7,FALSE),0)</f>
        <v>0</v>
      </c>
      <c r="AH246" s="8" t="str">
        <f>IFERROR(VLOOKUP(AD246,VM_Performance_Stats!A:I,8,FALSE),"")</f>
        <v/>
      </c>
      <c r="AI246" s="8">
        <f t="shared" si="70"/>
        <v>1</v>
      </c>
      <c r="AJ246" s="8">
        <f t="shared" si="71"/>
        <v>0</v>
      </c>
      <c r="AK246" s="8">
        <f>IFERROR(IF(VLOOKUP(AD246,VM_Performance_Stats!A:I,8,FALSE)&gt;AB246,1,0),0)</f>
        <v>0</v>
      </c>
      <c r="AL246" t="str">
        <f>IFERROR(VLOOKUP(AD246,'Web-SKUS'!A:G,7,FALSE),"")</f>
        <v/>
      </c>
      <c r="AM246" s="116" t="str">
        <f t="shared" si="72"/>
        <v/>
      </c>
      <c r="AN246" t="str">
        <f>IFERROR(IF(C246=1,VLOOKUP(K246,'Web-SKUS'!A:G,7,FALSE),VLOOKUP(K246,'Web-SKUS'!A:G,6,FALSE)),"")</f>
        <v>£147.9886/month</v>
      </c>
      <c r="AO246" s="116">
        <f t="shared" si="73"/>
        <v>147.98859999999999</v>
      </c>
      <c r="AP246" s="116">
        <f t="shared" si="74"/>
        <v>147.98859999999999</v>
      </c>
      <c r="AQ246" s="115">
        <f t="shared" si="75"/>
        <v>0</v>
      </c>
      <c r="AR246" s="115">
        <f t="shared" si="77"/>
        <v>0</v>
      </c>
      <c r="AS246" s="115" t="e">
        <f>VLOOKUP(B246,'Willie List'!B:M,12,FALSE)</f>
        <v>#N/A</v>
      </c>
      <c r="AT246" s="115" t="str">
        <f t="shared" si="78"/>
        <v>Standard_DS3_v2</v>
      </c>
      <c r="AU246" s="115" t="str">
        <f t="shared" si="79"/>
        <v>DS3 v2</v>
      </c>
      <c r="AV246">
        <f t="shared" si="80"/>
        <v>0</v>
      </c>
      <c r="AW246" s="8">
        <f t="shared" si="81"/>
        <v>0</v>
      </c>
    </row>
    <row r="247" spans="1:49">
      <c r="B247" t="s">
        <v>685</v>
      </c>
      <c r="C247" s="8">
        <f>IFERROR(IF(VLOOKUP(B247,'Willie List'!B:B,1,FALSE) &lt;&gt; "",1,0),0)</f>
        <v>0</v>
      </c>
      <c r="D247" s="8"/>
      <c r="E247" t="s">
        <v>95</v>
      </c>
      <c r="F247" t="s">
        <v>686</v>
      </c>
      <c r="G247" t="s">
        <v>152</v>
      </c>
      <c r="H247" t="s">
        <v>275</v>
      </c>
      <c r="I247" t="s">
        <v>276</v>
      </c>
      <c r="J247" t="s">
        <v>590</v>
      </c>
      <c r="K247" s="8" t="str">
        <f t="shared" si="84"/>
        <v>D13 v2</v>
      </c>
      <c r="L247" s="8">
        <f>VLOOKUP(K247,'Web-SKUS'!A:E,2,FALSE)</f>
        <v>8</v>
      </c>
      <c r="M247" s="8" t="str">
        <f>VLOOKUP(K247,'Web-SKUS'!A:E,4,FALSE)</f>
        <v>56</v>
      </c>
      <c r="N247" t="s">
        <v>687</v>
      </c>
      <c r="O247">
        <v>17</v>
      </c>
      <c r="P247" t="s">
        <v>457</v>
      </c>
      <c r="Q247" t="str">
        <f>IFERROR(VLOOKUP(B247,PercentCPU!B:F,4,FALSE),"")</f>
        <v/>
      </c>
      <c r="R247" t="str">
        <f>IFERROR(VLOOKUP(B247,MemoryAvailable!B:F,3,FALSE),"")</f>
        <v/>
      </c>
      <c r="S247" s="2" t="str">
        <f t="shared" si="65"/>
        <v/>
      </c>
      <c r="T247" t="str">
        <f t="shared" si="66"/>
        <v/>
      </c>
      <c r="U247" s="8">
        <f t="shared" si="67"/>
        <v>0</v>
      </c>
      <c r="V247" s="8" t="str">
        <f t="shared" si="68"/>
        <v/>
      </c>
      <c r="W247" s="8" t="str">
        <f>IFERROR(VLOOKUP(B247,Write_Bytes_ps!B:F,4,FALSE)/1024/1024,"")</f>
        <v/>
      </c>
      <c r="X247" s="8" t="str">
        <f>IFERROR(VLOOKUP(B247,Read_Bytes_ps!B:F,4,FALSE)/1024/1024,"")</f>
        <v/>
      </c>
      <c r="Y247" s="8" t="str">
        <f>IFERROR(VLOOKUP(B247,Writes_ps!B:F,5,FALSE),"")</f>
        <v/>
      </c>
      <c r="Z247" s="8" t="str">
        <f>IFERROR(VLOOKUP(B247,Reads_ps!B:F,5,FALSE),"")</f>
        <v/>
      </c>
      <c r="AA247" s="8">
        <f t="shared" si="82"/>
        <v>0</v>
      </c>
      <c r="AB247" s="122">
        <f t="shared" si="85"/>
        <v>0</v>
      </c>
      <c r="AC247" s="122" t="str">
        <f t="shared" si="69"/>
        <v>D13 v2</v>
      </c>
      <c r="AE247" s="8" t="str">
        <f>IFERROR(VLOOKUP(AD247,'Web-SKUS'!A:E,2,FALSE),"")</f>
        <v/>
      </c>
      <c r="AF247" s="8">
        <f>_xlfn.NUMBERVALUE(IFERROR(VLOOKUP(AD247,'Web-SKUS'!A:E,4,FALSE),""))</f>
        <v>0</v>
      </c>
      <c r="AG247" s="8">
        <f>IFERROR(VLOOKUP(AD247,VM_Performance_Stats!A:G,7,FALSE),0)</f>
        <v>0</v>
      </c>
      <c r="AH247" s="8" t="str">
        <f>IFERROR(VLOOKUP(AD247,VM_Performance_Stats!A:I,8,FALSE),"")</f>
        <v/>
      </c>
      <c r="AI247" s="8">
        <f t="shared" si="70"/>
        <v>1</v>
      </c>
      <c r="AJ247" s="8">
        <f t="shared" si="71"/>
        <v>0</v>
      </c>
      <c r="AK247" s="8">
        <f>IFERROR(IF(VLOOKUP(AD247,VM_Performance_Stats!A:I,8,FALSE)&gt;AB247,1,0),0)</f>
        <v>0</v>
      </c>
      <c r="AL247" t="str">
        <f>IFERROR(VLOOKUP(AD247,'Web-SKUS'!A:G,7,FALSE),"")</f>
        <v/>
      </c>
      <c r="AM247" s="116" t="str">
        <f t="shared" si="72"/>
        <v/>
      </c>
      <c r="AN247" t="str">
        <f>IFERROR(IF(C247=1,VLOOKUP(K247,'Web-SKUS'!A:G,7,FALSE),VLOOKUP(K247,'Web-SKUS'!A:G,6,FALSE)),"")</f>
        <v>£412.9534/month</v>
      </c>
      <c r="AO247" s="116">
        <f t="shared" si="73"/>
        <v>412.95339999999999</v>
      </c>
      <c r="AP247" s="116">
        <f t="shared" si="74"/>
        <v>412.95339999999999</v>
      </c>
      <c r="AQ247" s="115">
        <f t="shared" si="75"/>
        <v>0</v>
      </c>
      <c r="AR247" s="115">
        <f t="shared" si="77"/>
        <v>0</v>
      </c>
      <c r="AS247" s="115" t="e">
        <f>VLOOKUP(B247,'Willie List'!B:M,12,FALSE)</f>
        <v>#N/A</v>
      </c>
      <c r="AT247" s="115" t="str">
        <f t="shared" si="78"/>
        <v>Standard_D13_v2</v>
      </c>
      <c r="AU247" s="115" t="str">
        <f t="shared" si="79"/>
        <v>D13 v2</v>
      </c>
      <c r="AV247">
        <f t="shared" si="80"/>
        <v>0</v>
      </c>
      <c r="AW247" s="8">
        <f t="shared" si="81"/>
        <v>0</v>
      </c>
    </row>
    <row r="248" spans="1:49">
      <c r="B248" t="s">
        <v>688</v>
      </c>
      <c r="C248" s="8">
        <f>IFERROR(IF(VLOOKUP(B248,'Willie List'!B:B,1,FALSE) &lt;&gt; "",1,0),0)</f>
        <v>0</v>
      </c>
      <c r="D248" s="8"/>
      <c r="E248" t="s">
        <v>95</v>
      </c>
      <c r="F248" t="s">
        <v>689</v>
      </c>
      <c r="G248" t="s">
        <v>152</v>
      </c>
      <c r="H248" t="s">
        <v>153</v>
      </c>
      <c r="I248" t="s">
        <v>276</v>
      </c>
      <c r="J248" t="s">
        <v>39</v>
      </c>
      <c r="K248" s="8" t="str">
        <f t="shared" si="84"/>
        <v>D13</v>
      </c>
      <c r="L248" s="8">
        <f>VLOOKUP(K248,'Web-SKUS'!A:E,2,FALSE)</f>
        <v>8</v>
      </c>
      <c r="M248" s="8" t="str">
        <f>VLOOKUP(K248,'Web-SKUS'!A:E,4,FALSE)</f>
        <v>56</v>
      </c>
      <c r="N248" t="s">
        <v>690</v>
      </c>
      <c r="O248">
        <v>5</v>
      </c>
      <c r="P248" t="s">
        <v>157</v>
      </c>
      <c r="Q248" t="str">
        <f>IFERROR(VLOOKUP(B248,PercentCPU!B:F,4,FALSE),"")</f>
        <v/>
      </c>
      <c r="R248" t="str">
        <f>IFERROR(VLOOKUP(B248,MemoryAvailable!B:F,3,FALSE),"")</f>
        <v/>
      </c>
      <c r="S248" s="2" t="str">
        <f t="shared" si="65"/>
        <v/>
      </c>
      <c r="T248" t="str">
        <f t="shared" si="66"/>
        <v/>
      </c>
      <c r="U248" s="8">
        <f t="shared" si="67"/>
        <v>0</v>
      </c>
      <c r="V248" s="8" t="str">
        <f t="shared" si="68"/>
        <v/>
      </c>
      <c r="W248" s="8" t="str">
        <f>IFERROR(VLOOKUP(B248,Write_Bytes_ps!B:F,4,FALSE)/1024/1024,"")</f>
        <v/>
      </c>
      <c r="X248" s="8" t="str">
        <f>IFERROR(VLOOKUP(B248,Read_Bytes_ps!B:F,4,FALSE)/1024/1024,"")</f>
        <v/>
      </c>
      <c r="Y248" s="8" t="str">
        <f>IFERROR(VLOOKUP(B248,Writes_ps!B:F,5,FALSE),"")</f>
        <v/>
      </c>
      <c r="Z248" s="8" t="str">
        <f>IFERROR(VLOOKUP(B248,Reads_ps!B:F,5,FALSE),"")</f>
        <v/>
      </c>
      <c r="AA248" s="8">
        <f t="shared" si="82"/>
        <v>0</v>
      </c>
      <c r="AB248" s="122">
        <f t="shared" si="85"/>
        <v>0</v>
      </c>
      <c r="AC248" s="122" t="str">
        <f t="shared" si="69"/>
        <v>D13</v>
      </c>
      <c r="AE248" s="8" t="str">
        <f>IFERROR(VLOOKUP(AD248,'Web-SKUS'!A:E,2,FALSE),"")</f>
        <v/>
      </c>
      <c r="AF248" s="8">
        <f>_xlfn.NUMBERVALUE(IFERROR(VLOOKUP(AD248,'Web-SKUS'!A:E,4,FALSE),""))</f>
        <v>0</v>
      </c>
      <c r="AG248" s="8">
        <f>IFERROR(VLOOKUP(AD248,VM_Performance_Stats!A:G,7,FALSE),0)</f>
        <v>0</v>
      </c>
      <c r="AH248" s="8" t="str">
        <f>IFERROR(VLOOKUP(AD248,VM_Performance_Stats!A:I,8,FALSE),"")</f>
        <v/>
      </c>
      <c r="AI248" s="8">
        <f t="shared" si="70"/>
        <v>1</v>
      </c>
      <c r="AJ248" s="8">
        <f t="shared" si="71"/>
        <v>0</v>
      </c>
      <c r="AK248" s="8">
        <f>IFERROR(IF(VLOOKUP(AD248,VM_Performance_Stats!A:I,8,FALSE)&gt;AB248,1,0),0)</f>
        <v>0</v>
      </c>
      <c r="AL248" t="str">
        <f>IFERROR(VLOOKUP(AD248,'Web-SKUS'!A:G,7,FALSE),"")</f>
        <v/>
      </c>
      <c r="AM248" s="116" t="str">
        <f t="shared" si="72"/>
        <v/>
      </c>
      <c r="AN248" t="str">
        <f>IFERROR(IF(C248=1,VLOOKUP(K248,'Web-SKUS'!A:G,7,FALSE),VLOOKUP(K248,'Web-SKUS'!A:G,6,FALSE)),"")</f>
        <v>£412.9534/month</v>
      </c>
      <c r="AO248" s="116">
        <f t="shared" si="73"/>
        <v>412.95339999999999</v>
      </c>
      <c r="AP248" s="116">
        <f t="shared" si="74"/>
        <v>412.95339999999999</v>
      </c>
      <c r="AQ248" s="115">
        <f t="shared" si="75"/>
        <v>0</v>
      </c>
      <c r="AR248" s="115">
        <f t="shared" si="77"/>
        <v>0</v>
      </c>
      <c r="AS248" s="115" t="e">
        <f>VLOOKUP(B248,'Willie List'!B:M,12,FALSE)</f>
        <v>#N/A</v>
      </c>
      <c r="AT248" s="115" t="str">
        <f t="shared" si="78"/>
        <v>Standard_D13</v>
      </c>
      <c r="AU248" s="115" t="str">
        <f t="shared" si="79"/>
        <v>D13</v>
      </c>
      <c r="AV248">
        <f t="shared" si="80"/>
        <v>0</v>
      </c>
      <c r="AW248" s="8">
        <f t="shared" si="81"/>
        <v>0</v>
      </c>
    </row>
    <row r="249" spans="1:49">
      <c r="B249" t="s">
        <v>691</v>
      </c>
      <c r="C249" s="8">
        <f>IFERROR(IF(VLOOKUP(B249,'Willie List'!B:B,1,FALSE) &lt;&gt; "",1,0),0)</f>
        <v>0</v>
      </c>
      <c r="D249" s="8"/>
      <c r="E249" t="s">
        <v>95</v>
      </c>
      <c r="F249" t="s">
        <v>692</v>
      </c>
      <c r="G249" t="s">
        <v>152</v>
      </c>
      <c r="H249" t="s">
        <v>153</v>
      </c>
      <c r="I249" t="s">
        <v>276</v>
      </c>
      <c r="J249" t="s">
        <v>39</v>
      </c>
      <c r="K249" s="8" t="str">
        <f t="shared" si="84"/>
        <v>D13</v>
      </c>
      <c r="L249" s="8">
        <f>VLOOKUP(K249,'Web-SKUS'!A:E,2,FALSE)</f>
        <v>8</v>
      </c>
      <c r="M249" s="8" t="str">
        <f>VLOOKUP(K249,'Web-SKUS'!A:E,4,FALSE)</f>
        <v>56</v>
      </c>
      <c r="N249" t="s">
        <v>693</v>
      </c>
      <c r="O249">
        <v>5</v>
      </c>
      <c r="P249" t="s">
        <v>157</v>
      </c>
      <c r="Q249" t="str">
        <f>IFERROR(VLOOKUP(B249,PercentCPU!B:F,4,FALSE),"")</f>
        <v/>
      </c>
      <c r="R249" t="str">
        <f>IFERROR(VLOOKUP(B249,MemoryAvailable!B:F,3,FALSE),"")</f>
        <v/>
      </c>
      <c r="S249" s="2" t="str">
        <f t="shared" si="65"/>
        <v/>
      </c>
      <c r="T249" t="str">
        <f t="shared" si="66"/>
        <v/>
      </c>
      <c r="U249" s="8">
        <f t="shared" si="67"/>
        <v>0</v>
      </c>
      <c r="V249" s="8" t="str">
        <f t="shared" si="68"/>
        <v/>
      </c>
      <c r="W249" s="8" t="str">
        <f>IFERROR(VLOOKUP(B249,Write_Bytes_ps!B:F,4,FALSE)/1024/1024,"")</f>
        <v/>
      </c>
      <c r="X249" s="8" t="str">
        <f>IFERROR(VLOOKUP(B249,Read_Bytes_ps!B:F,4,FALSE)/1024/1024,"")</f>
        <v/>
      </c>
      <c r="Y249" s="8" t="str">
        <f>IFERROR(VLOOKUP(B249,Writes_ps!B:F,5,FALSE),"")</f>
        <v/>
      </c>
      <c r="Z249" s="8" t="str">
        <f>IFERROR(VLOOKUP(B249,Reads_ps!B:F,5,FALSE),"")</f>
        <v/>
      </c>
      <c r="AA249" s="8">
        <f t="shared" si="82"/>
        <v>0</v>
      </c>
      <c r="AB249" s="122">
        <f t="shared" si="85"/>
        <v>0</v>
      </c>
      <c r="AC249" s="122" t="str">
        <f t="shared" si="69"/>
        <v>D13</v>
      </c>
      <c r="AE249" s="8" t="str">
        <f>IFERROR(VLOOKUP(AD249,'Web-SKUS'!A:E,2,FALSE),"")</f>
        <v/>
      </c>
      <c r="AF249" s="8">
        <f>_xlfn.NUMBERVALUE(IFERROR(VLOOKUP(AD249,'Web-SKUS'!A:E,4,FALSE),""))</f>
        <v>0</v>
      </c>
      <c r="AG249" s="8">
        <f>IFERROR(VLOOKUP(AD249,VM_Performance_Stats!A:G,7,FALSE),0)</f>
        <v>0</v>
      </c>
      <c r="AH249" s="8" t="str">
        <f>IFERROR(VLOOKUP(AD249,VM_Performance_Stats!A:I,8,FALSE),"")</f>
        <v/>
      </c>
      <c r="AI249" s="8">
        <f t="shared" si="70"/>
        <v>1</v>
      </c>
      <c r="AJ249" s="8">
        <f t="shared" si="71"/>
        <v>0</v>
      </c>
      <c r="AK249" s="8">
        <f>IFERROR(IF(VLOOKUP(AD249,VM_Performance_Stats!A:I,8,FALSE)&gt;AB249,1,0),0)</f>
        <v>0</v>
      </c>
      <c r="AL249" t="str">
        <f>IFERROR(VLOOKUP(AD249,'Web-SKUS'!A:G,7,FALSE),"")</f>
        <v/>
      </c>
      <c r="AM249" s="116" t="str">
        <f t="shared" si="72"/>
        <v/>
      </c>
      <c r="AN249" t="str">
        <f>IFERROR(IF(C249=1,VLOOKUP(K249,'Web-SKUS'!A:G,7,FALSE),VLOOKUP(K249,'Web-SKUS'!A:G,6,FALSE)),"")</f>
        <v>£412.9534/month</v>
      </c>
      <c r="AO249" s="116">
        <f t="shared" si="73"/>
        <v>412.95339999999999</v>
      </c>
      <c r="AP249" s="116">
        <f t="shared" si="74"/>
        <v>412.95339999999999</v>
      </c>
      <c r="AQ249" s="115">
        <f t="shared" si="75"/>
        <v>0</v>
      </c>
      <c r="AR249" s="115">
        <f t="shared" si="77"/>
        <v>0</v>
      </c>
      <c r="AS249" s="115" t="e">
        <f>VLOOKUP(B249,'Willie List'!B:M,12,FALSE)</f>
        <v>#N/A</v>
      </c>
      <c r="AT249" s="115" t="str">
        <f t="shared" si="78"/>
        <v>Standard_D13</v>
      </c>
      <c r="AU249" s="115" t="str">
        <f t="shared" si="79"/>
        <v>D13</v>
      </c>
      <c r="AV249">
        <f t="shared" si="80"/>
        <v>0</v>
      </c>
      <c r="AW249" s="8">
        <f t="shared" si="81"/>
        <v>0</v>
      </c>
    </row>
    <row r="250" spans="1:49">
      <c r="B250" t="s">
        <v>694</v>
      </c>
      <c r="C250" s="8">
        <f>IFERROR(IF(VLOOKUP(B250,'Willie List'!B:B,1,FALSE) &lt;&gt; "",1,0),0)</f>
        <v>0</v>
      </c>
      <c r="D250" s="8"/>
      <c r="E250" t="s">
        <v>695</v>
      </c>
      <c r="F250" t="s">
        <v>696</v>
      </c>
      <c r="G250" t="s">
        <v>152</v>
      </c>
      <c r="H250" t="s">
        <v>275</v>
      </c>
      <c r="I250" t="s">
        <v>276</v>
      </c>
      <c r="J250" t="s">
        <v>39</v>
      </c>
      <c r="K250" s="8" t="str">
        <f t="shared" si="84"/>
        <v>D13</v>
      </c>
      <c r="L250" s="8">
        <f>VLOOKUP(K250,'Web-SKUS'!A:E,2,FALSE)</f>
        <v>8</v>
      </c>
      <c r="M250" s="8" t="str">
        <f>VLOOKUP(K250,'Web-SKUS'!A:E,4,FALSE)</f>
        <v>56</v>
      </c>
      <c r="N250" t="s">
        <v>697</v>
      </c>
      <c r="O250">
        <v>5</v>
      </c>
      <c r="P250" t="s">
        <v>157</v>
      </c>
      <c r="Q250" t="str">
        <f>IFERROR(VLOOKUP(B250,PercentCPU!B:F,4,FALSE),"")</f>
        <v/>
      </c>
      <c r="R250" t="str">
        <f>IFERROR(VLOOKUP(B250,MemoryAvailable!B:F,3,FALSE),"")</f>
        <v/>
      </c>
      <c r="S250" s="2" t="str">
        <f t="shared" si="65"/>
        <v/>
      </c>
      <c r="T250" t="str">
        <f t="shared" si="66"/>
        <v/>
      </c>
      <c r="U250" s="8">
        <f t="shared" si="67"/>
        <v>0</v>
      </c>
      <c r="V250" s="8" t="str">
        <f t="shared" si="68"/>
        <v/>
      </c>
      <c r="W250" s="8" t="str">
        <f>IFERROR(VLOOKUP(B250,Write_Bytes_ps!B:F,4,FALSE)/1024/1024,"")</f>
        <v/>
      </c>
      <c r="X250" s="8" t="str">
        <f>IFERROR(VLOOKUP(B250,Read_Bytes_ps!B:F,4,FALSE)/1024/1024,"")</f>
        <v/>
      </c>
      <c r="Y250" s="8" t="str">
        <f>IFERROR(VLOOKUP(B250,Writes_ps!B:F,5,FALSE),"")</f>
        <v/>
      </c>
      <c r="Z250" s="8" t="str">
        <f>IFERROR(VLOOKUP(B250,Reads_ps!B:F,5,FALSE),"")</f>
        <v/>
      </c>
      <c r="AA250" s="8">
        <f t="shared" si="82"/>
        <v>0</v>
      </c>
      <c r="AB250" s="122">
        <f t="shared" si="85"/>
        <v>0</v>
      </c>
      <c r="AC250" s="122" t="str">
        <f t="shared" si="69"/>
        <v>D13</v>
      </c>
      <c r="AE250" s="8" t="str">
        <f>IFERROR(VLOOKUP(AD250,'Web-SKUS'!A:E,2,FALSE),"")</f>
        <v/>
      </c>
      <c r="AF250" s="8">
        <f>_xlfn.NUMBERVALUE(IFERROR(VLOOKUP(AD250,'Web-SKUS'!A:E,4,FALSE),""))</f>
        <v>0</v>
      </c>
      <c r="AG250" s="8">
        <f>IFERROR(VLOOKUP(AD250,VM_Performance_Stats!A:G,7,FALSE),0)</f>
        <v>0</v>
      </c>
      <c r="AH250" s="8" t="str">
        <f>IFERROR(VLOOKUP(AD250,VM_Performance_Stats!A:I,8,FALSE),"")</f>
        <v/>
      </c>
      <c r="AI250" s="8">
        <f t="shared" si="70"/>
        <v>1</v>
      </c>
      <c r="AJ250" s="8">
        <f t="shared" si="71"/>
        <v>0</v>
      </c>
      <c r="AK250" s="8">
        <f>IFERROR(IF(VLOOKUP(AD250,VM_Performance_Stats!A:I,8,FALSE)&gt;AB250,1,0),0)</f>
        <v>0</v>
      </c>
      <c r="AL250" t="str">
        <f>IFERROR(VLOOKUP(AD250,'Web-SKUS'!A:G,7,FALSE),"")</f>
        <v/>
      </c>
      <c r="AM250" s="116" t="str">
        <f t="shared" si="72"/>
        <v/>
      </c>
      <c r="AN250" t="str">
        <f>IFERROR(IF(C250=1,VLOOKUP(K250,'Web-SKUS'!A:G,7,FALSE),VLOOKUP(K250,'Web-SKUS'!A:G,6,FALSE)),"")</f>
        <v>£412.9534/month</v>
      </c>
      <c r="AO250" s="116">
        <f t="shared" si="73"/>
        <v>412.95339999999999</v>
      </c>
      <c r="AP250" s="116">
        <f t="shared" si="74"/>
        <v>412.95339999999999</v>
      </c>
      <c r="AQ250" s="115">
        <f t="shared" si="75"/>
        <v>0</v>
      </c>
      <c r="AR250" s="115">
        <f t="shared" si="77"/>
        <v>0</v>
      </c>
      <c r="AS250" s="115" t="e">
        <f>VLOOKUP(B250,'Willie List'!B:M,12,FALSE)</f>
        <v>#N/A</v>
      </c>
      <c r="AT250" s="115" t="str">
        <f t="shared" si="78"/>
        <v>Standard_D13</v>
      </c>
      <c r="AU250" s="115" t="str">
        <f t="shared" si="79"/>
        <v>D13</v>
      </c>
      <c r="AV250">
        <f t="shared" si="80"/>
        <v>0</v>
      </c>
      <c r="AW250" s="8">
        <f t="shared" si="81"/>
        <v>0</v>
      </c>
    </row>
    <row r="251" spans="1:49">
      <c r="B251" t="s">
        <v>698</v>
      </c>
      <c r="C251" s="8">
        <f>IFERROR(IF(VLOOKUP(B251,'Willie List'!B:B,1,FALSE) &lt;&gt; "",1,0),0)</f>
        <v>0</v>
      </c>
      <c r="D251" s="8"/>
      <c r="E251" t="s">
        <v>95</v>
      </c>
      <c r="F251" t="s">
        <v>699</v>
      </c>
      <c r="G251" t="s">
        <v>297</v>
      </c>
      <c r="H251" t="s">
        <v>153</v>
      </c>
      <c r="I251" t="s">
        <v>276</v>
      </c>
      <c r="J251" t="s">
        <v>700</v>
      </c>
      <c r="K251" s="8" t="str">
        <f t="shared" si="84"/>
        <v>D12</v>
      </c>
      <c r="L251" s="8">
        <f>VLOOKUP(K251,'Web-SKUS'!A:E,2,FALSE)</f>
        <v>4</v>
      </c>
      <c r="M251" s="8" t="str">
        <f>VLOOKUP(K251,'Web-SKUS'!A:E,4,FALSE)</f>
        <v>28</v>
      </c>
      <c r="N251" t="s">
        <v>701</v>
      </c>
      <c r="O251">
        <v>5</v>
      </c>
      <c r="P251" t="s">
        <v>157</v>
      </c>
      <c r="Q251" t="str">
        <f>IFERROR(VLOOKUP(B251,PercentCPU!B:F,4,FALSE),"")</f>
        <v/>
      </c>
      <c r="R251" t="str">
        <f>IFERROR(VLOOKUP(B251,MemoryAvailable!B:F,3,FALSE),"")</f>
        <v/>
      </c>
      <c r="S251" s="2" t="str">
        <f t="shared" ref="S251:S313" si="86">IFERROR(100%-(R251/(M251*1024)),"")</f>
        <v/>
      </c>
      <c r="T251" t="str">
        <f t="shared" ref="T251:T313" si="87">IFERROR(ROUNDUP(Q251/100*L251,0),"")</f>
        <v/>
      </c>
      <c r="U251" s="8">
        <f t="shared" ref="U251:U313" si="88">IFERROR(ROUND(S251*M251,0),0)</f>
        <v>0</v>
      </c>
      <c r="V251" s="8" t="str">
        <f t="shared" ref="V251:V313" si="89">IFERROR(IF(T251/U251 = 0.25, "D Series",IF(T251/U251 = 0.5, "F Series",IF(T251/U251 = 0.125, "E Series", ) ) ),"")</f>
        <v/>
      </c>
      <c r="W251" s="8" t="str">
        <f>IFERROR(VLOOKUP(B251,Write_Bytes_ps!B:F,4,FALSE)/1024/1024,"")</f>
        <v/>
      </c>
      <c r="X251" s="8" t="str">
        <f>IFERROR(VLOOKUP(B251,Read_Bytes_ps!B:F,4,FALSE)/1024/1024,"")</f>
        <v/>
      </c>
      <c r="Y251" s="8" t="str">
        <f>IFERROR(VLOOKUP(B251,Writes_ps!B:F,5,FALSE),"")</f>
        <v/>
      </c>
      <c r="Z251" s="8" t="str">
        <f>IFERROR(VLOOKUP(B251,Reads_ps!B:F,5,FALSE),"")</f>
        <v/>
      </c>
      <c r="AA251" s="8">
        <f t="shared" si="82"/>
        <v>0</v>
      </c>
      <c r="AB251" s="122">
        <f t="shared" si="85"/>
        <v>0</v>
      </c>
      <c r="AC251" s="122" t="str">
        <f t="shared" ref="AC251:AC313" si="90">K251</f>
        <v>D12</v>
      </c>
      <c r="AE251" s="8" t="str">
        <f>IFERROR(VLOOKUP(AD251,'Web-SKUS'!A:E,2,FALSE),"")</f>
        <v/>
      </c>
      <c r="AF251" s="8">
        <f>_xlfn.NUMBERVALUE(IFERROR(VLOOKUP(AD251,'Web-SKUS'!A:E,4,FALSE),""))</f>
        <v>0</v>
      </c>
      <c r="AG251" s="8">
        <f>IFERROR(VLOOKUP(AD251,VM_Performance_Stats!A:G,7,FALSE),0)</f>
        <v>0</v>
      </c>
      <c r="AH251" s="8" t="str">
        <f>IFERROR(VLOOKUP(AD251,VM_Performance_Stats!A:I,8,FALSE),"")</f>
        <v/>
      </c>
      <c r="AI251" s="8">
        <f t="shared" ref="AI251:AI313" si="91">IFERROR(IF(AF251&lt;U251,0,1),0)</f>
        <v>1</v>
      </c>
      <c r="AJ251" s="8">
        <f t="shared" ref="AJ251:AJ313" si="92">IF(AG251&lt;O251,0,1)</f>
        <v>0</v>
      </c>
      <c r="AK251" s="8">
        <f>IFERROR(IF(VLOOKUP(AD251,VM_Performance_Stats!A:I,8,FALSE)&gt;AB251,1,0),0)</f>
        <v>0</v>
      </c>
      <c r="AL251" t="str">
        <f>IFERROR(VLOOKUP(AD251,'Web-SKUS'!A:G,7,FALSE),"")</f>
        <v/>
      </c>
      <c r="AM251" s="116" t="str">
        <f t="shared" ref="AM251:AM313" si="93">IFERROR(_xlfn.NUMBERVALUE(REPLACE(REPLACE(AL251,FIND("/month",AL251,1),6,),FIND("£",REPLACE(AL251,FIND("/month",AL251,1),6,),1),1,),".",","),"")</f>
        <v/>
      </c>
      <c r="AN251" t="str">
        <f>IFERROR(IF(C251=1,VLOOKUP(K251,'Web-SKUS'!A:G,7,FALSE),VLOOKUP(K251,'Web-SKUS'!A:G,6,FALSE)),"")</f>
        <v>£206.2047/month</v>
      </c>
      <c r="AO251" s="116">
        <f t="shared" ref="AO251:AO313" si="94">IFERROR(_xlfn.NUMBERVALUE(REPLACE(REPLACE(AN251,FIND("/month",AN251,1),6,),FIND("£",REPLACE(AN251,FIND("/month",AN251,1),6,),1),1,),".",","),"")</f>
        <v>206.2047</v>
      </c>
      <c r="AP251" s="116">
        <f t="shared" ref="AP251:AP313" si="95">IF(_xlfn.NUMBERVALUE(AM251,".",",")&gt;0,AM251,AO251)</f>
        <v>206.2047</v>
      </c>
      <c r="AQ251" s="115">
        <f t="shared" ref="AQ251:AQ313" si="96">IFERROR(IF(AM251&gt;0,AO251-AM251,0),0)</f>
        <v>0</v>
      </c>
      <c r="AR251" s="115">
        <f t="shared" si="77"/>
        <v>0</v>
      </c>
      <c r="AS251" s="115" t="e">
        <f>VLOOKUP(B251,'Willie List'!B:M,12,FALSE)</f>
        <v>#N/A</v>
      </c>
      <c r="AT251" s="115" t="str">
        <f t="shared" si="78"/>
        <v>Standard_D12</v>
      </c>
      <c r="AU251" s="115" t="str">
        <f t="shared" si="79"/>
        <v>D12</v>
      </c>
      <c r="AV251">
        <f t="shared" si="80"/>
        <v>0</v>
      </c>
      <c r="AW251" s="8">
        <f t="shared" si="81"/>
        <v>0</v>
      </c>
    </row>
    <row r="252" spans="1:49">
      <c r="B252" t="s">
        <v>702</v>
      </c>
      <c r="C252" s="8">
        <f>IFERROR(IF(VLOOKUP(B252,'Willie List'!B:B,1,FALSE) &lt;&gt; "",1,0),0)</f>
        <v>0</v>
      </c>
      <c r="D252" s="8"/>
      <c r="E252" t="s">
        <v>95</v>
      </c>
      <c r="F252" t="s">
        <v>703</v>
      </c>
      <c r="G252" t="s">
        <v>152</v>
      </c>
      <c r="H252" t="s">
        <v>275</v>
      </c>
      <c r="I252" t="s">
        <v>276</v>
      </c>
      <c r="J252" t="s">
        <v>39</v>
      </c>
      <c r="K252" s="8" t="str">
        <f t="shared" si="84"/>
        <v>D13</v>
      </c>
      <c r="L252" s="8">
        <f>VLOOKUP(K252,'Web-SKUS'!A:E,2,FALSE)</f>
        <v>8</v>
      </c>
      <c r="M252" s="8" t="str">
        <f>VLOOKUP(K252,'Web-SKUS'!A:E,4,FALSE)</f>
        <v>56</v>
      </c>
      <c r="N252" t="s">
        <v>704</v>
      </c>
      <c r="O252">
        <v>5</v>
      </c>
      <c r="P252" t="s">
        <v>157</v>
      </c>
      <c r="Q252" t="str">
        <f>IFERROR(VLOOKUP(B252,PercentCPU!B:F,4,FALSE),"")</f>
        <v/>
      </c>
      <c r="R252" t="str">
        <f>IFERROR(VLOOKUP(B252,MemoryAvailable!B:F,3,FALSE),"")</f>
        <v/>
      </c>
      <c r="S252" s="2" t="str">
        <f t="shared" si="86"/>
        <v/>
      </c>
      <c r="T252" t="str">
        <f t="shared" si="87"/>
        <v/>
      </c>
      <c r="U252" s="8">
        <f t="shared" si="88"/>
        <v>0</v>
      </c>
      <c r="V252" s="8" t="str">
        <f t="shared" si="89"/>
        <v/>
      </c>
      <c r="W252" s="8" t="str">
        <f>IFERROR(VLOOKUP(B252,Write_Bytes_ps!B:F,4,FALSE)/1024/1024,"")</f>
        <v/>
      </c>
      <c r="X252" s="8" t="str">
        <f>IFERROR(VLOOKUP(B252,Read_Bytes_ps!B:F,4,FALSE)/1024/1024,"")</f>
        <v/>
      </c>
      <c r="Y252" s="8" t="str">
        <f>IFERROR(VLOOKUP(B252,Writes_ps!B:F,5,FALSE),"")</f>
        <v/>
      </c>
      <c r="Z252" s="8" t="str">
        <f>IFERROR(VLOOKUP(B252,Reads_ps!B:F,5,FALSE),"")</f>
        <v/>
      </c>
      <c r="AA252" s="8">
        <f t="shared" si="82"/>
        <v>0</v>
      </c>
      <c r="AB252" s="122">
        <f t="shared" si="85"/>
        <v>0</v>
      </c>
      <c r="AC252" s="122" t="str">
        <f t="shared" si="90"/>
        <v>D13</v>
      </c>
      <c r="AE252" s="8" t="str">
        <f>IFERROR(VLOOKUP(AD252,'Web-SKUS'!A:E,2,FALSE),"")</f>
        <v/>
      </c>
      <c r="AF252" s="8">
        <f>_xlfn.NUMBERVALUE(IFERROR(VLOOKUP(AD252,'Web-SKUS'!A:E,4,FALSE),""))</f>
        <v>0</v>
      </c>
      <c r="AG252" s="8">
        <f>IFERROR(VLOOKUP(AD252,VM_Performance_Stats!A:G,7,FALSE),0)</f>
        <v>0</v>
      </c>
      <c r="AH252" s="8" t="str">
        <f>IFERROR(VLOOKUP(AD252,VM_Performance_Stats!A:I,8,FALSE),"")</f>
        <v/>
      </c>
      <c r="AI252" s="8">
        <f t="shared" si="91"/>
        <v>1</v>
      </c>
      <c r="AJ252" s="8">
        <f t="shared" si="92"/>
        <v>0</v>
      </c>
      <c r="AK252" s="8">
        <f>IFERROR(IF(VLOOKUP(AD252,VM_Performance_Stats!A:I,8,FALSE)&gt;AB252,1,0),0)</f>
        <v>0</v>
      </c>
      <c r="AL252" t="str">
        <f>IFERROR(VLOOKUP(AD252,'Web-SKUS'!A:G,7,FALSE),"")</f>
        <v/>
      </c>
      <c r="AM252" s="116" t="str">
        <f t="shared" si="93"/>
        <v/>
      </c>
      <c r="AN252" t="str">
        <f>IFERROR(IF(C252=1,VLOOKUP(K252,'Web-SKUS'!A:G,7,FALSE),VLOOKUP(K252,'Web-SKUS'!A:G,6,FALSE)),"")</f>
        <v>£412.9534/month</v>
      </c>
      <c r="AO252" s="116">
        <f t="shared" si="94"/>
        <v>412.95339999999999</v>
      </c>
      <c r="AP252" s="116">
        <f t="shared" si="95"/>
        <v>412.95339999999999</v>
      </c>
      <c r="AQ252" s="115">
        <f t="shared" si="96"/>
        <v>0</v>
      </c>
      <c r="AR252" s="115">
        <f t="shared" si="77"/>
        <v>0</v>
      </c>
      <c r="AS252" s="115" t="e">
        <f>VLOOKUP(B252,'Willie List'!B:M,12,FALSE)</f>
        <v>#N/A</v>
      </c>
      <c r="AT252" s="115" t="str">
        <f t="shared" si="78"/>
        <v>Standard_D13</v>
      </c>
      <c r="AU252" s="115" t="str">
        <f t="shared" si="79"/>
        <v>D13</v>
      </c>
      <c r="AV252">
        <f t="shared" si="80"/>
        <v>0</v>
      </c>
      <c r="AW252" s="8">
        <f t="shared" si="81"/>
        <v>0</v>
      </c>
    </row>
    <row r="253" spans="1:49">
      <c r="B253" t="s">
        <v>705</v>
      </c>
      <c r="C253" s="8">
        <f>IFERROR(IF(VLOOKUP(B253,'Willie List'!B:B,1,FALSE) &lt;&gt; "",1,0),0)</f>
        <v>0</v>
      </c>
      <c r="D253" s="8"/>
      <c r="E253" t="s">
        <v>95</v>
      </c>
      <c r="F253" t="s">
        <v>706</v>
      </c>
      <c r="G253" t="s">
        <v>152</v>
      </c>
      <c r="H253" t="s">
        <v>153</v>
      </c>
      <c r="I253" t="s">
        <v>276</v>
      </c>
      <c r="J253" t="s">
        <v>39</v>
      </c>
      <c r="K253" s="8" t="str">
        <f t="shared" si="84"/>
        <v>D13</v>
      </c>
      <c r="L253" s="8">
        <f>VLOOKUP(K253,'Web-SKUS'!A:E,2,FALSE)</f>
        <v>8</v>
      </c>
      <c r="M253" s="8" t="str">
        <f>VLOOKUP(K253,'Web-SKUS'!A:E,4,FALSE)</f>
        <v>56</v>
      </c>
      <c r="N253" t="s">
        <v>707</v>
      </c>
      <c r="O253">
        <v>5</v>
      </c>
      <c r="P253" t="s">
        <v>157</v>
      </c>
      <c r="Q253" t="str">
        <f>IFERROR(VLOOKUP(B253,PercentCPU!B:F,4,FALSE),"")</f>
        <v/>
      </c>
      <c r="R253" t="str">
        <f>IFERROR(VLOOKUP(B253,MemoryAvailable!B:F,3,FALSE),"")</f>
        <v/>
      </c>
      <c r="S253" s="2" t="str">
        <f t="shared" si="86"/>
        <v/>
      </c>
      <c r="T253" t="str">
        <f t="shared" si="87"/>
        <v/>
      </c>
      <c r="U253" s="8">
        <f t="shared" si="88"/>
        <v>0</v>
      </c>
      <c r="V253" s="8" t="str">
        <f t="shared" si="89"/>
        <v/>
      </c>
      <c r="W253" s="8" t="str">
        <f>IFERROR(VLOOKUP(B253,Write_Bytes_ps!B:F,4,FALSE)/1024/1024,"")</f>
        <v/>
      </c>
      <c r="X253" s="8" t="str">
        <f>IFERROR(VLOOKUP(B253,Read_Bytes_ps!B:F,4,FALSE)/1024/1024,"")</f>
        <v/>
      </c>
      <c r="Y253" s="8" t="str">
        <f>IFERROR(VLOOKUP(B253,Writes_ps!B:F,5,FALSE),"")</f>
        <v/>
      </c>
      <c r="Z253" s="8" t="str">
        <f>IFERROR(VLOOKUP(B253,Reads_ps!B:F,5,FALSE),"")</f>
        <v/>
      </c>
      <c r="AA253" s="8">
        <f t="shared" si="82"/>
        <v>0</v>
      </c>
      <c r="AB253" s="122">
        <f t="shared" si="85"/>
        <v>0</v>
      </c>
      <c r="AC253" s="122" t="str">
        <f t="shared" si="90"/>
        <v>D13</v>
      </c>
      <c r="AE253" s="8" t="str">
        <f>IFERROR(VLOOKUP(AD253,'Web-SKUS'!A:E,2,FALSE),"")</f>
        <v/>
      </c>
      <c r="AF253" s="8">
        <f>_xlfn.NUMBERVALUE(IFERROR(VLOOKUP(AD253,'Web-SKUS'!A:E,4,FALSE),""))</f>
        <v>0</v>
      </c>
      <c r="AG253" s="8">
        <f>IFERROR(VLOOKUP(AD253,VM_Performance_Stats!A:G,7,FALSE),0)</f>
        <v>0</v>
      </c>
      <c r="AH253" s="8" t="str">
        <f>IFERROR(VLOOKUP(AD253,VM_Performance_Stats!A:I,8,FALSE),"")</f>
        <v/>
      </c>
      <c r="AI253" s="8">
        <f t="shared" si="91"/>
        <v>1</v>
      </c>
      <c r="AJ253" s="8">
        <f t="shared" si="92"/>
        <v>0</v>
      </c>
      <c r="AK253" s="8">
        <f>IFERROR(IF(VLOOKUP(AD253,VM_Performance_Stats!A:I,8,FALSE)&gt;AB253,1,0),0)</f>
        <v>0</v>
      </c>
      <c r="AL253" t="str">
        <f>IFERROR(VLOOKUP(AD253,'Web-SKUS'!A:G,7,FALSE),"")</f>
        <v/>
      </c>
      <c r="AM253" s="116" t="str">
        <f t="shared" si="93"/>
        <v/>
      </c>
      <c r="AN253" t="str">
        <f>IFERROR(IF(C253=1,VLOOKUP(K253,'Web-SKUS'!A:G,7,FALSE),VLOOKUP(K253,'Web-SKUS'!A:G,6,FALSE)),"")</f>
        <v>£412.9534/month</v>
      </c>
      <c r="AO253" s="116">
        <f t="shared" si="94"/>
        <v>412.95339999999999</v>
      </c>
      <c r="AP253" s="116">
        <f t="shared" si="95"/>
        <v>412.95339999999999</v>
      </c>
      <c r="AQ253" s="115">
        <f t="shared" si="96"/>
        <v>0</v>
      </c>
      <c r="AR253" s="115">
        <f t="shared" si="77"/>
        <v>0</v>
      </c>
      <c r="AS253" s="115" t="e">
        <f>VLOOKUP(B253,'Willie List'!B:M,12,FALSE)</f>
        <v>#N/A</v>
      </c>
      <c r="AT253" s="115" t="str">
        <f t="shared" si="78"/>
        <v>Standard_D13</v>
      </c>
      <c r="AU253" s="115" t="str">
        <f t="shared" si="79"/>
        <v>D13</v>
      </c>
      <c r="AV253">
        <f t="shared" si="80"/>
        <v>0</v>
      </c>
      <c r="AW253" s="8">
        <f t="shared" si="81"/>
        <v>0</v>
      </c>
    </row>
    <row r="254" spans="1:49">
      <c r="B254" t="s">
        <v>708</v>
      </c>
      <c r="C254" s="8">
        <f>IFERROR(IF(VLOOKUP(B254,'Willie List'!B:B,1,FALSE) &lt;&gt; "",1,0),0)</f>
        <v>0</v>
      </c>
      <c r="D254" s="8"/>
      <c r="E254" t="s">
        <v>95</v>
      </c>
      <c r="F254" t="s">
        <v>709</v>
      </c>
      <c r="G254" t="s">
        <v>152</v>
      </c>
      <c r="H254" t="s">
        <v>153</v>
      </c>
      <c r="I254" t="s">
        <v>276</v>
      </c>
      <c r="J254" t="s">
        <v>39</v>
      </c>
      <c r="K254" s="8" t="str">
        <f t="shared" si="84"/>
        <v>D13</v>
      </c>
      <c r="L254" s="8">
        <f>VLOOKUP(K254,'Web-SKUS'!A:E,2,FALSE)</f>
        <v>8</v>
      </c>
      <c r="M254" s="8" t="str">
        <f>VLOOKUP(K254,'Web-SKUS'!A:E,4,FALSE)</f>
        <v>56</v>
      </c>
      <c r="N254" t="s">
        <v>710</v>
      </c>
      <c r="O254">
        <v>5</v>
      </c>
      <c r="P254" t="s">
        <v>157</v>
      </c>
      <c r="Q254" t="str">
        <f>IFERROR(VLOOKUP(B254,PercentCPU!B:F,4,FALSE),"")</f>
        <v/>
      </c>
      <c r="R254" t="str">
        <f>IFERROR(VLOOKUP(B254,MemoryAvailable!B:F,3,FALSE),"")</f>
        <v/>
      </c>
      <c r="S254" s="2" t="str">
        <f t="shared" si="86"/>
        <v/>
      </c>
      <c r="T254" t="str">
        <f t="shared" si="87"/>
        <v/>
      </c>
      <c r="U254" s="8">
        <f t="shared" si="88"/>
        <v>0</v>
      </c>
      <c r="V254" s="8" t="str">
        <f t="shared" si="89"/>
        <v/>
      </c>
      <c r="W254" s="8" t="str">
        <f>IFERROR(VLOOKUP(B254,Write_Bytes_ps!B:F,4,FALSE)/1024/1024,"")</f>
        <v/>
      </c>
      <c r="X254" s="8" t="str">
        <f>IFERROR(VLOOKUP(B254,Read_Bytes_ps!B:F,4,FALSE)/1024/1024,"")</f>
        <v/>
      </c>
      <c r="Y254" s="8" t="str">
        <f>IFERROR(VLOOKUP(B254,Writes_ps!B:F,5,FALSE),"")</f>
        <v/>
      </c>
      <c r="Z254" s="8" t="str">
        <f>IFERROR(VLOOKUP(B254,Reads_ps!B:F,5,FALSE),"")</f>
        <v/>
      </c>
      <c r="AA254" s="8">
        <f t="shared" si="82"/>
        <v>0</v>
      </c>
      <c r="AB254" s="122">
        <f t="shared" si="85"/>
        <v>0</v>
      </c>
      <c r="AC254" s="122" t="str">
        <f t="shared" si="90"/>
        <v>D13</v>
      </c>
      <c r="AE254" s="8" t="str">
        <f>IFERROR(VLOOKUP(AD254,'Web-SKUS'!A:E,2,FALSE),"")</f>
        <v/>
      </c>
      <c r="AF254" s="8">
        <f>_xlfn.NUMBERVALUE(IFERROR(VLOOKUP(AD254,'Web-SKUS'!A:E,4,FALSE),""))</f>
        <v>0</v>
      </c>
      <c r="AG254" s="8">
        <f>IFERROR(VLOOKUP(AD254,VM_Performance_Stats!A:G,7,FALSE),0)</f>
        <v>0</v>
      </c>
      <c r="AH254" s="8" t="str">
        <f>IFERROR(VLOOKUP(AD254,VM_Performance_Stats!A:I,8,FALSE),"")</f>
        <v/>
      </c>
      <c r="AI254" s="8">
        <f t="shared" si="91"/>
        <v>1</v>
      </c>
      <c r="AJ254" s="8">
        <f t="shared" si="92"/>
        <v>0</v>
      </c>
      <c r="AK254" s="8">
        <f>IFERROR(IF(VLOOKUP(AD254,VM_Performance_Stats!A:I,8,FALSE)&gt;AB254,1,0),0)</f>
        <v>0</v>
      </c>
      <c r="AL254" t="str">
        <f>IFERROR(VLOOKUP(AD254,'Web-SKUS'!A:G,7,FALSE),"")</f>
        <v/>
      </c>
      <c r="AM254" s="116" t="str">
        <f t="shared" si="93"/>
        <v/>
      </c>
      <c r="AN254" t="str">
        <f>IFERROR(IF(C254=1,VLOOKUP(K254,'Web-SKUS'!A:G,7,FALSE),VLOOKUP(K254,'Web-SKUS'!A:G,6,FALSE)),"")</f>
        <v>£412.9534/month</v>
      </c>
      <c r="AO254" s="116">
        <f t="shared" si="94"/>
        <v>412.95339999999999</v>
      </c>
      <c r="AP254" s="116">
        <f t="shared" si="95"/>
        <v>412.95339999999999</v>
      </c>
      <c r="AQ254" s="115">
        <f t="shared" si="96"/>
        <v>0</v>
      </c>
      <c r="AR254" s="115">
        <f t="shared" si="77"/>
        <v>0</v>
      </c>
      <c r="AS254" s="115" t="e">
        <f>VLOOKUP(B254,'Willie List'!B:M,12,FALSE)</f>
        <v>#N/A</v>
      </c>
      <c r="AT254" s="115" t="str">
        <f t="shared" si="78"/>
        <v>Standard_D13</v>
      </c>
      <c r="AU254" s="115" t="str">
        <f t="shared" si="79"/>
        <v>D13</v>
      </c>
      <c r="AV254">
        <f t="shared" si="80"/>
        <v>0</v>
      </c>
      <c r="AW254" s="8">
        <f t="shared" si="81"/>
        <v>0</v>
      </c>
    </row>
    <row r="255" spans="1:49">
      <c r="B255" t="s">
        <v>711</v>
      </c>
      <c r="C255" s="8">
        <f>IFERROR(IF(VLOOKUP(B255,'Willie List'!B:B,1,FALSE) &lt;&gt; "",1,0),0)</f>
        <v>0</v>
      </c>
      <c r="D255" s="8"/>
      <c r="E255" t="s">
        <v>695</v>
      </c>
      <c r="F255" t="s">
        <v>712</v>
      </c>
      <c r="G255" t="s">
        <v>152</v>
      </c>
      <c r="H255" t="s">
        <v>153</v>
      </c>
      <c r="I255" t="s">
        <v>276</v>
      </c>
      <c r="J255" t="s">
        <v>39</v>
      </c>
      <c r="K255" s="8" t="str">
        <f t="shared" si="84"/>
        <v>D13</v>
      </c>
      <c r="L255" s="8">
        <f>VLOOKUP(K255,'Web-SKUS'!A:E,2,FALSE)</f>
        <v>8</v>
      </c>
      <c r="M255" s="8" t="str">
        <f>VLOOKUP(K255,'Web-SKUS'!A:E,4,FALSE)</f>
        <v>56</v>
      </c>
      <c r="N255" t="s">
        <v>713</v>
      </c>
      <c r="O255">
        <v>5</v>
      </c>
      <c r="P255" t="s">
        <v>157</v>
      </c>
      <c r="Q255" t="str">
        <f>IFERROR(VLOOKUP(B255,PercentCPU!B:F,4,FALSE),"")</f>
        <v/>
      </c>
      <c r="R255" t="str">
        <f>IFERROR(VLOOKUP(B255,MemoryAvailable!B:F,3,FALSE),"")</f>
        <v/>
      </c>
      <c r="S255" s="2" t="str">
        <f t="shared" si="86"/>
        <v/>
      </c>
      <c r="T255" t="str">
        <f t="shared" si="87"/>
        <v/>
      </c>
      <c r="U255" s="8">
        <f t="shared" si="88"/>
        <v>0</v>
      </c>
      <c r="V255" s="8" t="str">
        <f t="shared" si="89"/>
        <v/>
      </c>
      <c r="W255" s="8" t="str">
        <f>IFERROR(VLOOKUP(B255,Write_Bytes_ps!B:F,4,FALSE)/1024/1024,"")</f>
        <v/>
      </c>
      <c r="X255" s="8" t="str">
        <f>IFERROR(VLOOKUP(B255,Read_Bytes_ps!B:F,4,FALSE)/1024/1024,"")</f>
        <v/>
      </c>
      <c r="Y255" s="8" t="str">
        <f>IFERROR(VLOOKUP(B255,Writes_ps!B:F,5,FALSE),"")</f>
        <v/>
      </c>
      <c r="Z255" s="8" t="str">
        <f>IFERROR(VLOOKUP(B255,Reads_ps!B:F,5,FALSE),"")</f>
        <v/>
      </c>
      <c r="AA255" s="8">
        <f t="shared" si="82"/>
        <v>0</v>
      </c>
      <c r="AB255" s="122">
        <f t="shared" si="85"/>
        <v>0</v>
      </c>
      <c r="AC255" s="122" t="str">
        <f t="shared" si="90"/>
        <v>D13</v>
      </c>
      <c r="AE255" s="8" t="str">
        <f>IFERROR(VLOOKUP(AD255,'Web-SKUS'!A:E,2,FALSE),"")</f>
        <v/>
      </c>
      <c r="AF255" s="8">
        <f>_xlfn.NUMBERVALUE(IFERROR(VLOOKUP(AD255,'Web-SKUS'!A:E,4,FALSE),""))</f>
        <v>0</v>
      </c>
      <c r="AG255" s="8">
        <f>IFERROR(VLOOKUP(AD255,VM_Performance_Stats!A:G,7,FALSE),0)</f>
        <v>0</v>
      </c>
      <c r="AH255" s="8" t="str">
        <f>IFERROR(VLOOKUP(AD255,VM_Performance_Stats!A:I,8,FALSE),"")</f>
        <v/>
      </c>
      <c r="AI255" s="8">
        <f t="shared" si="91"/>
        <v>1</v>
      </c>
      <c r="AJ255" s="8">
        <f t="shared" si="92"/>
        <v>0</v>
      </c>
      <c r="AK255" s="8">
        <f>IFERROR(IF(VLOOKUP(AD255,VM_Performance_Stats!A:I,8,FALSE)&gt;AB255,1,0),0)</f>
        <v>0</v>
      </c>
      <c r="AL255" t="str">
        <f>IFERROR(VLOOKUP(AD255,'Web-SKUS'!A:G,7,FALSE),"")</f>
        <v/>
      </c>
      <c r="AM255" s="116" t="str">
        <f t="shared" si="93"/>
        <v/>
      </c>
      <c r="AN255" t="str">
        <f>IFERROR(IF(C255=1,VLOOKUP(K255,'Web-SKUS'!A:G,7,FALSE),VLOOKUP(K255,'Web-SKUS'!A:G,6,FALSE)),"")</f>
        <v>£412.9534/month</v>
      </c>
      <c r="AO255" s="116">
        <f t="shared" si="94"/>
        <v>412.95339999999999</v>
      </c>
      <c r="AP255" s="116">
        <f t="shared" si="95"/>
        <v>412.95339999999999</v>
      </c>
      <c r="AQ255" s="115">
        <f t="shared" si="96"/>
        <v>0</v>
      </c>
      <c r="AR255" s="115">
        <f t="shared" si="77"/>
        <v>0</v>
      </c>
      <c r="AS255" s="115" t="e">
        <f>VLOOKUP(B255,'Willie List'!B:M,12,FALSE)</f>
        <v>#N/A</v>
      </c>
      <c r="AT255" s="115" t="str">
        <f t="shared" si="78"/>
        <v>Standard_D13</v>
      </c>
      <c r="AU255" s="115" t="str">
        <f t="shared" si="79"/>
        <v>D13</v>
      </c>
      <c r="AV255">
        <f t="shared" si="80"/>
        <v>0</v>
      </c>
      <c r="AW255" s="8">
        <f t="shared" si="81"/>
        <v>0</v>
      </c>
    </row>
    <row r="256" spans="1:49">
      <c r="B256" t="s">
        <v>714</v>
      </c>
      <c r="C256" s="8">
        <f>IFERROR(IF(VLOOKUP(B256,'Willie List'!B:B,1,FALSE) &lt;&gt; "",1,0),0)</f>
        <v>0</v>
      </c>
      <c r="D256" s="8"/>
      <c r="E256" t="s">
        <v>95</v>
      </c>
      <c r="F256" t="s">
        <v>715</v>
      </c>
      <c r="G256" t="s">
        <v>152</v>
      </c>
      <c r="H256" t="s">
        <v>153</v>
      </c>
      <c r="I256" t="s">
        <v>276</v>
      </c>
      <c r="J256" t="s">
        <v>39</v>
      </c>
      <c r="K256" s="8" t="str">
        <f t="shared" si="84"/>
        <v>D13</v>
      </c>
      <c r="L256" s="8">
        <f>VLOOKUP(K256,'Web-SKUS'!A:E,2,FALSE)</f>
        <v>8</v>
      </c>
      <c r="M256" s="8" t="str">
        <f>VLOOKUP(K256,'Web-SKUS'!A:E,4,FALSE)</f>
        <v>56</v>
      </c>
      <c r="N256" t="s">
        <v>716</v>
      </c>
      <c r="O256">
        <v>5</v>
      </c>
      <c r="P256" t="s">
        <v>157</v>
      </c>
      <c r="Q256" t="str">
        <f>IFERROR(VLOOKUP(B256,PercentCPU!B:F,4,FALSE),"")</f>
        <v/>
      </c>
      <c r="R256" t="str">
        <f>IFERROR(VLOOKUP(B256,MemoryAvailable!B:F,3,FALSE),"")</f>
        <v/>
      </c>
      <c r="S256" s="2" t="str">
        <f t="shared" si="86"/>
        <v/>
      </c>
      <c r="T256" t="str">
        <f t="shared" si="87"/>
        <v/>
      </c>
      <c r="U256" s="8">
        <f t="shared" si="88"/>
        <v>0</v>
      </c>
      <c r="V256" s="8" t="str">
        <f t="shared" si="89"/>
        <v/>
      </c>
      <c r="W256" s="8" t="str">
        <f>IFERROR(VLOOKUP(B256,Write_Bytes_ps!B:F,4,FALSE)/1024/1024,"")</f>
        <v/>
      </c>
      <c r="X256" s="8" t="str">
        <f>IFERROR(VLOOKUP(B256,Read_Bytes_ps!B:F,4,FALSE)/1024/1024,"")</f>
        <v/>
      </c>
      <c r="Y256" s="8" t="str">
        <f>IFERROR(VLOOKUP(B256,Writes_ps!B:F,5,FALSE),"")</f>
        <v/>
      </c>
      <c r="Z256" s="8" t="str">
        <f>IFERROR(VLOOKUP(B256,Reads_ps!B:F,5,FALSE),"")</f>
        <v/>
      </c>
      <c r="AA256" s="8">
        <f t="shared" si="82"/>
        <v>0</v>
      </c>
      <c r="AB256" s="122">
        <f t="shared" si="85"/>
        <v>0</v>
      </c>
      <c r="AC256" s="122" t="str">
        <f t="shared" si="90"/>
        <v>D13</v>
      </c>
      <c r="AE256" s="8" t="str">
        <f>IFERROR(VLOOKUP(AD256,'Web-SKUS'!A:E,2,FALSE),"")</f>
        <v/>
      </c>
      <c r="AF256" s="8">
        <f>_xlfn.NUMBERVALUE(IFERROR(VLOOKUP(AD256,'Web-SKUS'!A:E,4,FALSE),""))</f>
        <v>0</v>
      </c>
      <c r="AG256" s="8">
        <f>IFERROR(VLOOKUP(AD256,VM_Performance_Stats!A:G,7,FALSE),0)</f>
        <v>0</v>
      </c>
      <c r="AH256" s="8" t="str">
        <f>IFERROR(VLOOKUP(AD256,VM_Performance_Stats!A:I,8,FALSE),"")</f>
        <v/>
      </c>
      <c r="AI256" s="8">
        <f t="shared" si="91"/>
        <v>1</v>
      </c>
      <c r="AJ256" s="8">
        <f t="shared" si="92"/>
        <v>0</v>
      </c>
      <c r="AK256" s="8">
        <f>IFERROR(IF(VLOOKUP(AD256,VM_Performance_Stats!A:I,8,FALSE)&gt;AB256,1,0),0)</f>
        <v>0</v>
      </c>
      <c r="AL256" t="str">
        <f>IFERROR(VLOOKUP(AD256,'Web-SKUS'!A:G,7,FALSE),"")</f>
        <v/>
      </c>
      <c r="AM256" s="116" t="str">
        <f t="shared" si="93"/>
        <v/>
      </c>
      <c r="AN256" t="str">
        <f>IFERROR(IF(C256=1,VLOOKUP(K256,'Web-SKUS'!A:G,7,FALSE),VLOOKUP(K256,'Web-SKUS'!A:G,6,FALSE)),"")</f>
        <v>£412.9534/month</v>
      </c>
      <c r="AO256" s="116">
        <f t="shared" si="94"/>
        <v>412.95339999999999</v>
      </c>
      <c r="AP256" s="116">
        <f t="shared" si="95"/>
        <v>412.95339999999999</v>
      </c>
      <c r="AQ256" s="115">
        <f t="shared" si="96"/>
        <v>0</v>
      </c>
      <c r="AR256" s="115">
        <f t="shared" si="77"/>
        <v>0</v>
      </c>
      <c r="AS256" s="115" t="e">
        <f>VLOOKUP(B256,'Willie List'!B:M,12,FALSE)</f>
        <v>#N/A</v>
      </c>
      <c r="AT256" s="115" t="str">
        <f t="shared" si="78"/>
        <v>Standard_D13</v>
      </c>
      <c r="AU256" s="115" t="str">
        <f t="shared" si="79"/>
        <v>D13</v>
      </c>
      <c r="AV256">
        <f t="shared" si="80"/>
        <v>0</v>
      </c>
      <c r="AW256" s="8">
        <f t="shared" si="81"/>
        <v>0</v>
      </c>
    </row>
    <row r="257" spans="2:49">
      <c r="B257" t="s">
        <v>717</v>
      </c>
      <c r="C257" s="8">
        <f>IFERROR(IF(VLOOKUP(B257,'Willie List'!B:B,1,FALSE) &lt;&gt; "",1,0),0)</f>
        <v>0</v>
      </c>
      <c r="D257" s="8"/>
      <c r="E257" t="s">
        <v>95</v>
      </c>
      <c r="F257" t="s">
        <v>718</v>
      </c>
      <c r="G257" t="s">
        <v>152</v>
      </c>
      <c r="H257" t="s">
        <v>153</v>
      </c>
      <c r="I257" t="s">
        <v>276</v>
      </c>
      <c r="J257" t="s">
        <v>39</v>
      </c>
      <c r="K257" s="8" t="str">
        <f t="shared" ref="K257:K288" si="97">IFERROR(REPLACE(REPLACE(J257,FIND("Standard_",J257,1),9,""),FIND("_",REPLACE(J257,FIND("Standard_",J257,1),9,""),1),1," "),REPLACE(J257,FIND("Standard_",J257,1),9,""))</f>
        <v>D13</v>
      </c>
      <c r="L257" s="8">
        <f>VLOOKUP(K257,'Web-SKUS'!A:E,2,FALSE)</f>
        <v>8</v>
      </c>
      <c r="M257" s="8" t="str">
        <f>VLOOKUP(K257,'Web-SKUS'!A:E,4,FALSE)</f>
        <v>56</v>
      </c>
      <c r="N257" t="s">
        <v>719</v>
      </c>
      <c r="O257">
        <v>5</v>
      </c>
      <c r="P257" t="s">
        <v>157</v>
      </c>
      <c r="Q257" t="str">
        <f>IFERROR(VLOOKUP(B257,PercentCPU!B:F,4,FALSE),"")</f>
        <v/>
      </c>
      <c r="R257" t="str">
        <f>IFERROR(VLOOKUP(B257,MemoryAvailable!B:F,3,FALSE),"")</f>
        <v/>
      </c>
      <c r="S257" s="2" t="str">
        <f t="shared" si="86"/>
        <v/>
      </c>
      <c r="T257" t="str">
        <f t="shared" si="87"/>
        <v/>
      </c>
      <c r="U257" s="8">
        <f t="shared" si="88"/>
        <v>0</v>
      </c>
      <c r="V257" s="8" t="str">
        <f t="shared" si="89"/>
        <v/>
      </c>
      <c r="W257" s="8" t="str">
        <f>IFERROR(VLOOKUP(B257,Write_Bytes_ps!B:F,4,FALSE)/1024/1024,"")</f>
        <v/>
      </c>
      <c r="X257" s="8" t="str">
        <f>IFERROR(VLOOKUP(B257,Read_Bytes_ps!B:F,4,FALSE)/1024/1024,"")</f>
        <v/>
      </c>
      <c r="Y257" s="8" t="str">
        <f>IFERROR(VLOOKUP(B257,Writes_ps!B:F,5,FALSE),"")</f>
        <v/>
      </c>
      <c r="Z257" s="8" t="str">
        <f>IFERROR(VLOOKUP(B257,Reads_ps!B:F,5,FALSE),"")</f>
        <v/>
      </c>
      <c r="AA257" s="8">
        <f t="shared" si="82"/>
        <v>0</v>
      </c>
      <c r="AB257" s="122">
        <f t="shared" si="85"/>
        <v>0</v>
      </c>
      <c r="AC257" s="122" t="str">
        <f t="shared" si="90"/>
        <v>D13</v>
      </c>
      <c r="AE257" s="8" t="str">
        <f>IFERROR(VLOOKUP(AD257,'Web-SKUS'!A:E,2,FALSE),"")</f>
        <v/>
      </c>
      <c r="AF257" s="8">
        <f>_xlfn.NUMBERVALUE(IFERROR(VLOOKUP(AD257,'Web-SKUS'!A:E,4,FALSE),""))</f>
        <v>0</v>
      </c>
      <c r="AG257" s="8">
        <f>IFERROR(VLOOKUP(AD257,VM_Performance_Stats!A:G,7,FALSE),0)</f>
        <v>0</v>
      </c>
      <c r="AH257" s="8" t="str">
        <f>IFERROR(VLOOKUP(AD257,VM_Performance_Stats!A:I,8,FALSE),"")</f>
        <v/>
      </c>
      <c r="AI257" s="8">
        <f t="shared" si="91"/>
        <v>1</v>
      </c>
      <c r="AJ257" s="8">
        <f t="shared" si="92"/>
        <v>0</v>
      </c>
      <c r="AK257" s="8">
        <f>IFERROR(IF(VLOOKUP(AD257,VM_Performance_Stats!A:I,8,FALSE)&gt;AB257,1,0),0)</f>
        <v>0</v>
      </c>
      <c r="AL257" t="str">
        <f>IFERROR(VLOOKUP(AD257,'Web-SKUS'!A:G,7,FALSE),"")</f>
        <v/>
      </c>
      <c r="AM257" s="116" t="str">
        <f t="shared" si="93"/>
        <v/>
      </c>
      <c r="AN257" t="str">
        <f>IFERROR(IF(C257=1,VLOOKUP(K257,'Web-SKUS'!A:G,7,FALSE),VLOOKUP(K257,'Web-SKUS'!A:G,6,FALSE)),"")</f>
        <v>£412.9534/month</v>
      </c>
      <c r="AO257" s="116">
        <f t="shared" si="94"/>
        <v>412.95339999999999</v>
      </c>
      <c r="AP257" s="116">
        <f t="shared" si="95"/>
        <v>412.95339999999999</v>
      </c>
      <c r="AQ257" s="115">
        <f t="shared" si="96"/>
        <v>0</v>
      </c>
      <c r="AR257" s="115">
        <f t="shared" si="77"/>
        <v>0</v>
      </c>
      <c r="AS257" s="115" t="e">
        <f>VLOOKUP(B257,'Willie List'!B:M,12,FALSE)</f>
        <v>#N/A</v>
      </c>
      <c r="AT257" s="115" t="str">
        <f t="shared" si="78"/>
        <v>Standard_D13</v>
      </c>
      <c r="AU257" s="115" t="str">
        <f t="shared" si="79"/>
        <v>D13</v>
      </c>
      <c r="AV257">
        <f t="shared" si="80"/>
        <v>0</v>
      </c>
      <c r="AW257" s="8">
        <f t="shared" si="81"/>
        <v>0</v>
      </c>
    </row>
    <row r="258" spans="2:49">
      <c r="B258" t="s">
        <v>720</v>
      </c>
      <c r="C258" s="8">
        <f>IFERROR(IF(VLOOKUP(B258,'Willie List'!B:B,1,FALSE) &lt;&gt; "",1,0),0)</f>
        <v>0</v>
      </c>
      <c r="D258" s="8"/>
      <c r="E258" t="s">
        <v>695</v>
      </c>
      <c r="F258" t="s">
        <v>721</v>
      </c>
      <c r="G258" t="s">
        <v>152</v>
      </c>
      <c r="H258" t="s">
        <v>153</v>
      </c>
      <c r="I258" t="s">
        <v>276</v>
      </c>
      <c r="J258" t="s">
        <v>39</v>
      </c>
      <c r="K258" s="8" t="str">
        <f t="shared" si="97"/>
        <v>D13</v>
      </c>
      <c r="L258" s="8">
        <f>VLOOKUP(K258,'Web-SKUS'!A:E,2,FALSE)</f>
        <v>8</v>
      </c>
      <c r="M258" s="8" t="str">
        <f>VLOOKUP(K258,'Web-SKUS'!A:E,4,FALSE)</f>
        <v>56</v>
      </c>
      <c r="N258" t="s">
        <v>722</v>
      </c>
      <c r="O258">
        <v>5</v>
      </c>
      <c r="P258" t="s">
        <v>157</v>
      </c>
      <c r="Q258" t="str">
        <f>IFERROR(VLOOKUP(B258,PercentCPU!B:F,4,FALSE),"")</f>
        <v/>
      </c>
      <c r="R258" t="str">
        <f>IFERROR(VLOOKUP(B258,MemoryAvailable!B:F,3,FALSE),"")</f>
        <v/>
      </c>
      <c r="S258" s="2" t="str">
        <f t="shared" si="86"/>
        <v/>
      </c>
      <c r="T258" t="str">
        <f t="shared" si="87"/>
        <v/>
      </c>
      <c r="U258" s="8">
        <f t="shared" si="88"/>
        <v>0</v>
      </c>
      <c r="V258" s="8" t="str">
        <f t="shared" si="89"/>
        <v/>
      </c>
      <c r="W258" s="8" t="str">
        <f>IFERROR(VLOOKUP(B258,Write_Bytes_ps!B:F,4,FALSE)/1024/1024,"")</f>
        <v/>
      </c>
      <c r="X258" s="8" t="str">
        <f>IFERROR(VLOOKUP(B258,Read_Bytes_ps!B:F,4,FALSE)/1024/1024,"")</f>
        <v/>
      </c>
      <c r="Y258" s="8" t="str">
        <f>IFERROR(VLOOKUP(B258,Writes_ps!B:F,5,FALSE),"")</f>
        <v/>
      </c>
      <c r="Z258" s="8" t="str">
        <f>IFERROR(VLOOKUP(B258,Reads_ps!B:F,5,FALSE),"")</f>
        <v/>
      </c>
      <c r="AA258" s="8">
        <f t="shared" si="82"/>
        <v>0</v>
      </c>
      <c r="AB258" s="122">
        <f t="shared" si="85"/>
        <v>0</v>
      </c>
      <c r="AC258" s="122" t="str">
        <f t="shared" si="90"/>
        <v>D13</v>
      </c>
      <c r="AE258" s="8" t="str">
        <f>IFERROR(VLOOKUP(AD258,'Web-SKUS'!A:E,2,FALSE),"")</f>
        <v/>
      </c>
      <c r="AF258" s="8">
        <f>_xlfn.NUMBERVALUE(IFERROR(VLOOKUP(AD258,'Web-SKUS'!A:E,4,FALSE),""))</f>
        <v>0</v>
      </c>
      <c r="AG258" s="8">
        <f>IFERROR(VLOOKUP(AD258,VM_Performance_Stats!A:G,7,FALSE),0)</f>
        <v>0</v>
      </c>
      <c r="AH258" s="8" t="str">
        <f>IFERROR(VLOOKUP(AD258,VM_Performance_Stats!A:I,8,FALSE),"")</f>
        <v/>
      </c>
      <c r="AI258" s="8">
        <f t="shared" si="91"/>
        <v>1</v>
      </c>
      <c r="AJ258" s="8">
        <f t="shared" si="92"/>
        <v>0</v>
      </c>
      <c r="AK258" s="8">
        <f>IFERROR(IF(VLOOKUP(AD258,VM_Performance_Stats!A:I,8,FALSE)&gt;AB258,1,0),0)</f>
        <v>0</v>
      </c>
      <c r="AL258" t="str">
        <f>IFERROR(VLOOKUP(AD258,'Web-SKUS'!A:G,7,FALSE),"")</f>
        <v/>
      </c>
      <c r="AM258" s="116" t="str">
        <f t="shared" si="93"/>
        <v/>
      </c>
      <c r="AN258" t="str">
        <f>IFERROR(IF(C258=1,VLOOKUP(K258,'Web-SKUS'!A:G,7,FALSE),VLOOKUP(K258,'Web-SKUS'!A:G,6,FALSE)),"")</f>
        <v>£412.9534/month</v>
      </c>
      <c r="AO258" s="116">
        <f t="shared" si="94"/>
        <v>412.95339999999999</v>
      </c>
      <c r="AP258" s="116">
        <f t="shared" si="95"/>
        <v>412.95339999999999</v>
      </c>
      <c r="AQ258" s="115">
        <f t="shared" si="96"/>
        <v>0</v>
      </c>
      <c r="AR258" s="115">
        <f t="shared" si="77"/>
        <v>0</v>
      </c>
      <c r="AS258" s="115" t="e">
        <f>VLOOKUP(B258,'Willie List'!B:M,12,FALSE)</f>
        <v>#N/A</v>
      </c>
      <c r="AT258" s="115" t="str">
        <f t="shared" si="78"/>
        <v>Standard_D13</v>
      </c>
      <c r="AU258" s="115" t="str">
        <f t="shared" si="79"/>
        <v>D13</v>
      </c>
      <c r="AV258">
        <f t="shared" si="80"/>
        <v>0</v>
      </c>
      <c r="AW258" s="8">
        <f t="shared" si="81"/>
        <v>0</v>
      </c>
    </row>
    <row r="259" spans="2:49">
      <c r="B259" t="s">
        <v>723</v>
      </c>
      <c r="C259" s="8">
        <f>IFERROR(IF(VLOOKUP(B259,'Willie List'!B:B,1,FALSE) &lt;&gt; "",1,0),0)</f>
        <v>0</v>
      </c>
      <c r="D259" s="8"/>
      <c r="E259" t="s">
        <v>695</v>
      </c>
      <c r="F259" t="s">
        <v>724</v>
      </c>
      <c r="G259" t="s">
        <v>152</v>
      </c>
      <c r="H259" t="s">
        <v>275</v>
      </c>
      <c r="I259" t="s">
        <v>276</v>
      </c>
      <c r="J259" t="s">
        <v>39</v>
      </c>
      <c r="K259" s="8" t="str">
        <f t="shared" si="97"/>
        <v>D13</v>
      </c>
      <c r="L259" s="8">
        <f>VLOOKUP(K259,'Web-SKUS'!A:E,2,FALSE)</f>
        <v>8</v>
      </c>
      <c r="M259" s="8" t="str">
        <f>VLOOKUP(K259,'Web-SKUS'!A:E,4,FALSE)</f>
        <v>56</v>
      </c>
      <c r="N259" t="s">
        <v>725</v>
      </c>
      <c r="O259">
        <v>5</v>
      </c>
      <c r="P259" t="s">
        <v>157</v>
      </c>
      <c r="Q259" t="str">
        <f>IFERROR(VLOOKUP(B259,PercentCPU!B:F,4,FALSE),"")</f>
        <v/>
      </c>
      <c r="R259" t="str">
        <f>IFERROR(VLOOKUP(B259,MemoryAvailable!B:F,3,FALSE),"")</f>
        <v/>
      </c>
      <c r="S259" s="2" t="str">
        <f t="shared" si="86"/>
        <v/>
      </c>
      <c r="T259" t="str">
        <f t="shared" si="87"/>
        <v/>
      </c>
      <c r="U259" s="8">
        <f t="shared" si="88"/>
        <v>0</v>
      </c>
      <c r="V259" s="8" t="str">
        <f t="shared" si="89"/>
        <v/>
      </c>
      <c r="W259" s="8" t="str">
        <f>IFERROR(VLOOKUP(B259,Write_Bytes_ps!B:F,4,FALSE)/1024/1024,"")</f>
        <v/>
      </c>
      <c r="X259" s="8" t="str">
        <f>IFERROR(VLOOKUP(B259,Read_Bytes_ps!B:F,4,FALSE)/1024/1024,"")</f>
        <v/>
      </c>
      <c r="Y259" s="8" t="str">
        <f>IFERROR(VLOOKUP(B259,Writes_ps!B:F,5,FALSE),"")</f>
        <v/>
      </c>
      <c r="Z259" s="8" t="str">
        <f>IFERROR(VLOOKUP(B259,Reads_ps!B:F,5,FALSE),"")</f>
        <v/>
      </c>
      <c r="AA259" s="8">
        <f t="shared" si="82"/>
        <v>0</v>
      </c>
      <c r="AB259" s="122">
        <f t="shared" si="85"/>
        <v>0</v>
      </c>
      <c r="AC259" s="122" t="str">
        <f t="shared" si="90"/>
        <v>D13</v>
      </c>
      <c r="AE259" s="8" t="str">
        <f>IFERROR(VLOOKUP(AD259,'Web-SKUS'!A:E,2,FALSE),"")</f>
        <v/>
      </c>
      <c r="AF259" s="8">
        <f>_xlfn.NUMBERVALUE(IFERROR(VLOOKUP(AD259,'Web-SKUS'!A:E,4,FALSE),""))</f>
        <v>0</v>
      </c>
      <c r="AG259" s="8">
        <f>IFERROR(VLOOKUP(AD259,VM_Performance_Stats!A:G,7,FALSE),0)</f>
        <v>0</v>
      </c>
      <c r="AH259" s="8" t="str">
        <f>IFERROR(VLOOKUP(AD259,VM_Performance_Stats!A:I,8,FALSE),"")</f>
        <v/>
      </c>
      <c r="AI259" s="8">
        <f t="shared" si="91"/>
        <v>1</v>
      </c>
      <c r="AJ259" s="8">
        <f t="shared" si="92"/>
        <v>0</v>
      </c>
      <c r="AK259" s="8">
        <f>IFERROR(IF(VLOOKUP(AD259,VM_Performance_Stats!A:I,8,FALSE)&gt;AB259,1,0),0)</f>
        <v>0</v>
      </c>
      <c r="AL259" t="str">
        <f>IFERROR(VLOOKUP(AD259,'Web-SKUS'!A:G,7,FALSE),"")</f>
        <v/>
      </c>
      <c r="AM259" s="116" t="str">
        <f t="shared" si="93"/>
        <v/>
      </c>
      <c r="AN259" t="str">
        <f>IFERROR(IF(C259=1,VLOOKUP(K259,'Web-SKUS'!A:G,7,FALSE),VLOOKUP(K259,'Web-SKUS'!A:G,6,FALSE)),"")</f>
        <v>£412.9534/month</v>
      </c>
      <c r="AO259" s="116">
        <f t="shared" si="94"/>
        <v>412.95339999999999</v>
      </c>
      <c r="AP259" s="116">
        <f t="shared" si="95"/>
        <v>412.95339999999999</v>
      </c>
      <c r="AQ259" s="115">
        <f t="shared" si="96"/>
        <v>0</v>
      </c>
      <c r="AR259" s="115">
        <f t="shared" ref="AR259:AR314" si="98">AQ259*12</f>
        <v>0</v>
      </c>
      <c r="AS259" s="115" t="e">
        <f>VLOOKUP(B259,'Willie List'!B:M,12,FALSE)</f>
        <v>#N/A</v>
      </c>
      <c r="AT259" s="115" t="str">
        <f t="shared" ref="AT259:AT314" si="99">J259</f>
        <v>Standard_D13</v>
      </c>
      <c r="AU259" s="115" t="str">
        <f t="shared" ref="AU259:AU314" si="100">IFERROR(REPLACE(REPLACE(AT259,FIND("Standard_",AT259,1),9,""),FIND("_",REPLACE(AT259,FIND("Standard_",AT259,1),9,""),1),1," "),REPLACE(AT259,FIND("Standard_",AT259,1),9,""))</f>
        <v>D13</v>
      </c>
      <c r="AV259">
        <f t="shared" ref="AV259:AV314" si="101">AD259</f>
        <v>0</v>
      </c>
      <c r="AW259" s="8">
        <f t="shared" ref="AW259:AW314" si="102">IFERROR(IF(AV259=AU259,1,0),"")</f>
        <v>0</v>
      </c>
    </row>
    <row r="260" spans="2:49">
      <c r="B260" t="s">
        <v>726</v>
      </c>
      <c r="C260" s="8">
        <f>IFERROR(IF(VLOOKUP(B260,'Willie List'!B:B,1,FALSE) &lt;&gt; "",1,0),0)</f>
        <v>0</v>
      </c>
      <c r="D260" s="8"/>
      <c r="E260" t="s">
        <v>695</v>
      </c>
      <c r="F260" t="s">
        <v>727</v>
      </c>
      <c r="G260" t="s">
        <v>152</v>
      </c>
      <c r="H260" t="s">
        <v>153</v>
      </c>
      <c r="I260" t="s">
        <v>276</v>
      </c>
      <c r="J260" t="s">
        <v>39</v>
      </c>
      <c r="K260" s="8" t="str">
        <f t="shared" si="97"/>
        <v>D13</v>
      </c>
      <c r="L260" s="8">
        <f>VLOOKUP(K260,'Web-SKUS'!A:E,2,FALSE)</f>
        <v>8</v>
      </c>
      <c r="M260" s="8" t="str">
        <f>VLOOKUP(K260,'Web-SKUS'!A:E,4,FALSE)</f>
        <v>56</v>
      </c>
      <c r="N260" t="s">
        <v>728</v>
      </c>
      <c r="O260">
        <v>5</v>
      </c>
      <c r="P260" t="s">
        <v>157</v>
      </c>
      <c r="Q260" t="str">
        <f>IFERROR(VLOOKUP(B260,PercentCPU!B:F,4,FALSE),"")</f>
        <v/>
      </c>
      <c r="R260" t="str">
        <f>IFERROR(VLOOKUP(B260,MemoryAvailable!B:F,3,FALSE),"")</f>
        <v/>
      </c>
      <c r="S260" s="2" t="str">
        <f t="shared" si="86"/>
        <v/>
      </c>
      <c r="T260" t="str">
        <f t="shared" si="87"/>
        <v/>
      </c>
      <c r="U260" s="8">
        <f t="shared" si="88"/>
        <v>0</v>
      </c>
      <c r="V260" s="8" t="str">
        <f t="shared" si="89"/>
        <v/>
      </c>
      <c r="W260" s="8" t="str">
        <f>IFERROR(VLOOKUP(B260,Write_Bytes_ps!B:F,4,FALSE)/1024/1024,"")</f>
        <v/>
      </c>
      <c r="X260" s="8" t="str">
        <f>IFERROR(VLOOKUP(B260,Read_Bytes_ps!B:F,4,FALSE)/1024/1024,"")</f>
        <v/>
      </c>
      <c r="Y260" s="8" t="str">
        <f>IFERROR(VLOOKUP(B260,Writes_ps!B:F,5,FALSE),"")</f>
        <v/>
      </c>
      <c r="Z260" s="8" t="str">
        <f>IFERROR(VLOOKUP(B260,Reads_ps!B:F,5,FALSE),"")</f>
        <v/>
      </c>
      <c r="AA260" s="8">
        <f t="shared" si="82"/>
        <v>0</v>
      </c>
      <c r="AB260" s="122">
        <f t="shared" si="85"/>
        <v>0</v>
      </c>
      <c r="AC260" s="122" t="str">
        <f t="shared" si="90"/>
        <v>D13</v>
      </c>
      <c r="AE260" s="8" t="str">
        <f>IFERROR(VLOOKUP(AD260,'Web-SKUS'!A:E,2,FALSE),"")</f>
        <v/>
      </c>
      <c r="AF260" s="8">
        <f>_xlfn.NUMBERVALUE(IFERROR(VLOOKUP(AD260,'Web-SKUS'!A:E,4,FALSE),""))</f>
        <v>0</v>
      </c>
      <c r="AG260" s="8">
        <f>IFERROR(VLOOKUP(AD260,VM_Performance_Stats!A:G,7,FALSE),0)</f>
        <v>0</v>
      </c>
      <c r="AH260" s="8" t="str">
        <f>IFERROR(VLOOKUP(AD260,VM_Performance_Stats!A:I,8,FALSE),"")</f>
        <v/>
      </c>
      <c r="AI260" s="8">
        <f t="shared" si="91"/>
        <v>1</v>
      </c>
      <c r="AJ260" s="8">
        <f t="shared" si="92"/>
        <v>0</v>
      </c>
      <c r="AK260" s="8">
        <f>IFERROR(IF(VLOOKUP(AD260,VM_Performance_Stats!A:I,8,FALSE)&gt;AB260,1,0),0)</f>
        <v>0</v>
      </c>
      <c r="AL260" t="str">
        <f>IFERROR(VLOOKUP(AD260,'Web-SKUS'!A:G,7,FALSE),"")</f>
        <v/>
      </c>
      <c r="AM260" s="116" t="str">
        <f t="shared" si="93"/>
        <v/>
      </c>
      <c r="AN260" t="str">
        <f>IFERROR(IF(C260=1,VLOOKUP(K260,'Web-SKUS'!A:G,7,FALSE),VLOOKUP(K260,'Web-SKUS'!A:G,6,FALSE)),"")</f>
        <v>£412.9534/month</v>
      </c>
      <c r="AO260" s="116">
        <f t="shared" si="94"/>
        <v>412.95339999999999</v>
      </c>
      <c r="AP260" s="116">
        <f t="shared" si="95"/>
        <v>412.95339999999999</v>
      </c>
      <c r="AQ260" s="115">
        <f t="shared" si="96"/>
        <v>0</v>
      </c>
      <c r="AR260" s="115">
        <f t="shared" si="98"/>
        <v>0</v>
      </c>
      <c r="AS260" s="115" t="e">
        <f>VLOOKUP(B260,'Willie List'!B:M,12,FALSE)</f>
        <v>#N/A</v>
      </c>
      <c r="AT260" s="115" t="str">
        <f t="shared" si="99"/>
        <v>Standard_D13</v>
      </c>
      <c r="AU260" s="115" t="str">
        <f t="shared" si="100"/>
        <v>D13</v>
      </c>
      <c r="AV260">
        <f t="shared" si="101"/>
        <v>0</v>
      </c>
      <c r="AW260" s="8">
        <f t="shared" si="102"/>
        <v>0</v>
      </c>
    </row>
    <row r="261" spans="2:49">
      <c r="B261" t="s">
        <v>729</v>
      </c>
      <c r="C261" s="8">
        <f>IFERROR(IF(VLOOKUP(B261,'Willie List'!B:B,1,FALSE) &lt;&gt; "",1,0),0)</f>
        <v>0</v>
      </c>
      <c r="D261" s="8"/>
      <c r="E261" t="s">
        <v>95</v>
      </c>
      <c r="F261" t="s">
        <v>730</v>
      </c>
      <c r="G261" t="s">
        <v>152</v>
      </c>
      <c r="H261" t="s">
        <v>153</v>
      </c>
      <c r="I261" t="s">
        <v>276</v>
      </c>
      <c r="J261" t="s">
        <v>39</v>
      </c>
      <c r="K261" s="8" t="str">
        <f t="shared" si="97"/>
        <v>D13</v>
      </c>
      <c r="L261" s="8">
        <f>VLOOKUP(K261,'Web-SKUS'!A:E,2,FALSE)</f>
        <v>8</v>
      </c>
      <c r="M261" s="8" t="str">
        <f>VLOOKUP(K261,'Web-SKUS'!A:E,4,FALSE)</f>
        <v>56</v>
      </c>
      <c r="N261" t="s">
        <v>731</v>
      </c>
      <c r="O261">
        <v>5</v>
      </c>
      <c r="P261" t="s">
        <v>157</v>
      </c>
      <c r="Q261" t="str">
        <f>IFERROR(VLOOKUP(B261,PercentCPU!B:F,4,FALSE),"")</f>
        <v/>
      </c>
      <c r="R261" t="str">
        <f>IFERROR(VLOOKUP(B261,MemoryAvailable!B:F,3,FALSE),"")</f>
        <v/>
      </c>
      <c r="S261" s="2" t="str">
        <f t="shared" si="86"/>
        <v/>
      </c>
      <c r="T261" t="str">
        <f t="shared" si="87"/>
        <v/>
      </c>
      <c r="U261" s="8">
        <f t="shared" si="88"/>
        <v>0</v>
      </c>
      <c r="V261" s="8" t="str">
        <f t="shared" si="89"/>
        <v/>
      </c>
      <c r="W261" s="8" t="str">
        <f>IFERROR(VLOOKUP(B261,Write_Bytes_ps!B:F,4,FALSE)/1024/1024,"")</f>
        <v/>
      </c>
      <c r="X261" s="8" t="str">
        <f>IFERROR(VLOOKUP(B261,Read_Bytes_ps!B:F,4,FALSE)/1024/1024,"")</f>
        <v/>
      </c>
      <c r="Y261" s="8" t="str">
        <f>IFERROR(VLOOKUP(B261,Writes_ps!B:F,5,FALSE),"")</f>
        <v/>
      </c>
      <c r="Z261" s="8" t="str">
        <f>IFERROR(VLOOKUP(B261,Reads_ps!B:F,5,FALSE),"")</f>
        <v/>
      </c>
      <c r="AA261" s="8">
        <f t="shared" si="82"/>
        <v>0</v>
      </c>
      <c r="AB261" s="122">
        <f t="shared" si="85"/>
        <v>0</v>
      </c>
      <c r="AC261" s="122" t="str">
        <f t="shared" si="90"/>
        <v>D13</v>
      </c>
      <c r="AE261" s="8" t="str">
        <f>IFERROR(VLOOKUP(AD261,'Web-SKUS'!A:E,2,FALSE),"")</f>
        <v/>
      </c>
      <c r="AF261" s="8">
        <f>_xlfn.NUMBERVALUE(IFERROR(VLOOKUP(AD261,'Web-SKUS'!A:E,4,FALSE),""))</f>
        <v>0</v>
      </c>
      <c r="AG261" s="8">
        <f>IFERROR(VLOOKUP(AD261,VM_Performance_Stats!A:G,7,FALSE),0)</f>
        <v>0</v>
      </c>
      <c r="AH261" s="8" t="str">
        <f>IFERROR(VLOOKUP(AD261,VM_Performance_Stats!A:I,8,FALSE),"")</f>
        <v/>
      </c>
      <c r="AI261" s="8">
        <f t="shared" si="91"/>
        <v>1</v>
      </c>
      <c r="AJ261" s="8">
        <f t="shared" si="92"/>
        <v>0</v>
      </c>
      <c r="AK261" s="8">
        <f>IFERROR(IF(VLOOKUP(AD261,VM_Performance_Stats!A:I,8,FALSE)&gt;AB261,1,0),0)</f>
        <v>0</v>
      </c>
      <c r="AL261" t="str">
        <f>IFERROR(VLOOKUP(AD261,'Web-SKUS'!A:G,7,FALSE),"")</f>
        <v/>
      </c>
      <c r="AM261" s="116" t="str">
        <f t="shared" si="93"/>
        <v/>
      </c>
      <c r="AN261" t="str">
        <f>IFERROR(IF(C261=1,VLOOKUP(K261,'Web-SKUS'!A:G,7,FALSE),VLOOKUP(K261,'Web-SKUS'!A:G,6,FALSE)),"")</f>
        <v>£412.9534/month</v>
      </c>
      <c r="AO261" s="116">
        <f t="shared" si="94"/>
        <v>412.95339999999999</v>
      </c>
      <c r="AP261" s="116">
        <f t="shared" si="95"/>
        <v>412.95339999999999</v>
      </c>
      <c r="AQ261" s="115">
        <f t="shared" si="96"/>
        <v>0</v>
      </c>
      <c r="AR261" s="115">
        <f t="shared" si="98"/>
        <v>0</v>
      </c>
      <c r="AS261" s="115" t="e">
        <f>VLOOKUP(B261,'Willie List'!B:M,12,FALSE)</f>
        <v>#N/A</v>
      </c>
      <c r="AT261" s="115" t="str">
        <f t="shared" si="99"/>
        <v>Standard_D13</v>
      </c>
      <c r="AU261" s="115" t="str">
        <f t="shared" si="100"/>
        <v>D13</v>
      </c>
      <c r="AV261">
        <f t="shared" si="101"/>
        <v>0</v>
      </c>
      <c r="AW261" s="8">
        <f t="shared" si="102"/>
        <v>0</v>
      </c>
    </row>
    <row r="262" spans="2:49">
      <c r="B262" t="s">
        <v>732</v>
      </c>
      <c r="C262" s="8">
        <f>IFERROR(IF(VLOOKUP(B262,'Willie List'!B:B,1,FALSE) &lt;&gt; "",1,0),0)</f>
        <v>0</v>
      </c>
      <c r="D262" s="8"/>
      <c r="E262" t="s">
        <v>95</v>
      </c>
      <c r="F262" t="s">
        <v>733</v>
      </c>
      <c r="G262" t="s">
        <v>152</v>
      </c>
      <c r="H262" t="s">
        <v>275</v>
      </c>
      <c r="I262" t="s">
        <v>276</v>
      </c>
      <c r="J262" t="s">
        <v>39</v>
      </c>
      <c r="K262" s="8" t="str">
        <f t="shared" si="97"/>
        <v>D13</v>
      </c>
      <c r="L262" s="8">
        <f>VLOOKUP(K262,'Web-SKUS'!A:E,2,FALSE)</f>
        <v>8</v>
      </c>
      <c r="M262" s="8" t="str">
        <f>VLOOKUP(K262,'Web-SKUS'!A:E,4,FALSE)</f>
        <v>56</v>
      </c>
      <c r="N262" t="s">
        <v>734</v>
      </c>
      <c r="O262">
        <v>5</v>
      </c>
      <c r="P262" t="s">
        <v>157</v>
      </c>
      <c r="Q262" t="str">
        <f>IFERROR(VLOOKUP(B262,PercentCPU!B:F,4,FALSE),"")</f>
        <v/>
      </c>
      <c r="R262" t="str">
        <f>IFERROR(VLOOKUP(B262,MemoryAvailable!B:F,3,FALSE),"")</f>
        <v/>
      </c>
      <c r="S262" s="2" t="str">
        <f t="shared" si="86"/>
        <v/>
      </c>
      <c r="T262" t="str">
        <f t="shared" si="87"/>
        <v/>
      </c>
      <c r="U262" s="8">
        <f t="shared" si="88"/>
        <v>0</v>
      </c>
      <c r="V262" s="8" t="str">
        <f t="shared" si="89"/>
        <v/>
      </c>
      <c r="W262" s="8" t="str">
        <f>IFERROR(VLOOKUP(B262,Write_Bytes_ps!B:F,4,FALSE)/1024/1024,"")</f>
        <v/>
      </c>
      <c r="X262" s="8" t="str">
        <f>IFERROR(VLOOKUP(B262,Read_Bytes_ps!B:F,4,FALSE)/1024/1024,"")</f>
        <v/>
      </c>
      <c r="Y262" s="8" t="str">
        <f>IFERROR(VLOOKUP(B262,Writes_ps!B:F,5,FALSE),"")</f>
        <v/>
      </c>
      <c r="Z262" s="8" t="str">
        <f>IFERROR(VLOOKUP(B262,Reads_ps!B:F,5,FALSE),"")</f>
        <v/>
      </c>
      <c r="AA262" s="8">
        <f t="shared" si="82"/>
        <v>0</v>
      </c>
      <c r="AB262" s="122">
        <f t="shared" si="85"/>
        <v>0</v>
      </c>
      <c r="AC262" s="122" t="str">
        <f t="shared" si="90"/>
        <v>D13</v>
      </c>
      <c r="AE262" s="8" t="str">
        <f>IFERROR(VLOOKUP(AD262,'Web-SKUS'!A:E,2,FALSE),"")</f>
        <v/>
      </c>
      <c r="AF262" s="8">
        <f>_xlfn.NUMBERVALUE(IFERROR(VLOOKUP(AD262,'Web-SKUS'!A:E,4,FALSE),""))</f>
        <v>0</v>
      </c>
      <c r="AG262" s="8">
        <f>IFERROR(VLOOKUP(AD262,VM_Performance_Stats!A:G,7,FALSE),0)</f>
        <v>0</v>
      </c>
      <c r="AH262" s="8" t="str">
        <f>IFERROR(VLOOKUP(AD262,VM_Performance_Stats!A:I,8,FALSE),"")</f>
        <v/>
      </c>
      <c r="AI262" s="8">
        <f t="shared" si="91"/>
        <v>1</v>
      </c>
      <c r="AJ262" s="8">
        <f t="shared" si="92"/>
        <v>0</v>
      </c>
      <c r="AK262" s="8">
        <f>IFERROR(IF(VLOOKUP(AD262,VM_Performance_Stats!A:I,8,FALSE)&gt;AB262,1,0),0)</f>
        <v>0</v>
      </c>
      <c r="AL262" t="str">
        <f>IFERROR(VLOOKUP(AD262,'Web-SKUS'!A:G,7,FALSE),"")</f>
        <v/>
      </c>
      <c r="AM262" s="116" t="str">
        <f t="shared" si="93"/>
        <v/>
      </c>
      <c r="AN262" t="str">
        <f>IFERROR(IF(C262=1,VLOOKUP(K262,'Web-SKUS'!A:G,7,FALSE),VLOOKUP(K262,'Web-SKUS'!A:G,6,FALSE)),"")</f>
        <v>£412.9534/month</v>
      </c>
      <c r="AO262" s="116">
        <f t="shared" si="94"/>
        <v>412.95339999999999</v>
      </c>
      <c r="AP262" s="116">
        <f t="shared" si="95"/>
        <v>412.95339999999999</v>
      </c>
      <c r="AQ262" s="115">
        <f t="shared" si="96"/>
        <v>0</v>
      </c>
      <c r="AR262" s="115">
        <f t="shared" si="98"/>
        <v>0</v>
      </c>
      <c r="AS262" s="115" t="e">
        <f>VLOOKUP(B262,'Willie List'!B:M,12,FALSE)</f>
        <v>#N/A</v>
      </c>
      <c r="AT262" s="115" t="str">
        <f t="shared" si="99"/>
        <v>Standard_D13</v>
      </c>
      <c r="AU262" s="115" t="str">
        <f t="shared" si="100"/>
        <v>D13</v>
      </c>
      <c r="AV262">
        <f t="shared" si="101"/>
        <v>0</v>
      </c>
      <c r="AW262" s="8">
        <f t="shared" si="102"/>
        <v>0</v>
      </c>
    </row>
    <row r="263" spans="2:49">
      <c r="B263" t="s">
        <v>735</v>
      </c>
      <c r="C263" s="8">
        <f>IFERROR(IF(VLOOKUP(B263,'Willie List'!B:B,1,FALSE) &lt;&gt; "",1,0),0)</f>
        <v>0</v>
      </c>
      <c r="D263" s="8"/>
      <c r="E263" t="s">
        <v>95</v>
      </c>
      <c r="F263" t="s">
        <v>736</v>
      </c>
      <c r="G263" t="s">
        <v>152</v>
      </c>
      <c r="H263" t="s">
        <v>153</v>
      </c>
      <c r="I263" t="s">
        <v>276</v>
      </c>
      <c r="J263" t="s">
        <v>39</v>
      </c>
      <c r="K263" s="8" t="str">
        <f t="shared" si="97"/>
        <v>D13</v>
      </c>
      <c r="L263" s="8">
        <f>VLOOKUP(K263,'Web-SKUS'!A:E,2,FALSE)</f>
        <v>8</v>
      </c>
      <c r="M263" s="8" t="str">
        <f>VLOOKUP(K263,'Web-SKUS'!A:E,4,FALSE)</f>
        <v>56</v>
      </c>
      <c r="N263" t="s">
        <v>737</v>
      </c>
      <c r="O263">
        <v>5</v>
      </c>
      <c r="P263" t="s">
        <v>157</v>
      </c>
      <c r="Q263" t="str">
        <f>IFERROR(VLOOKUP(B263,PercentCPU!B:F,4,FALSE),"")</f>
        <v/>
      </c>
      <c r="R263" t="str">
        <f>IFERROR(VLOOKUP(B263,MemoryAvailable!B:F,3,FALSE),"")</f>
        <v/>
      </c>
      <c r="S263" s="2" t="str">
        <f t="shared" si="86"/>
        <v/>
      </c>
      <c r="T263" t="str">
        <f t="shared" si="87"/>
        <v/>
      </c>
      <c r="U263" s="8">
        <f t="shared" si="88"/>
        <v>0</v>
      </c>
      <c r="V263" s="8" t="str">
        <f t="shared" si="89"/>
        <v/>
      </c>
      <c r="W263" s="8" t="str">
        <f>IFERROR(VLOOKUP(B263,Write_Bytes_ps!B:F,4,FALSE)/1024/1024,"")</f>
        <v/>
      </c>
      <c r="X263" s="8" t="str">
        <f>IFERROR(VLOOKUP(B263,Read_Bytes_ps!B:F,4,FALSE)/1024/1024,"")</f>
        <v/>
      </c>
      <c r="Y263" s="8" t="str">
        <f>IFERROR(VLOOKUP(B263,Writes_ps!B:F,5,FALSE),"")</f>
        <v/>
      </c>
      <c r="Z263" s="8" t="str">
        <f>IFERROR(VLOOKUP(B263,Reads_ps!B:F,5,FALSE),"")</f>
        <v/>
      </c>
      <c r="AA263" s="8">
        <f t="shared" ref="AA263:AA313" si="103">SUM(W263,X263)</f>
        <v>0</v>
      </c>
      <c r="AB263" s="122">
        <f t="shared" si="85"/>
        <v>0</v>
      </c>
      <c r="AC263" s="122" t="str">
        <f t="shared" si="90"/>
        <v>D13</v>
      </c>
      <c r="AE263" s="8" t="str">
        <f>IFERROR(VLOOKUP(AD263,'Web-SKUS'!A:E,2,FALSE),"")</f>
        <v/>
      </c>
      <c r="AF263" s="8">
        <f>_xlfn.NUMBERVALUE(IFERROR(VLOOKUP(AD263,'Web-SKUS'!A:E,4,FALSE),""))</f>
        <v>0</v>
      </c>
      <c r="AG263" s="8">
        <f>IFERROR(VLOOKUP(AD263,VM_Performance_Stats!A:G,7,FALSE),0)</f>
        <v>0</v>
      </c>
      <c r="AH263" s="8" t="str">
        <f>IFERROR(VLOOKUP(AD263,VM_Performance_Stats!A:I,8,FALSE),"")</f>
        <v/>
      </c>
      <c r="AI263" s="8">
        <f t="shared" si="91"/>
        <v>1</v>
      </c>
      <c r="AJ263" s="8">
        <f t="shared" si="92"/>
        <v>0</v>
      </c>
      <c r="AK263" s="8">
        <f>IFERROR(IF(VLOOKUP(AD263,VM_Performance_Stats!A:I,8,FALSE)&gt;AB263,1,0),0)</f>
        <v>0</v>
      </c>
      <c r="AL263" t="str">
        <f>IFERROR(VLOOKUP(AD263,'Web-SKUS'!A:G,7,FALSE),"")</f>
        <v/>
      </c>
      <c r="AM263" s="116" t="str">
        <f t="shared" si="93"/>
        <v/>
      </c>
      <c r="AN263" t="str">
        <f>IFERROR(IF(C263=1,VLOOKUP(K263,'Web-SKUS'!A:G,7,FALSE),VLOOKUP(K263,'Web-SKUS'!A:G,6,FALSE)),"")</f>
        <v>£412.9534/month</v>
      </c>
      <c r="AO263" s="116">
        <f t="shared" si="94"/>
        <v>412.95339999999999</v>
      </c>
      <c r="AP263" s="116">
        <f t="shared" si="95"/>
        <v>412.95339999999999</v>
      </c>
      <c r="AQ263" s="115">
        <f t="shared" si="96"/>
        <v>0</v>
      </c>
      <c r="AR263" s="115">
        <f t="shared" si="98"/>
        <v>0</v>
      </c>
      <c r="AS263" s="115" t="e">
        <f>VLOOKUP(B263,'Willie List'!B:M,12,FALSE)</f>
        <v>#N/A</v>
      </c>
      <c r="AT263" s="115" t="str">
        <f t="shared" si="99"/>
        <v>Standard_D13</v>
      </c>
      <c r="AU263" s="115" t="str">
        <f t="shared" si="100"/>
        <v>D13</v>
      </c>
      <c r="AV263">
        <f t="shared" si="101"/>
        <v>0</v>
      </c>
      <c r="AW263" s="8">
        <f t="shared" si="102"/>
        <v>0</v>
      </c>
    </row>
    <row r="264" spans="2:49">
      <c r="B264" t="s">
        <v>738</v>
      </c>
      <c r="C264" s="8">
        <f>IFERROR(IF(VLOOKUP(B264,'Willie List'!B:B,1,FALSE) &lt;&gt; "",1,0),0)</f>
        <v>0</v>
      </c>
      <c r="D264" s="8"/>
      <c r="E264" t="s">
        <v>95</v>
      </c>
      <c r="F264" t="s">
        <v>739</v>
      </c>
      <c r="G264" t="s">
        <v>152</v>
      </c>
      <c r="H264" t="s">
        <v>153</v>
      </c>
      <c r="I264" t="s">
        <v>276</v>
      </c>
      <c r="J264" t="s">
        <v>39</v>
      </c>
      <c r="K264" s="8" t="str">
        <f t="shared" si="97"/>
        <v>D13</v>
      </c>
      <c r="L264" s="8">
        <f>VLOOKUP(K264,'Web-SKUS'!A:E,2,FALSE)</f>
        <v>8</v>
      </c>
      <c r="M264" s="8" t="str">
        <f>VLOOKUP(K264,'Web-SKUS'!A:E,4,FALSE)</f>
        <v>56</v>
      </c>
      <c r="N264" t="s">
        <v>740</v>
      </c>
      <c r="O264">
        <v>5</v>
      </c>
      <c r="P264" t="s">
        <v>157</v>
      </c>
      <c r="Q264" t="str">
        <f>IFERROR(VLOOKUP(B264,PercentCPU!B:F,4,FALSE),"")</f>
        <v/>
      </c>
      <c r="R264" t="str">
        <f>IFERROR(VLOOKUP(B264,MemoryAvailable!B:F,3,FALSE),"")</f>
        <v/>
      </c>
      <c r="S264" s="2" t="str">
        <f t="shared" si="86"/>
        <v/>
      </c>
      <c r="T264" t="str">
        <f t="shared" si="87"/>
        <v/>
      </c>
      <c r="U264" s="8">
        <f t="shared" si="88"/>
        <v>0</v>
      </c>
      <c r="V264" s="8" t="str">
        <f t="shared" si="89"/>
        <v/>
      </c>
      <c r="W264" s="8" t="str">
        <f>IFERROR(VLOOKUP(B264,Write_Bytes_ps!B:F,4,FALSE)/1024/1024,"")</f>
        <v/>
      </c>
      <c r="X264" s="8" t="str">
        <f>IFERROR(VLOOKUP(B264,Read_Bytes_ps!B:F,4,FALSE)/1024/1024,"")</f>
        <v/>
      </c>
      <c r="Y264" s="8" t="str">
        <f>IFERROR(VLOOKUP(B264,Writes_ps!B:F,5,FALSE),"")</f>
        <v/>
      </c>
      <c r="Z264" s="8" t="str">
        <f>IFERROR(VLOOKUP(B264,Reads_ps!B:F,5,FALSE),"")</f>
        <v/>
      </c>
      <c r="AA264" s="8">
        <f t="shared" si="103"/>
        <v>0</v>
      </c>
      <c r="AB264" s="122">
        <f t="shared" si="85"/>
        <v>0</v>
      </c>
      <c r="AC264" s="122" t="str">
        <f t="shared" si="90"/>
        <v>D13</v>
      </c>
      <c r="AE264" s="8" t="str">
        <f>IFERROR(VLOOKUP(AD264,'Web-SKUS'!A:E,2,FALSE),"")</f>
        <v/>
      </c>
      <c r="AF264" s="8">
        <f>_xlfn.NUMBERVALUE(IFERROR(VLOOKUP(AD264,'Web-SKUS'!A:E,4,FALSE),""))</f>
        <v>0</v>
      </c>
      <c r="AG264" s="8">
        <f>IFERROR(VLOOKUP(AD264,VM_Performance_Stats!A:G,7,FALSE),0)</f>
        <v>0</v>
      </c>
      <c r="AH264" s="8" t="str">
        <f>IFERROR(VLOOKUP(AD264,VM_Performance_Stats!A:I,8,FALSE),"")</f>
        <v/>
      </c>
      <c r="AI264" s="8">
        <f t="shared" si="91"/>
        <v>1</v>
      </c>
      <c r="AJ264" s="8">
        <f t="shared" si="92"/>
        <v>0</v>
      </c>
      <c r="AK264" s="8">
        <f>IFERROR(IF(VLOOKUP(AD264,VM_Performance_Stats!A:I,8,FALSE)&gt;AB264,1,0),0)</f>
        <v>0</v>
      </c>
      <c r="AL264" t="str">
        <f>IFERROR(VLOOKUP(AD264,'Web-SKUS'!A:G,7,FALSE),"")</f>
        <v/>
      </c>
      <c r="AM264" s="116" t="str">
        <f t="shared" si="93"/>
        <v/>
      </c>
      <c r="AN264" t="str">
        <f>IFERROR(IF(C264=1,VLOOKUP(K264,'Web-SKUS'!A:G,7,FALSE),VLOOKUP(K264,'Web-SKUS'!A:G,6,FALSE)),"")</f>
        <v>£412.9534/month</v>
      </c>
      <c r="AO264" s="116">
        <f t="shared" si="94"/>
        <v>412.95339999999999</v>
      </c>
      <c r="AP264" s="116">
        <f t="shared" si="95"/>
        <v>412.95339999999999</v>
      </c>
      <c r="AQ264" s="115">
        <f t="shared" si="96"/>
        <v>0</v>
      </c>
      <c r="AR264" s="115">
        <f t="shared" si="98"/>
        <v>0</v>
      </c>
      <c r="AS264" s="115" t="e">
        <f>VLOOKUP(B264,'Willie List'!B:M,12,FALSE)</f>
        <v>#N/A</v>
      </c>
      <c r="AT264" s="115" t="str">
        <f t="shared" si="99"/>
        <v>Standard_D13</v>
      </c>
      <c r="AU264" s="115" t="str">
        <f t="shared" si="100"/>
        <v>D13</v>
      </c>
      <c r="AV264">
        <f t="shared" si="101"/>
        <v>0</v>
      </c>
      <c r="AW264" s="8">
        <f t="shared" si="102"/>
        <v>0</v>
      </c>
    </row>
    <row r="265" spans="2:49">
      <c r="B265" t="s">
        <v>741</v>
      </c>
      <c r="C265" s="8">
        <f>IFERROR(IF(VLOOKUP(B265,'Willie List'!B:B,1,FALSE) &lt;&gt; "",1,0),0)</f>
        <v>0</v>
      </c>
      <c r="D265" s="8"/>
      <c r="E265" t="s">
        <v>695</v>
      </c>
      <c r="F265" t="s">
        <v>742</v>
      </c>
      <c r="G265" t="s">
        <v>152</v>
      </c>
      <c r="H265" t="s">
        <v>153</v>
      </c>
      <c r="I265" t="s">
        <v>276</v>
      </c>
      <c r="J265" t="s">
        <v>39</v>
      </c>
      <c r="K265" s="8" t="str">
        <f t="shared" si="97"/>
        <v>D13</v>
      </c>
      <c r="L265" s="8">
        <f>VLOOKUP(K265,'Web-SKUS'!A:E,2,FALSE)</f>
        <v>8</v>
      </c>
      <c r="M265" s="8" t="str">
        <f>VLOOKUP(K265,'Web-SKUS'!A:E,4,FALSE)</f>
        <v>56</v>
      </c>
      <c r="N265" t="s">
        <v>743</v>
      </c>
      <c r="O265">
        <v>5</v>
      </c>
      <c r="P265" t="s">
        <v>157</v>
      </c>
      <c r="Q265" t="str">
        <f>IFERROR(VLOOKUP(B265,PercentCPU!B:F,4,FALSE),"")</f>
        <v/>
      </c>
      <c r="R265" t="str">
        <f>IFERROR(VLOOKUP(B265,MemoryAvailable!B:F,3,FALSE),"")</f>
        <v/>
      </c>
      <c r="S265" s="2" t="str">
        <f t="shared" si="86"/>
        <v/>
      </c>
      <c r="T265" t="str">
        <f t="shared" si="87"/>
        <v/>
      </c>
      <c r="U265" s="8">
        <f t="shared" si="88"/>
        <v>0</v>
      </c>
      <c r="V265" s="8" t="str">
        <f t="shared" si="89"/>
        <v/>
      </c>
      <c r="W265" s="8" t="str">
        <f>IFERROR(VLOOKUP(B265,Write_Bytes_ps!B:F,4,FALSE)/1024/1024,"")</f>
        <v/>
      </c>
      <c r="X265" s="8" t="str">
        <f>IFERROR(VLOOKUP(B265,Read_Bytes_ps!B:F,4,FALSE)/1024/1024,"")</f>
        <v/>
      </c>
      <c r="Y265" s="8" t="str">
        <f>IFERROR(VLOOKUP(B265,Writes_ps!B:F,5,FALSE),"")</f>
        <v/>
      </c>
      <c r="Z265" s="8" t="str">
        <f>IFERROR(VLOOKUP(B265,Reads_ps!B:F,5,FALSE),"")</f>
        <v/>
      </c>
      <c r="AA265" s="8">
        <f t="shared" si="103"/>
        <v>0</v>
      </c>
      <c r="AB265" s="122">
        <f t="shared" si="85"/>
        <v>0</v>
      </c>
      <c r="AC265" s="122" t="str">
        <f t="shared" si="90"/>
        <v>D13</v>
      </c>
      <c r="AE265" s="8" t="str">
        <f>IFERROR(VLOOKUP(AD265,'Web-SKUS'!A:E,2,FALSE),"")</f>
        <v/>
      </c>
      <c r="AF265" s="8">
        <f>_xlfn.NUMBERVALUE(IFERROR(VLOOKUP(AD265,'Web-SKUS'!A:E,4,FALSE),""))</f>
        <v>0</v>
      </c>
      <c r="AG265" s="8">
        <f>IFERROR(VLOOKUP(AD265,VM_Performance_Stats!A:G,7,FALSE),0)</f>
        <v>0</v>
      </c>
      <c r="AH265" s="8" t="str">
        <f>IFERROR(VLOOKUP(AD265,VM_Performance_Stats!A:I,8,FALSE),"")</f>
        <v/>
      </c>
      <c r="AI265" s="8">
        <f t="shared" si="91"/>
        <v>1</v>
      </c>
      <c r="AJ265" s="8">
        <f t="shared" si="92"/>
        <v>0</v>
      </c>
      <c r="AK265" s="8">
        <f>IFERROR(IF(VLOOKUP(AD265,VM_Performance_Stats!A:I,8,FALSE)&gt;AB265,1,0),0)</f>
        <v>0</v>
      </c>
      <c r="AL265" t="str">
        <f>IFERROR(VLOOKUP(AD265,'Web-SKUS'!A:G,7,FALSE),"")</f>
        <v/>
      </c>
      <c r="AM265" s="116" t="str">
        <f t="shared" si="93"/>
        <v/>
      </c>
      <c r="AN265" t="str">
        <f>IFERROR(IF(C265=1,VLOOKUP(K265,'Web-SKUS'!A:G,7,FALSE),VLOOKUP(K265,'Web-SKUS'!A:G,6,FALSE)),"")</f>
        <v>£412.9534/month</v>
      </c>
      <c r="AO265" s="116">
        <f t="shared" si="94"/>
        <v>412.95339999999999</v>
      </c>
      <c r="AP265" s="116">
        <f t="shared" si="95"/>
        <v>412.95339999999999</v>
      </c>
      <c r="AQ265" s="115">
        <f t="shared" si="96"/>
        <v>0</v>
      </c>
      <c r="AR265" s="115">
        <f t="shared" si="98"/>
        <v>0</v>
      </c>
      <c r="AS265" s="115" t="e">
        <f>VLOOKUP(B265,'Willie List'!B:M,12,FALSE)</f>
        <v>#N/A</v>
      </c>
      <c r="AT265" s="115" t="str">
        <f t="shared" si="99"/>
        <v>Standard_D13</v>
      </c>
      <c r="AU265" s="115" t="str">
        <f t="shared" si="100"/>
        <v>D13</v>
      </c>
      <c r="AV265">
        <f t="shared" si="101"/>
        <v>0</v>
      </c>
      <c r="AW265" s="8">
        <f t="shared" si="102"/>
        <v>0</v>
      </c>
    </row>
    <row r="266" spans="2:49">
      <c r="B266" t="s">
        <v>744</v>
      </c>
      <c r="C266" s="8">
        <f>IFERROR(IF(VLOOKUP(B266,'Willie List'!B:B,1,FALSE) &lt;&gt; "",1,0),0)</f>
        <v>0</v>
      </c>
      <c r="D266" s="8"/>
      <c r="E266" t="s">
        <v>95</v>
      </c>
      <c r="F266" t="s">
        <v>745</v>
      </c>
      <c r="G266" t="s">
        <v>152</v>
      </c>
      <c r="H266" t="s">
        <v>153</v>
      </c>
      <c r="I266" t="s">
        <v>276</v>
      </c>
      <c r="J266" t="s">
        <v>39</v>
      </c>
      <c r="K266" s="8" t="str">
        <f t="shared" si="97"/>
        <v>D13</v>
      </c>
      <c r="L266" s="8">
        <f>VLOOKUP(K266,'Web-SKUS'!A:E,2,FALSE)</f>
        <v>8</v>
      </c>
      <c r="M266" s="8" t="str">
        <f>VLOOKUP(K266,'Web-SKUS'!A:E,4,FALSE)</f>
        <v>56</v>
      </c>
      <c r="N266" t="s">
        <v>746</v>
      </c>
      <c r="O266">
        <v>5</v>
      </c>
      <c r="P266" t="s">
        <v>157</v>
      </c>
      <c r="Q266" t="str">
        <f>IFERROR(VLOOKUP(B266,PercentCPU!B:F,4,FALSE),"")</f>
        <v/>
      </c>
      <c r="R266" t="str">
        <f>IFERROR(VLOOKUP(B266,MemoryAvailable!B:F,3,FALSE),"")</f>
        <v/>
      </c>
      <c r="S266" s="2" t="str">
        <f t="shared" si="86"/>
        <v/>
      </c>
      <c r="T266" t="str">
        <f t="shared" si="87"/>
        <v/>
      </c>
      <c r="U266" s="8">
        <f t="shared" si="88"/>
        <v>0</v>
      </c>
      <c r="V266" s="8" t="str">
        <f t="shared" si="89"/>
        <v/>
      </c>
      <c r="W266" s="8" t="str">
        <f>IFERROR(VLOOKUP(B266,Write_Bytes_ps!B:F,4,FALSE)/1024/1024,"")</f>
        <v/>
      </c>
      <c r="X266" s="8" t="str">
        <f>IFERROR(VLOOKUP(B266,Read_Bytes_ps!B:F,4,FALSE)/1024/1024,"")</f>
        <v/>
      </c>
      <c r="Y266" s="8" t="str">
        <f>IFERROR(VLOOKUP(B266,Writes_ps!B:F,5,FALSE),"")</f>
        <v/>
      </c>
      <c r="Z266" s="8" t="str">
        <f>IFERROR(VLOOKUP(B266,Reads_ps!B:F,5,FALSE),"")</f>
        <v/>
      </c>
      <c r="AA266" s="8">
        <f t="shared" si="103"/>
        <v>0</v>
      </c>
      <c r="AB266" s="122">
        <f t="shared" si="85"/>
        <v>0</v>
      </c>
      <c r="AC266" s="122" t="str">
        <f t="shared" si="90"/>
        <v>D13</v>
      </c>
      <c r="AE266" s="8" t="str">
        <f>IFERROR(VLOOKUP(AD266,'Web-SKUS'!A:E,2,FALSE),"")</f>
        <v/>
      </c>
      <c r="AF266" s="8">
        <f>_xlfn.NUMBERVALUE(IFERROR(VLOOKUP(AD266,'Web-SKUS'!A:E,4,FALSE),""))</f>
        <v>0</v>
      </c>
      <c r="AG266" s="8">
        <f>IFERROR(VLOOKUP(AD266,VM_Performance_Stats!A:G,7,FALSE),0)</f>
        <v>0</v>
      </c>
      <c r="AH266" s="8" t="str">
        <f>IFERROR(VLOOKUP(AD266,VM_Performance_Stats!A:I,8,FALSE),"")</f>
        <v/>
      </c>
      <c r="AI266" s="8">
        <f t="shared" si="91"/>
        <v>1</v>
      </c>
      <c r="AJ266" s="8">
        <f t="shared" si="92"/>
        <v>0</v>
      </c>
      <c r="AK266" s="8">
        <f>IFERROR(IF(VLOOKUP(AD266,VM_Performance_Stats!A:I,8,FALSE)&gt;AB266,1,0),0)</f>
        <v>0</v>
      </c>
      <c r="AL266" t="str">
        <f>IFERROR(VLOOKUP(AD266,'Web-SKUS'!A:G,7,FALSE),"")</f>
        <v/>
      </c>
      <c r="AM266" s="116" t="str">
        <f t="shared" si="93"/>
        <v/>
      </c>
      <c r="AN266" t="str">
        <f>IFERROR(IF(C266=1,VLOOKUP(K266,'Web-SKUS'!A:G,7,FALSE),VLOOKUP(K266,'Web-SKUS'!A:G,6,FALSE)),"")</f>
        <v>£412.9534/month</v>
      </c>
      <c r="AO266" s="116">
        <f t="shared" si="94"/>
        <v>412.95339999999999</v>
      </c>
      <c r="AP266" s="116">
        <f t="shared" si="95"/>
        <v>412.95339999999999</v>
      </c>
      <c r="AQ266" s="115">
        <f t="shared" si="96"/>
        <v>0</v>
      </c>
      <c r="AR266" s="115">
        <f t="shared" si="98"/>
        <v>0</v>
      </c>
      <c r="AS266" s="115" t="e">
        <f>VLOOKUP(B266,'Willie List'!B:M,12,FALSE)</f>
        <v>#N/A</v>
      </c>
      <c r="AT266" s="115" t="str">
        <f t="shared" si="99"/>
        <v>Standard_D13</v>
      </c>
      <c r="AU266" s="115" t="str">
        <f t="shared" si="100"/>
        <v>D13</v>
      </c>
      <c r="AV266">
        <f t="shared" si="101"/>
        <v>0</v>
      </c>
      <c r="AW266" s="8">
        <f t="shared" si="102"/>
        <v>0</v>
      </c>
    </row>
    <row r="267" spans="2:49">
      <c r="B267" t="s">
        <v>747</v>
      </c>
      <c r="C267" s="8">
        <f>IFERROR(IF(VLOOKUP(B267,'Willie List'!B:B,1,FALSE) &lt;&gt; "",1,0),0)</f>
        <v>0</v>
      </c>
      <c r="D267" s="8"/>
      <c r="E267" t="s">
        <v>695</v>
      </c>
      <c r="F267" t="s">
        <v>748</v>
      </c>
      <c r="G267" t="s">
        <v>152</v>
      </c>
      <c r="H267" t="s">
        <v>153</v>
      </c>
      <c r="I267" t="s">
        <v>276</v>
      </c>
      <c r="J267" t="s">
        <v>39</v>
      </c>
      <c r="K267" s="8" t="str">
        <f t="shared" si="97"/>
        <v>D13</v>
      </c>
      <c r="L267" s="8">
        <f>VLOOKUP(K267,'Web-SKUS'!A:E,2,FALSE)</f>
        <v>8</v>
      </c>
      <c r="M267" s="8" t="str">
        <f>VLOOKUP(K267,'Web-SKUS'!A:E,4,FALSE)</f>
        <v>56</v>
      </c>
      <c r="N267" t="s">
        <v>749</v>
      </c>
      <c r="O267">
        <v>5</v>
      </c>
      <c r="P267" t="s">
        <v>157</v>
      </c>
      <c r="Q267" t="str">
        <f>IFERROR(VLOOKUP(B267,PercentCPU!B:F,4,FALSE),"")</f>
        <v/>
      </c>
      <c r="R267" t="str">
        <f>IFERROR(VLOOKUP(B267,MemoryAvailable!B:F,3,FALSE),"")</f>
        <v/>
      </c>
      <c r="S267" s="2" t="str">
        <f t="shared" si="86"/>
        <v/>
      </c>
      <c r="T267" t="str">
        <f t="shared" si="87"/>
        <v/>
      </c>
      <c r="U267" s="8">
        <f t="shared" si="88"/>
        <v>0</v>
      </c>
      <c r="V267" s="8" t="str">
        <f t="shared" si="89"/>
        <v/>
      </c>
      <c r="W267" s="8" t="str">
        <f>IFERROR(VLOOKUP(B267,Write_Bytes_ps!B:F,4,FALSE)/1024/1024,"")</f>
        <v/>
      </c>
      <c r="X267" s="8" t="str">
        <f>IFERROR(VLOOKUP(B267,Read_Bytes_ps!B:F,4,FALSE)/1024/1024,"")</f>
        <v/>
      </c>
      <c r="Y267" s="8" t="str">
        <f>IFERROR(VLOOKUP(B267,Writes_ps!B:F,5,FALSE),"")</f>
        <v/>
      </c>
      <c r="Z267" s="8" t="str">
        <f>IFERROR(VLOOKUP(B267,Reads_ps!B:F,5,FALSE),"")</f>
        <v/>
      </c>
      <c r="AA267" s="8">
        <f t="shared" si="103"/>
        <v>0</v>
      </c>
      <c r="AB267" s="122">
        <f t="shared" si="85"/>
        <v>0</v>
      </c>
      <c r="AC267" s="122" t="str">
        <f t="shared" si="90"/>
        <v>D13</v>
      </c>
      <c r="AE267" s="8" t="str">
        <f>IFERROR(VLOOKUP(AD267,'Web-SKUS'!A:E,2,FALSE),"")</f>
        <v/>
      </c>
      <c r="AF267" s="8">
        <f>_xlfn.NUMBERVALUE(IFERROR(VLOOKUP(AD267,'Web-SKUS'!A:E,4,FALSE),""))</f>
        <v>0</v>
      </c>
      <c r="AG267" s="8">
        <f>IFERROR(VLOOKUP(AD267,VM_Performance_Stats!A:G,7,FALSE),0)</f>
        <v>0</v>
      </c>
      <c r="AH267" s="8" t="str">
        <f>IFERROR(VLOOKUP(AD267,VM_Performance_Stats!A:I,8,FALSE),"")</f>
        <v/>
      </c>
      <c r="AI267" s="8">
        <f t="shared" si="91"/>
        <v>1</v>
      </c>
      <c r="AJ267" s="8">
        <f t="shared" si="92"/>
        <v>0</v>
      </c>
      <c r="AK267" s="8">
        <f>IFERROR(IF(VLOOKUP(AD267,VM_Performance_Stats!A:I,8,FALSE)&gt;AB267,1,0),0)</f>
        <v>0</v>
      </c>
      <c r="AL267" t="str">
        <f>IFERROR(VLOOKUP(AD267,'Web-SKUS'!A:G,7,FALSE),"")</f>
        <v/>
      </c>
      <c r="AM267" s="116" t="str">
        <f t="shared" si="93"/>
        <v/>
      </c>
      <c r="AN267" t="str">
        <f>IFERROR(IF(C267=1,VLOOKUP(K267,'Web-SKUS'!A:G,7,FALSE),VLOOKUP(K267,'Web-SKUS'!A:G,6,FALSE)),"")</f>
        <v>£412.9534/month</v>
      </c>
      <c r="AO267" s="116">
        <f t="shared" si="94"/>
        <v>412.95339999999999</v>
      </c>
      <c r="AP267" s="116">
        <f t="shared" si="95"/>
        <v>412.95339999999999</v>
      </c>
      <c r="AQ267" s="115">
        <f t="shared" si="96"/>
        <v>0</v>
      </c>
      <c r="AR267" s="115">
        <f t="shared" si="98"/>
        <v>0</v>
      </c>
      <c r="AS267" s="115" t="e">
        <f>VLOOKUP(B267,'Willie List'!B:M,12,FALSE)</f>
        <v>#N/A</v>
      </c>
      <c r="AT267" s="115" t="str">
        <f t="shared" si="99"/>
        <v>Standard_D13</v>
      </c>
      <c r="AU267" s="115" t="str">
        <f t="shared" si="100"/>
        <v>D13</v>
      </c>
      <c r="AV267">
        <f t="shared" si="101"/>
        <v>0</v>
      </c>
      <c r="AW267" s="8">
        <f t="shared" si="102"/>
        <v>0</v>
      </c>
    </row>
    <row r="268" spans="2:49">
      <c r="B268" t="s">
        <v>750</v>
      </c>
      <c r="C268" s="8">
        <f>IFERROR(IF(VLOOKUP(B268,'Willie List'!B:B,1,FALSE) &lt;&gt; "",1,0),0)</f>
        <v>0</v>
      </c>
      <c r="D268" s="8"/>
      <c r="E268" t="s">
        <v>95</v>
      </c>
      <c r="F268" t="s">
        <v>751</v>
      </c>
      <c r="G268" t="s">
        <v>152</v>
      </c>
      <c r="H268" t="s">
        <v>275</v>
      </c>
      <c r="I268" t="s">
        <v>276</v>
      </c>
      <c r="J268" t="s">
        <v>39</v>
      </c>
      <c r="K268" s="8" t="str">
        <f t="shared" si="97"/>
        <v>D13</v>
      </c>
      <c r="L268" s="8">
        <f>VLOOKUP(K268,'Web-SKUS'!A:E,2,FALSE)</f>
        <v>8</v>
      </c>
      <c r="M268" s="8" t="str">
        <f>VLOOKUP(K268,'Web-SKUS'!A:E,4,FALSE)</f>
        <v>56</v>
      </c>
      <c r="N268" t="s">
        <v>752</v>
      </c>
      <c r="O268">
        <v>5</v>
      </c>
      <c r="P268" t="s">
        <v>157</v>
      </c>
      <c r="Q268" t="str">
        <f>IFERROR(VLOOKUP(B268,PercentCPU!B:F,4,FALSE),"")</f>
        <v/>
      </c>
      <c r="R268" t="str">
        <f>IFERROR(VLOOKUP(B268,MemoryAvailable!B:F,3,FALSE),"")</f>
        <v/>
      </c>
      <c r="S268" s="2" t="str">
        <f t="shared" si="86"/>
        <v/>
      </c>
      <c r="T268" t="str">
        <f t="shared" si="87"/>
        <v/>
      </c>
      <c r="U268" s="8">
        <f t="shared" si="88"/>
        <v>0</v>
      </c>
      <c r="V268" s="8" t="str">
        <f t="shared" si="89"/>
        <v/>
      </c>
      <c r="W268" s="8" t="str">
        <f>IFERROR(VLOOKUP(B268,Write_Bytes_ps!B:F,4,FALSE)/1024/1024,"")</f>
        <v/>
      </c>
      <c r="X268" s="8" t="str">
        <f>IFERROR(VLOOKUP(B268,Read_Bytes_ps!B:F,4,FALSE)/1024/1024,"")</f>
        <v/>
      </c>
      <c r="Y268" s="8" t="str">
        <f>IFERROR(VLOOKUP(B268,Writes_ps!B:F,5,FALSE),"")</f>
        <v/>
      </c>
      <c r="Z268" s="8" t="str">
        <f>IFERROR(VLOOKUP(B268,Reads_ps!B:F,5,FALSE),"")</f>
        <v/>
      </c>
      <c r="AA268" s="8">
        <f t="shared" si="103"/>
        <v>0</v>
      </c>
      <c r="AB268" s="122">
        <f t="shared" si="85"/>
        <v>0</v>
      </c>
      <c r="AC268" s="122" t="str">
        <f t="shared" si="90"/>
        <v>D13</v>
      </c>
      <c r="AE268" s="8" t="str">
        <f>IFERROR(VLOOKUP(AD268,'Web-SKUS'!A:E,2,FALSE),"")</f>
        <v/>
      </c>
      <c r="AF268" s="8">
        <f>_xlfn.NUMBERVALUE(IFERROR(VLOOKUP(AD268,'Web-SKUS'!A:E,4,FALSE),""))</f>
        <v>0</v>
      </c>
      <c r="AG268" s="8">
        <f>IFERROR(VLOOKUP(AD268,VM_Performance_Stats!A:G,7,FALSE),0)</f>
        <v>0</v>
      </c>
      <c r="AH268" s="8" t="str">
        <f>IFERROR(VLOOKUP(AD268,VM_Performance_Stats!A:I,8,FALSE),"")</f>
        <v/>
      </c>
      <c r="AI268" s="8">
        <f t="shared" si="91"/>
        <v>1</v>
      </c>
      <c r="AJ268" s="8">
        <f t="shared" si="92"/>
        <v>0</v>
      </c>
      <c r="AK268" s="8">
        <f>IFERROR(IF(VLOOKUP(AD268,VM_Performance_Stats!A:I,8,FALSE)&gt;AB268,1,0),0)</f>
        <v>0</v>
      </c>
      <c r="AL268" t="str">
        <f>IFERROR(VLOOKUP(AD268,'Web-SKUS'!A:G,7,FALSE),"")</f>
        <v/>
      </c>
      <c r="AM268" s="116" t="str">
        <f t="shared" si="93"/>
        <v/>
      </c>
      <c r="AN268" t="str">
        <f>IFERROR(IF(C268=1,VLOOKUP(K268,'Web-SKUS'!A:G,7,FALSE),VLOOKUP(K268,'Web-SKUS'!A:G,6,FALSE)),"")</f>
        <v>£412.9534/month</v>
      </c>
      <c r="AO268" s="116">
        <f t="shared" si="94"/>
        <v>412.95339999999999</v>
      </c>
      <c r="AP268" s="116">
        <f t="shared" si="95"/>
        <v>412.95339999999999</v>
      </c>
      <c r="AQ268" s="115">
        <f t="shared" si="96"/>
        <v>0</v>
      </c>
      <c r="AR268" s="115">
        <f t="shared" si="98"/>
        <v>0</v>
      </c>
      <c r="AS268" s="115" t="e">
        <f>VLOOKUP(B268,'Willie List'!B:M,12,FALSE)</f>
        <v>#N/A</v>
      </c>
      <c r="AT268" s="115" t="str">
        <f t="shared" si="99"/>
        <v>Standard_D13</v>
      </c>
      <c r="AU268" s="115" t="str">
        <f t="shared" si="100"/>
        <v>D13</v>
      </c>
      <c r="AV268">
        <f t="shared" si="101"/>
        <v>0</v>
      </c>
      <c r="AW268" s="8">
        <f t="shared" si="102"/>
        <v>0</v>
      </c>
    </row>
    <row r="269" spans="2:49">
      <c r="B269" t="s">
        <v>753</v>
      </c>
      <c r="C269" s="8">
        <f>IFERROR(IF(VLOOKUP(B269,'Willie List'!B:B,1,FALSE) &lt;&gt; "",1,0),0)</f>
        <v>0</v>
      </c>
      <c r="D269" s="8"/>
      <c r="E269" t="s">
        <v>695</v>
      </c>
      <c r="F269" t="s">
        <v>754</v>
      </c>
      <c r="G269" t="s">
        <v>152</v>
      </c>
      <c r="H269" t="s">
        <v>153</v>
      </c>
      <c r="I269" t="s">
        <v>276</v>
      </c>
      <c r="J269" t="s">
        <v>39</v>
      </c>
      <c r="K269" s="8" t="str">
        <f t="shared" si="97"/>
        <v>D13</v>
      </c>
      <c r="L269" s="8">
        <f>VLOOKUP(K269,'Web-SKUS'!A:E,2,FALSE)</f>
        <v>8</v>
      </c>
      <c r="M269" s="8" t="str">
        <f>VLOOKUP(K269,'Web-SKUS'!A:E,4,FALSE)</f>
        <v>56</v>
      </c>
      <c r="N269" t="s">
        <v>755</v>
      </c>
      <c r="O269">
        <v>5</v>
      </c>
      <c r="P269" t="s">
        <v>157</v>
      </c>
      <c r="Q269" t="str">
        <f>IFERROR(VLOOKUP(B269,PercentCPU!B:F,4,FALSE),"")</f>
        <v/>
      </c>
      <c r="R269" t="str">
        <f>IFERROR(VLOOKUP(B269,MemoryAvailable!B:F,3,FALSE),"")</f>
        <v/>
      </c>
      <c r="S269" s="2" t="str">
        <f t="shared" si="86"/>
        <v/>
      </c>
      <c r="T269" t="str">
        <f t="shared" si="87"/>
        <v/>
      </c>
      <c r="U269" s="8">
        <f t="shared" si="88"/>
        <v>0</v>
      </c>
      <c r="V269" s="8" t="str">
        <f t="shared" si="89"/>
        <v/>
      </c>
      <c r="W269" s="8" t="str">
        <f>IFERROR(VLOOKUP(B269,Write_Bytes_ps!B:F,4,FALSE)/1024/1024,"")</f>
        <v/>
      </c>
      <c r="X269" s="8" t="str">
        <f>IFERROR(VLOOKUP(B269,Read_Bytes_ps!B:F,4,FALSE)/1024/1024,"")</f>
        <v/>
      </c>
      <c r="Y269" s="8" t="str">
        <f>IFERROR(VLOOKUP(B269,Writes_ps!B:F,5,FALSE),"")</f>
        <v/>
      </c>
      <c r="Z269" s="8" t="str">
        <f>IFERROR(VLOOKUP(B269,Reads_ps!B:F,5,FALSE),"")</f>
        <v/>
      </c>
      <c r="AA269" s="8">
        <f t="shared" si="103"/>
        <v>0</v>
      </c>
      <c r="AB269" s="122">
        <f t="shared" si="85"/>
        <v>0</v>
      </c>
      <c r="AC269" s="122" t="str">
        <f t="shared" si="90"/>
        <v>D13</v>
      </c>
      <c r="AE269" s="8" t="str">
        <f>IFERROR(VLOOKUP(AD269,'Web-SKUS'!A:E,2,FALSE),"")</f>
        <v/>
      </c>
      <c r="AF269" s="8">
        <f>_xlfn.NUMBERVALUE(IFERROR(VLOOKUP(AD269,'Web-SKUS'!A:E,4,FALSE),""))</f>
        <v>0</v>
      </c>
      <c r="AG269" s="8">
        <f>IFERROR(VLOOKUP(AD269,VM_Performance_Stats!A:G,7,FALSE),0)</f>
        <v>0</v>
      </c>
      <c r="AH269" s="8" t="str">
        <f>IFERROR(VLOOKUP(AD269,VM_Performance_Stats!A:I,8,FALSE),"")</f>
        <v/>
      </c>
      <c r="AI269" s="8">
        <f t="shared" si="91"/>
        <v>1</v>
      </c>
      <c r="AJ269" s="8">
        <f t="shared" si="92"/>
        <v>0</v>
      </c>
      <c r="AK269" s="8">
        <f>IFERROR(IF(VLOOKUP(AD269,VM_Performance_Stats!A:I,8,FALSE)&gt;AB269,1,0),0)</f>
        <v>0</v>
      </c>
      <c r="AL269" t="str">
        <f>IFERROR(VLOOKUP(AD269,'Web-SKUS'!A:G,7,FALSE),"")</f>
        <v/>
      </c>
      <c r="AM269" s="116" t="str">
        <f t="shared" si="93"/>
        <v/>
      </c>
      <c r="AN269" t="str">
        <f>IFERROR(IF(C269=1,VLOOKUP(K269,'Web-SKUS'!A:G,7,FALSE),VLOOKUP(K269,'Web-SKUS'!A:G,6,FALSE)),"")</f>
        <v>£412.9534/month</v>
      </c>
      <c r="AO269" s="116">
        <f t="shared" si="94"/>
        <v>412.95339999999999</v>
      </c>
      <c r="AP269" s="116">
        <f t="shared" si="95"/>
        <v>412.95339999999999</v>
      </c>
      <c r="AQ269" s="115">
        <f t="shared" si="96"/>
        <v>0</v>
      </c>
      <c r="AR269" s="115">
        <f t="shared" si="98"/>
        <v>0</v>
      </c>
      <c r="AS269" s="115" t="e">
        <f>VLOOKUP(B269,'Willie List'!B:M,12,FALSE)</f>
        <v>#N/A</v>
      </c>
      <c r="AT269" s="115" t="str">
        <f t="shared" si="99"/>
        <v>Standard_D13</v>
      </c>
      <c r="AU269" s="115" t="str">
        <f t="shared" si="100"/>
        <v>D13</v>
      </c>
      <c r="AV269">
        <f t="shared" si="101"/>
        <v>0</v>
      </c>
      <c r="AW269" s="8">
        <f t="shared" si="102"/>
        <v>0</v>
      </c>
    </row>
    <row r="270" spans="2:49">
      <c r="B270" t="s">
        <v>756</v>
      </c>
      <c r="C270" s="8">
        <f>IFERROR(IF(VLOOKUP(B270,'Willie List'!B:B,1,FALSE) &lt;&gt; "",1,0),0)</f>
        <v>0</v>
      </c>
      <c r="D270" s="8"/>
      <c r="E270" t="s">
        <v>95</v>
      </c>
      <c r="F270" t="s">
        <v>757</v>
      </c>
      <c r="G270" t="s">
        <v>152</v>
      </c>
      <c r="H270" t="s">
        <v>275</v>
      </c>
      <c r="I270" t="s">
        <v>276</v>
      </c>
      <c r="J270" t="s">
        <v>45</v>
      </c>
      <c r="K270" s="8" t="str">
        <f t="shared" si="97"/>
        <v>DS13 v2</v>
      </c>
      <c r="L270" s="8">
        <f>VLOOKUP(K270,'Web-SKUS'!A:E,2,FALSE)</f>
        <v>8</v>
      </c>
      <c r="M270" s="8" t="str">
        <f>VLOOKUP(K270,'Web-SKUS'!A:E,4,FALSE)</f>
        <v>56</v>
      </c>
      <c r="N270" t="s">
        <v>758</v>
      </c>
      <c r="O270">
        <v>5</v>
      </c>
      <c r="P270" t="s">
        <v>157</v>
      </c>
      <c r="Q270" t="str">
        <f>IFERROR(VLOOKUP(B270,PercentCPU!B:F,4,FALSE),"")</f>
        <v/>
      </c>
      <c r="R270" t="str">
        <f>IFERROR(VLOOKUP(B270,MemoryAvailable!B:F,3,FALSE),"")</f>
        <v/>
      </c>
      <c r="S270" s="2" t="str">
        <f t="shared" si="86"/>
        <v/>
      </c>
      <c r="T270" t="str">
        <f t="shared" si="87"/>
        <v/>
      </c>
      <c r="U270" s="8">
        <f t="shared" si="88"/>
        <v>0</v>
      </c>
      <c r="V270" s="8" t="str">
        <f t="shared" si="89"/>
        <v/>
      </c>
      <c r="W270" s="8" t="str">
        <f>IFERROR(VLOOKUP(B270,Write_Bytes_ps!B:F,4,FALSE)/1024/1024,"")</f>
        <v/>
      </c>
      <c r="X270" s="8" t="str">
        <f>IFERROR(VLOOKUP(B270,Read_Bytes_ps!B:F,4,FALSE)/1024/1024,"")</f>
        <v/>
      </c>
      <c r="Y270" s="8" t="str">
        <f>IFERROR(VLOOKUP(B270,Writes_ps!B:F,5,FALSE),"")</f>
        <v/>
      </c>
      <c r="Z270" s="8" t="str">
        <f>IFERROR(VLOOKUP(B270,Reads_ps!B:F,5,FALSE),"")</f>
        <v/>
      </c>
      <c r="AA270" s="8">
        <f t="shared" si="103"/>
        <v>0</v>
      </c>
      <c r="AB270" s="122">
        <f t="shared" si="85"/>
        <v>0</v>
      </c>
      <c r="AC270" s="122" t="str">
        <f t="shared" si="90"/>
        <v>DS13 v2</v>
      </c>
      <c r="AE270" s="8" t="str">
        <f>IFERROR(VLOOKUP(AD270,'Web-SKUS'!A:E,2,FALSE),"")</f>
        <v/>
      </c>
      <c r="AF270" s="8">
        <f>_xlfn.NUMBERVALUE(IFERROR(VLOOKUP(AD270,'Web-SKUS'!A:E,4,FALSE),""))</f>
        <v>0</v>
      </c>
      <c r="AG270" s="8">
        <f>IFERROR(VLOOKUP(AD270,VM_Performance_Stats!A:G,7,FALSE),0)</f>
        <v>0</v>
      </c>
      <c r="AH270" s="8" t="str">
        <f>IFERROR(VLOOKUP(AD270,VM_Performance_Stats!A:I,8,FALSE),"")</f>
        <v/>
      </c>
      <c r="AI270" s="8">
        <f t="shared" si="91"/>
        <v>1</v>
      </c>
      <c r="AJ270" s="8">
        <f t="shared" si="92"/>
        <v>0</v>
      </c>
      <c r="AK270" s="8">
        <f>IFERROR(IF(VLOOKUP(AD270,VM_Performance_Stats!A:I,8,FALSE)&gt;AB270,1,0),0)</f>
        <v>0</v>
      </c>
      <c r="AL270" t="str">
        <f>IFERROR(VLOOKUP(AD270,'Web-SKUS'!A:G,7,FALSE),"")</f>
        <v/>
      </c>
      <c r="AM270" s="116" t="str">
        <f t="shared" si="93"/>
        <v/>
      </c>
      <c r="AN270" t="str">
        <f>IFERROR(IF(C270=1,VLOOKUP(K270,'Web-SKUS'!A:G,7,FALSE),VLOOKUP(K270,'Web-SKUS'!A:G,6,FALSE)),"")</f>
        <v>£412.9534/month</v>
      </c>
      <c r="AO270" s="116">
        <f t="shared" si="94"/>
        <v>412.95339999999999</v>
      </c>
      <c r="AP270" s="116">
        <f t="shared" si="95"/>
        <v>412.95339999999999</v>
      </c>
      <c r="AQ270" s="115">
        <f t="shared" si="96"/>
        <v>0</v>
      </c>
      <c r="AR270" s="115">
        <f t="shared" si="98"/>
        <v>0</v>
      </c>
      <c r="AS270" s="115" t="e">
        <f>VLOOKUP(B270,'Willie List'!B:M,12,FALSE)</f>
        <v>#N/A</v>
      </c>
      <c r="AT270" s="115" t="str">
        <f t="shared" si="99"/>
        <v>Standard_DS13_v2</v>
      </c>
      <c r="AU270" s="115" t="str">
        <f t="shared" si="100"/>
        <v>DS13 v2</v>
      </c>
      <c r="AV270">
        <f t="shared" si="101"/>
        <v>0</v>
      </c>
      <c r="AW270" s="8">
        <f t="shared" si="102"/>
        <v>0</v>
      </c>
    </row>
    <row r="271" spans="2:49">
      <c r="B271" t="s">
        <v>759</v>
      </c>
      <c r="C271" s="8">
        <f>IFERROR(IF(VLOOKUP(B271,'Willie List'!B:B,1,FALSE) &lt;&gt; "",1,0),0)</f>
        <v>0</v>
      </c>
      <c r="D271" s="8"/>
      <c r="E271" t="s">
        <v>95</v>
      </c>
      <c r="F271" t="s">
        <v>760</v>
      </c>
      <c r="G271" t="s">
        <v>152</v>
      </c>
      <c r="H271" t="s">
        <v>153</v>
      </c>
      <c r="I271" t="s">
        <v>276</v>
      </c>
      <c r="J271" t="s">
        <v>39</v>
      </c>
      <c r="K271" s="8" t="str">
        <f t="shared" si="97"/>
        <v>D13</v>
      </c>
      <c r="L271" s="8">
        <f>VLOOKUP(K271,'Web-SKUS'!A:E,2,FALSE)</f>
        <v>8</v>
      </c>
      <c r="M271" s="8" t="str">
        <f>VLOOKUP(K271,'Web-SKUS'!A:E,4,FALSE)</f>
        <v>56</v>
      </c>
      <c r="N271" t="s">
        <v>761</v>
      </c>
      <c r="O271">
        <v>5</v>
      </c>
      <c r="P271" t="s">
        <v>157</v>
      </c>
      <c r="Q271" t="str">
        <f>IFERROR(VLOOKUP(B271,PercentCPU!B:F,4,FALSE),"")</f>
        <v/>
      </c>
      <c r="R271" t="str">
        <f>IFERROR(VLOOKUP(B271,MemoryAvailable!B:F,3,FALSE),"")</f>
        <v/>
      </c>
      <c r="S271" s="2" t="str">
        <f t="shared" si="86"/>
        <v/>
      </c>
      <c r="T271" t="str">
        <f t="shared" si="87"/>
        <v/>
      </c>
      <c r="U271" s="8">
        <f t="shared" si="88"/>
        <v>0</v>
      </c>
      <c r="V271" s="8" t="str">
        <f t="shared" si="89"/>
        <v/>
      </c>
      <c r="W271" s="8" t="str">
        <f>IFERROR(VLOOKUP(B271,Write_Bytes_ps!B:F,4,FALSE)/1024/1024,"")</f>
        <v/>
      </c>
      <c r="X271" s="8" t="str">
        <f>IFERROR(VLOOKUP(B271,Read_Bytes_ps!B:F,4,FALSE)/1024/1024,"")</f>
        <v/>
      </c>
      <c r="Y271" s="8" t="str">
        <f>IFERROR(VLOOKUP(B271,Writes_ps!B:F,5,FALSE),"")</f>
        <v/>
      </c>
      <c r="Z271" s="8" t="str">
        <f>IFERROR(VLOOKUP(B271,Reads_ps!B:F,5,FALSE),"")</f>
        <v/>
      </c>
      <c r="AA271" s="8">
        <f t="shared" si="103"/>
        <v>0</v>
      </c>
      <c r="AB271" s="122">
        <f t="shared" si="85"/>
        <v>0</v>
      </c>
      <c r="AC271" s="122" t="str">
        <f t="shared" si="90"/>
        <v>D13</v>
      </c>
      <c r="AE271" s="8" t="str">
        <f>IFERROR(VLOOKUP(AD271,'Web-SKUS'!A:E,2,FALSE),"")</f>
        <v/>
      </c>
      <c r="AF271" s="8">
        <f>_xlfn.NUMBERVALUE(IFERROR(VLOOKUP(AD271,'Web-SKUS'!A:E,4,FALSE),""))</f>
        <v>0</v>
      </c>
      <c r="AG271" s="8">
        <f>IFERROR(VLOOKUP(AD271,VM_Performance_Stats!A:G,7,FALSE),0)</f>
        <v>0</v>
      </c>
      <c r="AH271" s="8" t="str">
        <f>IFERROR(VLOOKUP(AD271,VM_Performance_Stats!A:I,8,FALSE),"")</f>
        <v/>
      </c>
      <c r="AI271" s="8">
        <f t="shared" si="91"/>
        <v>1</v>
      </c>
      <c r="AJ271" s="8">
        <f t="shared" si="92"/>
        <v>0</v>
      </c>
      <c r="AK271" s="8">
        <f>IFERROR(IF(VLOOKUP(AD271,VM_Performance_Stats!A:I,8,FALSE)&gt;AB271,1,0),0)</f>
        <v>0</v>
      </c>
      <c r="AL271" t="str">
        <f>IFERROR(VLOOKUP(AD271,'Web-SKUS'!A:G,7,FALSE),"")</f>
        <v/>
      </c>
      <c r="AM271" s="116" t="str">
        <f t="shared" si="93"/>
        <v/>
      </c>
      <c r="AN271" t="str">
        <f>IFERROR(IF(C271=1,VLOOKUP(K271,'Web-SKUS'!A:G,7,FALSE),VLOOKUP(K271,'Web-SKUS'!A:G,6,FALSE)),"")</f>
        <v>£412.9534/month</v>
      </c>
      <c r="AO271" s="116">
        <f t="shared" si="94"/>
        <v>412.95339999999999</v>
      </c>
      <c r="AP271" s="116">
        <f t="shared" si="95"/>
        <v>412.95339999999999</v>
      </c>
      <c r="AQ271" s="115">
        <f t="shared" si="96"/>
        <v>0</v>
      </c>
      <c r="AR271" s="115">
        <f t="shared" si="98"/>
        <v>0</v>
      </c>
      <c r="AS271" s="115" t="e">
        <f>VLOOKUP(B271,'Willie List'!B:M,12,FALSE)</f>
        <v>#N/A</v>
      </c>
      <c r="AT271" s="115" t="str">
        <f t="shared" si="99"/>
        <v>Standard_D13</v>
      </c>
      <c r="AU271" s="115" t="str">
        <f t="shared" si="100"/>
        <v>D13</v>
      </c>
      <c r="AV271">
        <f t="shared" si="101"/>
        <v>0</v>
      </c>
      <c r="AW271" s="8">
        <f t="shared" si="102"/>
        <v>0</v>
      </c>
    </row>
    <row r="272" spans="2:49">
      <c r="B272" t="s">
        <v>762</v>
      </c>
      <c r="C272" s="8">
        <f>IFERROR(IF(VLOOKUP(B272,'Willie List'!B:B,1,FALSE) &lt;&gt; "",1,0),0)</f>
        <v>0</v>
      </c>
      <c r="D272" s="8"/>
      <c r="E272" t="s">
        <v>175</v>
      </c>
      <c r="F272" t="s">
        <v>176</v>
      </c>
      <c r="G272" t="s">
        <v>152</v>
      </c>
      <c r="H272" t="s">
        <v>153</v>
      </c>
      <c r="I272" t="s">
        <v>154</v>
      </c>
      <c r="J272" t="s">
        <v>193</v>
      </c>
      <c r="K272" s="8" t="str">
        <f t="shared" si="97"/>
        <v>DS12 v2</v>
      </c>
      <c r="L272" s="8">
        <f>VLOOKUP(K272,'Web-SKUS'!A:E,2,FALSE)</f>
        <v>4</v>
      </c>
      <c r="M272" s="8" t="str">
        <f>VLOOKUP(K272,'Web-SKUS'!A:E,4,FALSE)</f>
        <v>28</v>
      </c>
      <c r="N272" t="s">
        <v>763</v>
      </c>
      <c r="O272">
        <v>3</v>
      </c>
      <c r="P272" t="s">
        <v>157</v>
      </c>
      <c r="Q272" t="str">
        <f>IFERROR(VLOOKUP(B272,PercentCPU!B:F,4,FALSE),"")</f>
        <v/>
      </c>
      <c r="R272" t="str">
        <f>IFERROR(VLOOKUP(B272,MemoryAvailable!B:F,3,FALSE),"")</f>
        <v/>
      </c>
      <c r="S272" s="2" t="str">
        <f t="shared" si="86"/>
        <v/>
      </c>
      <c r="T272" t="str">
        <f t="shared" si="87"/>
        <v/>
      </c>
      <c r="U272" s="8">
        <f t="shared" si="88"/>
        <v>0</v>
      </c>
      <c r="V272" s="8" t="str">
        <f t="shared" si="89"/>
        <v/>
      </c>
      <c r="W272" s="8" t="str">
        <f>IFERROR(VLOOKUP(B272,Write_Bytes_ps!B:F,4,FALSE)/1024/1024,"")</f>
        <v/>
      </c>
      <c r="X272" s="8" t="str">
        <f>IFERROR(VLOOKUP(B272,Read_Bytes_ps!B:F,4,FALSE)/1024/1024,"")</f>
        <v/>
      </c>
      <c r="Y272" s="8" t="str">
        <f>IFERROR(VLOOKUP(B272,Writes_ps!B:F,5,FALSE),"")</f>
        <v/>
      </c>
      <c r="Z272" s="8" t="str">
        <f>IFERROR(VLOOKUP(B272,Reads_ps!B:F,5,FALSE),"")</f>
        <v/>
      </c>
      <c r="AA272" s="8">
        <f t="shared" si="103"/>
        <v>0</v>
      </c>
      <c r="AB272" s="122">
        <f t="shared" si="85"/>
        <v>0</v>
      </c>
      <c r="AC272" s="122" t="str">
        <f t="shared" si="90"/>
        <v>DS12 v2</v>
      </c>
      <c r="AE272" s="8" t="str">
        <f>IFERROR(VLOOKUP(AD272,'Web-SKUS'!A:E,2,FALSE),"")</f>
        <v/>
      </c>
      <c r="AF272" s="8">
        <f>_xlfn.NUMBERVALUE(IFERROR(VLOOKUP(AD272,'Web-SKUS'!A:E,4,FALSE),""))</f>
        <v>0</v>
      </c>
      <c r="AG272" s="8">
        <f>IFERROR(VLOOKUP(AD272,VM_Performance_Stats!A:G,7,FALSE),0)</f>
        <v>0</v>
      </c>
      <c r="AH272" s="8" t="str">
        <f>IFERROR(VLOOKUP(AD272,VM_Performance_Stats!A:I,8,FALSE),"")</f>
        <v/>
      </c>
      <c r="AI272" s="8">
        <f t="shared" si="91"/>
        <v>1</v>
      </c>
      <c r="AJ272" s="8">
        <f t="shared" si="92"/>
        <v>0</v>
      </c>
      <c r="AK272" s="8">
        <f>IFERROR(IF(VLOOKUP(AD272,VM_Performance_Stats!A:I,8,FALSE)&gt;AB272,1,0),0)</f>
        <v>0</v>
      </c>
      <c r="AL272" t="str">
        <f>IFERROR(VLOOKUP(AD272,'Web-SKUS'!A:G,7,FALSE),"")</f>
        <v/>
      </c>
      <c r="AM272" s="116" t="str">
        <f t="shared" si="93"/>
        <v/>
      </c>
      <c r="AN272" t="str">
        <f>IFERROR(IF(C272=1,VLOOKUP(K272,'Web-SKUS'!A:G,7,FALSE),VLOOKUP(K272,'Web-SKUS'!A:G,6,FALSE)),"")</f>
        <v>£206.2047/month</v>
      </c>
      <c r="AO272" s="116">
        <f t="shared" si="94"/>
        <v>206.2047</v>
      </c>
      <c r="AP272" s="116">
        <f t="shared" si="95"/>
        <v>206.2047</v>
      </c>
      <c r="AQ272" s="115">
        <f t="shared" si="96"/>
        <v>0</v>
      </c>
      <c r="AR272" s="115">
        <f t="shared" si="98"/>
        <v>0</v>
      </c>
      <c r="AS272" s="115" t="e">
        <f>VLOOKUP(B272,'Willie List'!B:M,12,FALSE)</f>
        <v>#N/A</v>
      </c>
      <c r="AT272" s="115" t="str">
        <f t="shared" si="99"/>
        <v>Standard_DS12_v2</v>
      </c>
      <c r="AU272" s="115" t="str">
        <f t="shared" si="100"/>
        <v>DS12 v2</v>
      </c>
      <c r="AV272">
        <f t="shared" si="101"/>
        <v>0</v>
      </c>
      <c r="AW272" s="8">
        <f t="shared" si="102"/>
        <v>0</v>
      </c>
    </row>
    <row r="273" spans="1:49">
      <c r="B273" t="s">
        <v>764</v>
      </c>
      <c r="C273" s="8">
        <f>IFERROR(IF(VLOOKUP(B273,'Willie List'!B:B,1,FALSE) &lt;&gt; "",1,0),0)</f>
        <v>0</v>
      </c>
      <c r="D273" s="8"/>
      <c r="E273" t="s">
        <v>454</v>
      </c>
      <c r="F273" t="s">
        <v>765</v>
      </c>
      <c r="G273" t="s">
        <v>152</v>
      </c>
      <c r="H273" t="s">
        <v>153</v>
      </c>
      <c r="I273" t="s">
        <v>276</v>
      </c>
      <c r="J273" t="s">
        <v>56</v>
      </c>
      <c r="K273" s="8" t="str">
        <f t="shared" si="97"/>
        <v>D2ds v4</v>
      </c>
      <c r="L273" s="8">
        <f>VLOOKUP(K273,'Web-SKUS'!A:E,2,FALSE)</f>
        <v>2</v>
      </c>
      <c r="M273" s="8" t="str">
        <f>VLOOKUP(K273,'Web-SKUS'!A:E,4,FALSE)</f>
        <v>8</v>
      </c>
      <c r="N273" t="s">
        <v>766</v>
      </c>
      <c r="O273">
        <v>1</v>
      </c>
      <c r="P273" t="s">
        <v>157</v>
      </c>
      <c r="Q273" t="str">
        <f>IFERROR(VLOOKUP(B273,PercentCPU!B:F,4,FALSE),"")</f>
        <v/>
      </c>
      <c r="R273" t="str">
        <f>IFERROR(VLOOKUP(B273,MemoryAvailable!B:F,3,FALSE),"")</f>
        <v/>
      </c>
      <c r="S273" s="2" t="str">
        <f t="shared" si="86"/>
        <v/>
      </c>
      <c r="T273" t="str">
        <f t="shared" si="87"/>
        <v/>
      </c>
      <c r="U273" s="8">
        <f t="shared" si="88"/>
        <v>0</v>
      </c>
      <c r="V273" s="8" t="str">
        <f t="shared" si="89"/>
        <v/>
      </c>
      <c r="W273" s="8" t="str">
        <f>IFERROR(VLOOKUP(B273,Write_Bytes_ps!B:F,4,FALSE)/1024/1024,"")</f>
        <v/>
      </c>
      <c r="X273" s="8" t="str">
        <f>IFERROR(VLOOKUP(B273,Read_Bytes_ps!B:F,4,FALSE)/1024/1024,"")</f>
        <v/>
      </c>
      <c r="Y273" s="8" t="str">
        <f>IFERROR(VLOOKUP(B273,Writes_ps!B:F,5,FALSE),"")</f>
        <v/>
      </c>
      <c r="Z273" s="8" t="str">
        <f>IFERROR(VLOOKUP(B273,Reads_ps!B:F,5,FALSE),"")</f>
        <v/>
      </c>
      <c r="AA273" s="8">
        <f t="shared" si="103"/>
        <v>0</v>
      </c>
      <c r="AB273" s="122">
        <f t="shared" si="85"/>
        <v>0</v>
      </c>
      <c r="AC273" s="122" t="str">
        <f t="shared" si="90"/>
        <v>D2ds v4</v>
      </c>
      <c r="AE273" s="8" t="str">
        <f>IFERROR(VLOOKUP(AD273,'Web-SKUS'!A:E,2,FALSE),"")</f>
        <v/>
      </c>
      <c r="AF273" s="8">
        <f>_xlfn.NUMBERVALUE(IFERROR(VLOOKUP(AD273,'Web-SKUS'!A:E,4,FALSE),""))</f>
        <v>0</v>
      </c>
      <c r="AG273" s="8">
        <f>IFERROR(VLOOKUP(AD273,VM_Performance_Stats!A:G,7,FALSE),0)</f>
        <v>0</v>
      </c>
      <c r="AH273" s="8" t="str">
        <f>IFERROR(VLOOKUP(AD273,VM_Performance_Stats!A:I,8,FALSE),"")</f>
        <v/>
      </c>
      <c r="AI273" s="8">
        <f t="shared" si="91"/>
        <v>1</v>
      </c>
      <c r="AJ273" s="8">
        <f t="shared" si="92"/>
        <v>0</v>
      </c>
      <c r="AK273" s="8">
        <f>IFERROR(IF(VLOOKUP(AD273,VM_Performance_Stats!A:I,8,FALSE)&gt;AB273,1,0),0)</f>
        <v>0</v>
      </c>
      <c r="AL273" t="str">
        <f>IFERROR(VLOOKUP(AD273,'Web-SKUS'!A:G,7,FALSE),"")</f>
        <v/>
      </c>
      <c r="AM273" s="116" t="str">
        <f t="shared" si="93"/>
        <v/>
      </c>
      <c r="AN273" t="str">
        <f>IFERROR(IF(C273=1,VLOOKUP(K273,'Web-SKUS'!A:G,7,FALSE),VLOOKUP(K273,'Web-SKUS'!A:G,6,FALSE)),"")</f>
        <v>£73.9943/month</v>
      </c>
      <c r="AO273" s="116">
        <f t="shared" si="94"/>
        <v>73.994299999999996</v>
      </c>
      <c r="AP273" s="116">
        <f t="shared" si="95"/>
        <v>73.994299999999996</v>
      </c>
      <c r="AQ273" s="115">
        <f t="shared" si="96"/>
        <v>0</v>
      </c>
      <c r="AR273" s="115">
        <f t="shared" si="98"/>
        <v>0</v>
      </c>
      <c r="AS273" s="115" t="e">
        <f>VLOOKUP(B273,'Willie List'!B:M,12,FALSE)</f>
        <v>#N/A</v>
      </c>
      <c r="AT273" s="115" t="str">
        <f t="shared" si="99"/>
        <v>Standard_D2ds_v4</v>
      </c>
      <c r="AU273" s="115" t="str">
        <f t="shared" si="100"/>
        <v>D2ds v4</v>
      </c>
      <c r="AV273">
        <f t="shared" si="101"/>
        <v>0</v>
      </c>
      <c r="AW273" s="8">
        <f t="shared" si="102"/>
        <v>0</v>
      </c>
    </row>
    <row r="274" spans="1:49">
      <c r="B274" t="s">
        <v>767</v>
      </c>
      <c r="C274" s="8">
        <f>IFERROR(IF(VLOOKUP(B274,'Willie List'!B:B,1,FALSE) &lt;&gt; "",1,0),0)</f>
        <v>0</v>
      </c>
      <c r="D274" s="8"/>
      <c r="E274" t="s">
        <v>95</v>
      </c>
      <c r="F274" t="s">
        <v>159</v>
      </c>
      <c r="G274" t="s">
        <v>152</v>
      </c>
      <c r="H274" t="s">
        <v>153</v>
      </c>
      <c r="I274" t="s">
        <v>154</v>
      </c>
      <c r="J274" t="s">
        <v>155</v>
      </c>
      <c r="K274" s="8" t="str">
        <f t="shared" si="97"/>
        <v>DS3 v2</v>
      </c>
      <c r="L274" s="8">
        <f>VLOOKUP(K274,'Web-SKUS'!A:E,2,FALSE)</f>
        <v>4</v>
      </c>
      <c r="M274" s="8" t="str">
        <f>VLOOKUP(K274,'Web-SKUS'!A:E,4,FALSE)</f>
        <v>14</v>
      </c>
      <c r="N274" t="s">
        <v>768</v>
      </c>
      <c r="O274">
        <v>3</v>
      </c>
      <c r="P274" t="s">
        <v>157</v>
      </c>
      <c r="Q274" t="str">
        <f>IFERROR(VLOOKUP(B274,PercentCPU!B:F,4,FALSE),"")</f>
        <v/>
      </c>
      <c r="R274" t="str">
        <f>IFERROR(VLOOKUP(B274,MemoryAvailable!B:F,3,FALSE),"")</f>
        <v/>
      </c>
      <c r="S274" s="2" t="str">
        <f t="shared" si="86"/>
        <v/>
      </c>
      <c r="T274" t="str">
        <f t="shared" si="87"/>
        <v/>
      </c>
      <c r="U274" s="8">
        <f t="shared" si="88"/>
        <v>0</v>
      </c>
      <c r="V274" s="8" t="str">
        <f t="shared" si="89"/>
        <v/>
      </c>
      <c r="W274" s="8" t="str">
        <f>IFERROR(VLOOKUP(B274,Write_Bytes_ps!B:F,4,FALSE)/1024/1024,"")</f>
        <v/>
      </c>
      <c r="X274" s="8" t="str">
        <f>IFERROR(VLOOKUP(B274,Read_Bytes_ps!B:F,4,FALSE)/1024/1024,"")</f>
        <v/>
      </c>
      <c r="Y274" s="8" t="str">
        <f>IFERROR(VLOOKUP(B274,Writes_ps!B:F,5,FALSE),"")</f>
        <v/>
      </c>
      <c r="Z274" s="8" t="str">
        <f>IFERROR(VLOOKUP(B274,Reads_ps!B:F,5,FALSE),"")</f>
        <v/>
      </c>
      <c r="AA274" s="8">
        <f t="shared" si="103"/>
        <v>0</v>
      </c>
      <c r="AB274" s="122">
        <f t="shared" si="85"/>
        <v>0</v>
      </c>
      <c r="AC274" s="122" t="str">
        <f t="shared" si="90"/>
        <v>DS3 v2</v>
      </c>
      <c r="AE274" s="8" t="str">
        <f>IFERROR(VLOOKUP(AD274,'Web-SKUS'!A:E,2,FALSE),"")</f>
        <v/>
      </c>
      <c r="AF274" s="8">
        <f>_xlfn.NUMBERVALUE(IFERROR(VLOOKUP(AD274,'Web-SKUS'!A:E,4,FALSE),""))</f>
        <v>0</v>
      </c>
      <c r="AG274" s="8">
        <f>IFERROR(VLOOKUP(AD274,VM_Performance_Stats!A:G,7,FALSE),0)</f>
        <v>0</v>
      </c>
      <c r="AH274" s="8" t="str">
        <f>IFERROR(VLOOKUP(AD274,VM_Performance_Stats!A:I,8,FALSE),"")</f>
        <v/>
      </c>
      <c r="AI274" s="8">
        <f t="shared" si="91"/>
        <v>1</v>
      </c>
      <c r="AJ274" s="8">
        <f t="shared" si="92"/>
        <v>0</v>
      </c>
      <c r="AK274" s="8">
        <f>IFERROR(IF(VLOOKUP(AD274,VM_Performance_Stats!A:I,8,FALSE)&gt;AB274,1,0),0)</f>
        <v>0</v>
      </c>
      <c r="AL274" t="str">
        <f>IFERROR(VLOOKUP(AD274,'Web-SKUS'!A:G,7,FALSE),"")</f>
        <v/>
      </c>
      <c r="AM274" s="116" t="str">
        <f t="shared" si="93"/>
        <v/>
      </c>
      <c r="AN274" t="str">
        <f>IFERROR(IF(C274=1,VLOOKUP(K274,'Web-SKUS'!A:G,7,FALSE),VLOOKUP(K274,'Web-SKUS'!A:G,6,FALSE)),"")</f>
        <v>£147.9886/month</v>
      </c>
      <c r="AO274" s="116">
        <f t="shared" si="94"/>
        <v>147.98859999999999</v>
      </c>
      <c r="AP274" s="116">
        <f t="shared" si="95"/>
        <v>147.98859999999999</v>
      </c>
      <c r="AQ274" s="115">
        <f t="shared" si="96"/>
        <v>0</v>
      </c>
      <c r="AR274" s="115">
        <f t="shared" si="98"/>
        <v>0</v>
      </c>
      <c r="AS274" s="115" t="e">
        <f>VLOOKUP(B274,'Willie List'!B:M,12,FALSE)</f>
        <v>#N/A</v>
      </c>
      <c r="AT274" s="115" t="str">
        <f t="shared" si="99"/>
        <v>Standard_DS3_v2</v>
      </c>
      <c r="AU274" s="115" t="str">
        <f t="shared" si="100"/>
        <v>DS3 v2</v>
      </c>
      <c r="AV274">
        <f t="shared" si="101"/>
        <v>0</v>
      </c>
      <c r="AW274" s="8">
        <f t="shared" si="102"/>
        <v>0</v>
      </c>
    </row>
    <row r="275" spans="1:49">
      <c r="B275" t="s">
        <v>769</v>
      </c>
      <c r="C275" s="8">
        <f>IFERROR(IF(VLOOKUP(B275,'Willie List'!B:B,1,FALSE) &lt;&gt; "",1,0),0)</f>
        <v>0</v>
      </c>
      <c r="D275" s="8"/>
      <c r="E275" t="s">
        <v>191</v>
      </c>
      <c r="F275" t="s">
        <v>192</v>
      </c>
      <c r="G275" t="s">
        <v>152</v>
      </c>
      <c r="H275" t="s">
        <v>153</v>
      </c>
      <c r="I275" t="s">
        <v>154</v>
      </c>
      <c r="J275" t="s">
        <v>155</v>
      </c>
      <c r="K275" s="8" t="str">
        <f t="shared" si="97"/>
        <v>DS3 v2</v>
      </c>
      <c r="L275" s="8">
        <f>VLOOKUP(K275,'Web-SKUS'!A:E,2,FALSE)</f>
        <v>4</v>
      </c>
      <c r="M275" s="8" t="str">
        <f>VLOOKUP(K275,'Web-SKUS'!A:E,4,FALSE)</f>
        <v>14</v>
      </c>
      <c r="N275" t="s">
        <v>770</v>
      </c>
      <c r="O275">
        <v>4</v>
      </c>
      <c r="P275" t="s">
        <v>157</v>
      </c>
      <c r="Q275" t="str">
        <f>IFERROR(VLOOKUP(B275,PercentCPU!B:F,4,FALSE),"")</f>
        <v/>
      </c>
      <c r="R275" t="str">
        <f>IFERROR(VLOOKUP(B275,MemoryAvailable!B:F,3,FALSE),"")</f>
        <v/>
      </c>
      <c r="S275" s="2" t="str">
        <f t="shared" si="86"/>
        <v/>
      </c>
      <c r="T275" t="str">
        <f t="shared" si="87"/>
        <v/>
      </c>
      <c r="U275" s="8">
        <f t="shared" si="88"/>
        <v>0</v>
      </c>
      <c r="V275" s="8" t="str">
        <f t="shared" si="89"/>
        <v/>
      </c>
      <c r="W275" s="8" t="str">
        <f>IFERROR(VLOOKUP(B275,Write_Bytes_ps!B:F,4,FALSE)/1024/1024,"")</f>
        <v/>
      </c>
      <c r="X275" s="8" t="str">
        <f>IFERROR(VLOOKUP(B275,Read_Bytes_ps!B:F,4,FALSE)/1024/1024,"")</f>
        <v/>
      </c>
      <c r="Y275" s="8" t="str">
        <f>IFERROR(VLOOKUP(B275,Writes_ps!B:F,5,FALSE),"")</f>
        <v/>
      </c>
      <c r="Z275" s="8" t="str">
        <f>IFERROR(VLOOKUP(B275,Reads_ps!B:F,5,FALSE),"")</f>
        <v/>
      </c>
      <c r="AA275" s="8">
        <f t="shared" si="103"/>
        <v>0</v>
      </c>
      <c r="AB275" s="122">
        <f t="shared" ref="AB275:AB306" si="104">ROUNDUP(SUM(Y275:Z275),0)</f>
        <v>0</v>
      </c>
      <c r="AC275" s="122" t="str">
        <f t="shared" si="90"/>
        <v>DS3 v2</v>
      </c>
      <c r="AE275" s="8" t="str">
        <f>IFERROR(VLOOKUP(AD275,'Web-SKUS'!A:E,2,FALSE),"")</f>
        <v/>
      </c>
      <c r="AF275" s="8">
        <f>_xlfn.NUMBERVALUE(IFERROR(VLOOKUP(AD275,'Web-SKUS'!A:E,4,FALSE),""))</f>
        <v>0</v>
      </c>
      <c r="AG275" s="8">
        <f>IFERROR(VLOOKUP(AD275,VM_Performance_Stats!A:G,7,FALSE),0)</f>
        <v>0</v>
      </c>
      <c r="AH275" s="8" t="str">
        <f>IFERROR(VLOOKUP(AD275,VM_Performance_Stats!A:I,8,FALSE),"")</f>
        <v/>
      </c>
      <c r="AI275" s="8">
        <f t="shared" si="91"/>
        <v>1</v>
      </c>
      <c r="AJ275" s="8">
        <f t="shared" si="92"/>
        <v>0</v>
      </c>
      <c r="AK275" s="8">
        <f>IFERROR(IF(VLOOKUP(AD275,VM_Performance_Stats!A:I,8,FALSE)&gt;AB275,1,0),0)</f>
        <v>0</v>
      </c>
      <c r="AL275" t="str">
        <f>IFERROR(VLOOKUP(AD275,'Web-SKUS'!A:G,7,FALSE),"")</f>
        <v/>
      </c>
      <c r="AM275" s="116" t="str">
        <f t="shared" si="93"/>
        <v/>
      </c>
      <c r="AN275" t="str">
        <f>IFERROR(IF(C275=1,VLOOKUP(K275,'Web-SKUS'!A:G,7,FALSE),VLOOKUP(K275,'Web-SKUS'!A:G,6,FALSE)),"")</f>
        <v>£147.9886/month</v>
      </c>
      <c r="AO275" s="116">
        <f t="shared" si="94"/>
        <v>147.98859999999999</v>
      </c>
      <c r="AP275" s="116">
        <f t="shared" si="95"/>
        <v>147.98859999999999</v>
      </c>
      <c r="AQ275" s="115">
        <f t="shared" si="96"/>
        <v>0</v>
      </c>
      <c r="AR275" s="115">
        <f t="shared" si="98"/>
        <v>0</v>
      </c>
      <c r="AS275" s="115" t="e">
        <f>VLOOKUP(B275,'Willie List'!B:M,12,FALSE)</f>
        <v>#N/A</v>
      </c>
      <c r="AT275" s="115" t="str">
        <f t="shared" si="99"/>
        <v>Standard_DS3_v2</v>
      </c>
      <c r="AU275" s="115" t="str">
        <f t="shared" si="100"/>
        <v>DS3 v2</v>
      </c>
      <c r="AV275">
        <f t="shared" si="101"/>
        <v>0</v>
      </c>
      <c r="AW275" s="8">
        <f t="shared" si="102"/>
        <v>0</v>
      </c>
    </row>
    <row r="276" spans="1:49">
      <c r="B276" t="s">
        <v>771</v>
      </c>
      <c r="C276" s="8">
        <f>IFERROR(IF(VLOOKUP(B276,'Willie List'!B:B,1,FALSE) &lt;&gt; "",1,0),0)</f>
        <v>0</v>
      </c>
      <c r="D276" s="8"/>
      <c r="E276" t="s">
        <v>95</v>
      </c>
      <c r="F276" t="s">
        <v>151</v>
      </c>
      <c r="G276" t="s">
        <v>152</v>
      </c>
      <c r="H276" t="s">
        <v>153</v>
      </c>
      <c r="I276" t="s">
        <v>154</v>
      </c>
      <c r="J276" t="s">
        <v>155</v>
      </c>
      <c r="K276" s="8" t="str">
        <f t="shared" si="97"/>
        <v>DS3 v2</v>
      </c>
      <c r="L276" s="8">
        <f>VLOOKUP(K276,'Web-SKUS'!A:E,2,FALSE)</f>
        <v>4</v>
      </c>
      <c r="M276" s="8" t="str">
        <f>VLOOKUP(K276,'Web-SKUS'!A:E,4,FALSE)</f>
        <v>14</v>
      </c>
      <c r="N276" t="s">
        <v>772</v>
      </c>
      <c r="O276">
        <v>3</v>
      </c>
      <c r="P276" t="s">
        <v>157</v>
      </c>
      <c r="Q276" t="str">
        <f>IFERROR(VLOOKUP(B276,PercentCPU!B:F,4,FALSE),"")</f>
        <v/>
      </c>
      <c r="R276" t="str">
        <f>IFERROR(VLOOKUP(B276,MemoryAvailable!B:F,3,FALSE),"")</f>
        <v/>
      </c>
      <c r="S276" s="2" t="str">
        <f t="shared" si="86"/>
        <v/>
      </c>
      <c r="T276" t="str">
        <f t="shared" si="87"/>
        <v/>
      </c>
      <c r="U276" s="8">
        <f t="shared" si="88"/>
        <v>0</v>
      </c>
      <c r="V276" s="8" t="str">
        <f t="shared" si="89"/>
        <v/>
      </c>
      <c r="W276" s="8" t="str">
        <f>IFERROR(VLOOKUP(B276,Write_Bytes_ps!B:F,4,FALSE)/1024/1024,"")</f>
        <v/>
      </c>
      <c r="X276" s="8" t="str">
        <f>IFERROR(VLOOKUP(B276,Read_Bytes_ps!B:F,4,FALSE)/1024/1024,"")</f>
        <v/>
      </c>
      <c r="Y276" s="8" t="str">
        <f>IFERROR(VLOOKUP(B276,Writes_ps!B:F,5,FALSE),"")</f>
        <v/>
      </c>
      <c r="Z276" s="8" t="str">
        <f>IFERROR(VLOOKUP(B276,Reads_ps!B:F,5,FALSE),"")</f>
        <v/>
      </c>
      <c r="AA276" s="8">
        <f t="shared" si="103"/>
        <v>0</v>
      </c>
      <c r="AB276" s="122">
        <f t="shared" si="104"/>
        <v>0</v>
      </c>
      <c r="AC276" s="122" t="str">
        <f t="shared" si="90"/>
        <v>DS3 v2</v>
      </c>
      <c r="AE276" s="8" t="str">
        <f>IFERROR(VLOOKUP(AD276,'Web-SKUS'!A:E,2,FALSE),"")</f>
        <v/>
      </c>
      <c r="AF276" s="8">
        <f>_xlfn.NUMBERVALUE(IFERROR(VLOOKUP(AD276,'Web-SKUS'!A:E,4,FALSE),""))</f>
        <v>0</v>
      </c>
      <c r="AG276" s="8">
        <f>IFERROR(VLOOKUP(AD276,VM_Performance_Stats!A:G,7,FALSE),0)</f>
        <v>0</v>
      </c>
      <c r="AH276" s="8" t="str">
        <f>IFERROR(VLOOKUP(AD276,VM_Performance_Stats!A:I,8,FALSE),"")</f>
        <v/>
      </c>
      <c r="AI276" s="8">
        <f t="shared" si="91"/>
        <v>1</v>
      </c>
      <c r="AJ276" s="8">
        <f t="shared" si="92"/>
        <v>0</v>
      </c>
      <c r="AK276" s="8">
        <f>IFERROR(IF(VLOOKUP(AD276,VM_Performance_Stats!A:I,8,FALSE)&gt;AB276,1,0),0)</f>
        <v>0</v>
      </c>
      <c r="AL276" t="str">
        <f>IFERROR(VLOOKUP(AD276,'Web-SKUS'!A:G,7,FALSE),"")</f>
        <v/>
      </c>
      <c r="AM276" s="116" t="str">
        <f t="shared" si="93"/>
        <v/>
      </c>
      <c r="AN276" t="str">
        <f>IFERROR(IF(C276=1,VLOOKUP(K276,'Web-SKUS'!A:G,7,FALSE),VLOOKUP(K276,'Web-SKUS'!A:G,6,FALSE)),"")</f>
        <v>£147.9886/month</v>
      </c>
      <c r="AO276" s="116">
        <f t="shared" si="94"/>
        <v>147.98859999999999</v>
      </c>
      <c r="AP276" s="116">
        <f t="shared" si="95"/>
        <v>147.98859999999999</v>
      </c>
      <c r="AQ276" s="115">
        <f t="shared" si="96"/>
        <v>0</v>
      </c>
      <c r="AR276" s="115">
        <f t="shared" si="98"/>
        <v>0</v>
      </c>
      <c r="AS276" s="115" t="e">
        <f>VLOOKUP(B276,'Willie List'!B:M,12,FALSE)</f>
        <v>#N/A</v>
      </c>
      <c r="AT276" s="115" t="str">
        <f t="shared" si="99"/>
        <v>Standard_DS3_v2</v>
      </c>
      <c r="AU276" s="115" t="str">
        <f t="shared" si="100"/>
        <v>DS3 v2</v>
      </c>
      <c r="AV276">
        <f t="shared" si="101"/>
        <v>0</v>
      </c>
      <c r="AW276" s="8">
        <f t="shared" si="102"/>
        <v>0</v>
      </c>
    </row>
    <row r="277" spans="1:49">
      <c r="B277" t="s">
        <v>773</v>
      </c>
      <c r="C277" s="8">
        <f>IFERROR(IF(VLOOKUP(B277,'Willie List'!B:B,1,FALSE) &lt;&gt; "",1,0),0)</f>
        <v>0</v>
      </c>
      <c r="D277" s="8"/>
      <c r="E277" t="s">
        <v>95</v>
      </c>
      <c r="F277" t="s">
        <v>151</v>
      </c>
      <c r="G277" t="s">
        <v>152</v>
      </c>
      <c r="H277" t="s">
        <v>153</v>
      </c>
      <c r="I277" t="s">
        <v>154</v>
      </c>
      <c r="J277" t="s">
        <v>155</v>
      </c>
      <c r="K277" s="8" t="str">
        <f t="shared" si="97"/>
        <v>DS3 v2</v>
      </c>
      <c r="L277" s="8">
        <f>VLOOKUP(K277,'Web-SKUS'!A:E,2,FALSE)</f>
        <v>4</v>
      </c>
      <c r="M277" s="8" t="str">
        <f>VLOOKUP(K277,'Web-SKUS'!A:E,4,FALSE)</f>
        <v>14</v>
      </c>
      <c r="N277" t="s">
        <v>774</v>
      </c>
      <c r="O277">
        <v>3</v>
      </c>
      <c r="P277" t="s">
        <v>157</v>
      </c>
      <c r="Q277" t="str">
        <f>IFERROR(VLOOKUP(B277,PercentCPU!B:F,4,FALSE),"")</f>
        <v/>
      </c>
      <c r="R277" t="str">
        <f>IFERROR(VLOOKUP(B277,MemoryAvailable!B:F,3,FALSE),"")</f>
        <v/>
      </c>
      <c r="S277" s="2" t="str">
        <f t="shared" si="86"/>
        <v/>
      </c>
      <c r="T277" t="str">
        <f t="shared" si="87"/>
        <v/>
      </c>
      <c r="U277" s="8">
        <f t="shared" si="88"/>
        <v>0</v>
      </c>
      <c r="V277" s="8" t="str">
        <f t="shared" si="89"/>
        <v/>
      </c>
      <c r="W277" s="8" t="str">
        <f>IFERROR(VLOOKUP(B277,Write_Bytes_ps!B:F,4,FALSE)/1024/1024,"")</f>
        <v/>
      </c>
      <c r="X277" s="8" t="str">
        <f>IFERROR(VLOOKUP(B277,Read_Bytes_ps!B:F,4,FALSE)/1024/1024,"")</f>
        <v/>
      </c>
      <c r="Y277" s="8" t="str">
        <f>IFERROR(VLOOKUP(B277,Writes_ps!B:F,5,FALSE),"")</f>
        <v/>
      </c>
      <c r="Z277" s="8" t="str">
        <f>IFERROR(VLOOKUP(B277,Reads_ps!B:F,5,FALSE),"")</f>
        <v/>
      </c>
      <c r="AA277" s="8">
        <f t="shared" si="103"/>
        <v>0</v>
      </c>
      <c r="AB277" s="122">
        <f t="shared" si="104"/>
        <v>0</v>
      </c>
      <c r="AC277" s="122" t="str">
        <f t="shared" si="90"/>
        <v>DS3 v2</v>
      </c>
      <c r="AE277" s="8" t="str">
        <f>IFERROR(VLOOKUP(AD277,'Web-SKUS'!A:E,2,FALSE),"")</f>
        <v/>
      </c>
      <c r="AF277" s="8">
        <f>_xlfn.NUMBERVALUE(IFERROR(VLOOKUP(AD277,'Web-SKUS'!A:E,4,FALSE),""))</f>
        <v>0</v>
      </c>
      <c r="AG277" s="8">
        <f>IFERROR(VLOOKUP(AD277,VM_Performance_Stats!A:G,7,FALSE),0)</f>
        <v>0</v>
      </c>
      <c r="AH277" s="8" t="str">
        <f>IFERROR(VLOOKUP(AD277,VM_Performance_Stats!A:I,8,FALSE),"")</f>
        <v/>
      </c>
      <c r="AI277" s="8">
        <f t="shared" si="91"/>
        <v>1</v>
      </c>
      <c r="AJ277" s="8">
        <f t="shared" si="92"/>
        <v>0</v>
      </c>
      <c r="AK277" s="8">
        <f>IFERROR(IF(VLOOKUP(AD277,VM_Performance_Stats!A:I,8,FALSE)&gt;AB277,1,0),0)</f>
        <v>0</v>
      </c>
      <c r="AL277" t="str">
        <f>IFERROR(VLOOKUP(AD277,'Web-SKUS'!A:G,7,FALSE),"")</f>
        <v/>
      </c>
      <c r="AM277" s="116" t="str">
        <f t="shared" si="93"/>
        <v/>
      </c>
      <c r="AN277" t="str">
        <f>IFERROR(IF(C277=1,VLOOKUP(K277,'Web-SKUS'!A:G,7,FALSE),VLOOKUP(K277,'Web-SKUS'!A:G,6,FALSE)),"")</f>
        <v>£147.9886/month</v>
      </c>
      <c r="AO277" s="116">
        <f t="shared" si="94"/>
        <v>147.98859999999999</v>
      </c>
      <c r="AP277" s="116">
        <f t="shared" si="95"/>
        <v>147.98859999999999</v>
      </c>
      <c r="AQ277" s="115">
        <f t="shared" si="96"/>
        <v>0</v>
      </c>
      <c r="AR277" s="115">
        <f t="shared" si="98"/>
        <v>0</v>
      </c>
      <c r="AS277" s="115" t="e">
        <f>VLOOKUP(B277,'Willie List'!B:M,12,FALSE)</f>
        <v>#N/A</v>
      </c>
      <c r="AT277" s="115" t="str">
        <f t="shared" si="99"/>
        <v>Standard_DS3_v2</v>
      </c>
      <c r="AU277" s="115" t="str">
        <f t="shared" si="100"/>
        <v>DS3 v2</v>
      </c>
      <c r="AV277">
        <f t="shared" si="101"/>
        <v>0</v>
      </c>
      <c r="AW277" s="8">
        <f t="shared" si="102"/>
        <v>0</v>
      </c>
    </row>
    <row r="278" spans="1:49">
      <c r="B278" t="s">
        <v>775</v>
      </c>
      <c r="C278" s="8">
        <f>IFERROR(IF(VLOOKUP(B278,'Willie List'!B:B,1,FALSE) &lt;&gt; "",1,0),0)</f>
        <v>0</v>
      </c>
      <c r="D278" s="8"/>
      <c r="E278" t="s">
        <v>191</v>
      </c>
      <c r="F278" t="s">
        <v>192</v>
      </c>
      <c r="G278" t="s">
        <v>152</v>
      </c>
      <c r="H278" t="s">
        <v>153</v>
      </c>
      <c r="I278" t="s">
        <v>154</v>
      </c>
      <c r="J278" t="s">
        <v>155</v>
      </c>
      <c r="K278" s="8" t="str">
        <f t="shared" si="97"/>
        <v>DS3 v2</v>
      </c>
      <c r="L278" s="8">
        <f>VLOOKUP(K278,'Web-SKUS'!A:E,2,FALSE)</f>
        <v>4</v>
      </c>
      <c r="M278" s="8" t="str">
        <f>VLOOKUP(K278,'Web-SKUS'!A:E,4,FALSE)</f>
        <v>14</v>
      </c>
      <c r="N278" t="s">
        <v>776</v>
      </c>
      <c r="O278">
        <v>4</v>
      </c>
      <c r="P278" t="s">
        <v>157</v>
      </c>
      <c r="Q278" t="str">
        <f>IFERROR(VLOOKUP(B278,PercentCPU!B:F,4,FALSE),"")</f>
        <v/>
      </c>
      <c r="R278" t="str">
        <f>IFERROR(VLOOKUP(B278,MemoryAvailable!B:F,3,FALSE),"")</f>
        <v/>
      </c>
      <c r="S278" s="2" t="str">
        <f t="shared" si="86"/>
        <v/>
      </c>
      <c r="T278" t="str">
        <f t="shared" si="87"/>
        <v/>
      </c>
      <c r="U278" s="8">
        <f t="shared" si="88"/>
        <v>0</v>
      </c>
      <c r="V278" s="8" t="str">
        <f t="shared" si="89"/>
        <v/>
      </c>
      <c r="W278" s="8" t="str">
        <f>IFERROR(VLOOKUP(B278,Write_Bytes_ps!B:F,4,FALSE)/1024/1024,"")</f>
        <v/>
      </c>
      <c r="X278" s="8" t="str">
        <f>IFERROR(VLOOKUP(B278,Read_Bytes_ps!B:F,4,FALSE)/1024/1024,"")</f>
        <v/>
      </c>
      <c r="Y278" s="8" t="str">
        <f>IFERROR(VLOOKUP(B278,Writes_ps!B:F,5,FALSE),"")</f>
        <v/>
      </c>
      <c r="Z278" s="8" t="str">
        <f>IFERROR(VLOOKUP(B278,Reads_ps!B:F,5,FALSE),"")</f>
        <v/>
      </c>
      <c r="AA278" s="8">
        <f t="shared" si="103"/>
        <v>0</v>
      </c>
      <c r="AB278" s="122">
        <f t="shared" si="104"/>
        <v>0</v>
      </c>
      <c r="AC278" s="122" t="str">
        <f t="shared" si="90"/>
        <v>DS3 v2</v>
      </c>
      <c r="AE278" s="8" t="str">
        <f>IFERROR(VLOOKUP(AD278,'Web-SKUS'!A:E,2,FALSE),"")</f>
        <v/>
      </c>
      <c r="AF278" s="8">
        <f>_xlfn.NUMBERVALUE(IFERROR(VLOOKUP(AD278,'Web-SKUS'!A:E,4,FALSE),""))</f>
        <v>0</v>
      </c>
      <c r="AG278" s="8">
        <f>IFERROR(VLOOKUP(AD278,VM_Performance_Stats!A:G,7,FALSE),0)</f>
        <v>0</v>
      </c>
      <c r="AH278" s="8" t="str">
        <f>IFERROR(VLOOKUP(AD278,VM_Performance_Stats!A:I,8,FALSE),"")</f>
        <v/>
      </c>
      <c r="AI278" s="8">
        <f t="shared" si="91"/>
        <v>1</v>
      </c>
      <c r="AJ278" s="8">
        <f t="shared" si="92"/>
        <v>0</v>
      </c>
      <c r="AK278" s="8">
        <f>IFERROR(IF(VLOOKUP(AD278,VM_Performance_Stats!A:I,8,FALSE)&gt;AB278,1,0),0)</f>
        <v>0</v>
      </c>
      <c r="AL278" t="str">
        <f>IFERROR(VLOOKUP(AD278,'Web-SKUS'!A:G,7,FALSE),"")</f>
        <v/>
      </c>
      <c r="AM278" s="116" t="str">
        <f t="shared" si="93"/>
        <v/>
      </c>
      <c r="AN278" t="str">
        <f>IFERROR(IF(C278=1,VLOOKUP(K278,'Web-SKUS'!A:G,7,FALSE),VLOOKUP(K278,'Web-SKUS'!A:G,6,FALSE)),"")</f>
        <v>£147.9886/month</v>
      </c>
      <c r="AO278" s="116">
        <f t="shared" si="94"/>
        <v>147.98859999999999</v>
      </c>
      <c r="AP278" s="116">
        <f t="shared" si="95"/>
        <v>147.98859999999999</v>
      </c>
      <c r="AQ278" s="115">
        <f t="shared" si="96"/>
        <v>0</v>
      </c>
      <c r="AR278" s="115">
        <f t="shared" si="98"/>
        <v>0</v>
      </c>
      <c r="AS278" s="115" t="e">
        <f>VLOOKUP(B278,'Willie List'!B:M,12,FALSE)</f>
        <v>#N/A</v>
      </c>
      <c r="AT278" s="115" t="str">
        <f t="shared" si="99"/>
        <v>Standard_DS3_v2</v>
      </c>
      <c r="AU278" s="115" t="str">
        <f t="shared" si="100"/>
        <v>DS3 v2</v>
      </c>
      <c r="AV278">
        <f t="shared" si="101"/>
        <v>0</v>
      </c>
      <c r="AW278" s="8">
        <f t="shared" si="102"/>
        <v>0</v>
      </c>
    </row>
    <row r="279" spans="1:49">
      <c r="B279" t="s">
        <v>777</v>
      </c>
      <c r="C279" s="8">
        <f>IFERROR(IF(VLOOKUP(B279,'Willie List'!B:B,1,FALSE) &lt;&gt; "",1,0),0)</f>
        <v>0</v>
      </c>
      <c r="D279" s="8"/>
      <c r="E279" t="s">
        <v>95</v>
      </c>
      <c r="F279" t="s">
        <v>151</v>
      </c>
      <c r="G279" t="s">
        <v>152</v>
      </c>
      <c r="H279" t="s">
        <v>153</v>
      </c>
      <c r="I279" t="s">
        <v>154</v>
      </c>
      <c r="J279" t="s">
        <v>155</v>
      </c>
      <c r="K279" s="8" t="str">
        <f t="shared" si="97"/>
        <v>DS3 v2</v>
      </c>
      <c r="L279" s="8">
        <f>VLOOKUP(K279,'Web-SKUS'!A:E,2,FALSE)</f>
        <v>4</v>
      </c>
      <c r="M279" s="8" t="str">
        <f>VLOOKUP(K279,'Web-SKUS'!A:E,4,FALSE)</f>
        <v>14</v>
      </c>
      <c r="N279" t="s">
        <v>778</v>
      </c>
      <c r="O279">
        <v>3</v>
      </c>
      <c r="P279" t="s">
        <v>157</v>
      </c>
      <c r="Q279" t="str">
        <f>IFERROR(VLOOKUP(B279,PercentCPU!B:F,4,FALSE),"")</f>
        <v/>
      </c>
      <c r="R279" t="str">
        <f>IFERROR(VLOOKUP(B279,MemoryAvailable!B:F,3,FALSE),"")</f>
        <v/>
      </c>
      <c r="S279" s="2" t="str">
        <f t="shared" si="86"/>
        <v/>
      </c>
      <c r="T279" t="str">
        <f t="shared" si="87"/>
        <v/>
      </c>
      <c r="U279" s="8">
        <f t="shared" si="88"/>
        <v>0</v>
      </c>
      <c r="V279" s="8" t="str">
        <f t="shared" si="89"/>
        <v/>
      </c>
      <c r="W279" s="8" t="str">
        <f>IFERROR(VLOOKUP(B279,Write_Bytes_ps!B:F,4,FALSE)/1024/1024,"")</f>
        <v/>
      </c>
      <c r="X279" s="8" t="str">
        <f>IFERROR(VLOOKUP(B279,Read_Bytes_ps!B:F,4,FALSE)/1024/1024,"")</f>
        <v/>
      </c>
      <c r="Y279" s="8" t="str">
        <f>IFERROR(VLOOKUP(B279,Writes_ps!B:F,5,FALSE),"")</f>
        <v/>
      </c>
      <c r="Z279" s="8" t="str">
        <f>IFERROR(VLOOKUP(B279,Reads_ps!B:F,5,FALSE),"")</f>
        <v/>
      </c>
      <c r="AA279" s="8">
        <f t="shared" si="103"/>
        <v>0</v>
      </c>
      <c r="AB279" s="122">
        <f t="shared" si="104"/>
        <v>0</v>
      </c>
      <c r="AC279" s="122" t="str">
        <f t="shared" si="90"/>
        <v>DS3 v2</v>
      </c>
      <c r="AE279" s="8" t="str">
        <f>IFERROR(VLOOKUP(AD279,'Web-SKUS'!A:E,2,FALSE),"")</f>
        <v/>
      </c>
      <c r="AF279" s="8">
        <f>_xlfn.NUMBERVALUE(IFERROR(VLOOKUP(AD279,'Web-SKUS'!A:E,4,FALSE),""))</f>
        <v>0</v>
      </c>
      <c r="AG279" s="8">
        <f>IFERROR(VLOOKUP(AD279,VM_Performance_Stats!A:G,7,FALSE),0)</f>
        <v>0</v>
      </c>
      <c r="AH279" s="8" t="str">
        <f>IFERROR(VLOOKUP(AD279,VM_Performance_Stats!A:I,8,FALSE),"")</f>
        <v/>
      </c>
      <c r="AI279" s="8">
        <f t="shared" si="91"/>
        <v>1</v>
      </c>
      <c r="AJ279" s="8">
        <f t="shared" si="92"/>
        <v>0</v>
      </c>
      <c r="AK279" s="8">
        <f>IFERROR(IF(VLOOKUP(AD279,VM_Performance_Stats!A:I,8,FALSE)&gt;AB279,1,0),0)</f>
        <v>0</v>
      </c>
      <c r="AL279" t="str">
        <f>IFERROR(VLOOKUP(AD279,'Web-SKUS'!A:G,7,FALSE),"")</f>
        <v/>
      </c>
      <c r="AM279" s="116" t="str">
        <f t="shared" si="93"/>
        <v/>
      </c>
      <c r="AN279" t="str">
        <f>IFERROR(IF(C279=1,VLOOKUP(K279,'Web-SKUS'!A:G,7,FALSE),VLOOKUP(K279,'Web-SKUS'!A:G,6,FALSE)),"")</f>
        <v>£147.9886/month</v>
      </c>
      <c r="AO279" s="116">
        <f t="shared" si="94"/>
        <v>147.98859999999999</v>
      </c>
      <c r="AP279" s="116">
        <f t="shared" si="95"/>
        <v>147.98859999999999</v>
      </c>
      <c r="AQ279" s="115">
        <f t="shared" si="96"/>
        <v>0</v>
      </c>
      <c r="AR279" s="115">
        <f t="shared" si="98"/>
        <v>0</v>
      </c>
      <c r="AS279" s="115" t="e">
        <f>VLOOKUP(B279,'Willie List'!B:M,12,FALSE)</f>
        <v>#N/A</v>
      </c>
      <c r="AT279" s="115" t="str">
        <f t="shared" si="99"/>
        <v>Standard_DS3_v2</v>
      </c>
      <c r="AU279" s="115" t="str">
        <f t="shared" si="100"/>
        <v>DS3 v2</v>
      </c>
      <c r="AV279">
        <f t="shared" si="101"/>
        <v>0</v>
      </c>
      <c r="AW279" s="8">
        <f t="shared" si="102"/>
        <v>0</v>
      </c>
    </row>
    <row r="280" spans="1:49">
      <c r="A280" t="s">
        <v>779</v>
      </c>
      <c r="B280" t="s">
        <v>780</v>
      </c>
      <c r="C280" s="8">
        <f>IFERROR(IF(VLOOKUP(B280,'Willie List'!B:B,1,FALSE) &lt;&gt; "",1,0),0)</f>
        <v>1</v>
      </c>
      <c r="D280" s="8"/>
      <c r="E280" t="s">
        <v>99</v>
      </c>
      <c r="F280" t="s">
        <v>781</v>
      </c>
      <c r="G280" t="s">
        <v>295</v>
      </c>
      <c r="H280" t="s">
        <v>153</v>
      </c>
      <c r="I280" t="s">
        <v>154</v>
      </c>
      <c r="J280" t="s">
        <v>58</v>
      </c>
      <c r="K280" s="8" t="str">
        <f t="shared" si="97"/>
        <v>D8ds v4</v>
      </c>
      <c r="L280" s="8">
        <f>VLOOKUP(K280,'Web-SKUS'!A:E,2,FALSE)</f>
        <v>8</v>
      </c>
      <c r="M280" s="8" t="str">
        <f>VLOOKUP(K280,'Web-SKUS'!A:E,4,FALSE)</f>
        <v>32</v>
      </c>
      <c r="N280" t="s">
        <v>782</v>
      </c>
      <c r="O280">
        <v>1</v>
      </c>
      <c r="P280" t="s">
        <v>157</v>
      </c>
      <c r="Q280" t="str">
        <f>IFERROR(VLOOKUP(B280,PercentCPU!B:F,4,FALSE),"")</f>
        <v/>
      </c>
      <c r="R280" t="str">
        <f>IFERROR(VLOOKUP(B280,MemoryAvailable!B:F,3,FALSE),"")</f>
        <v/>
      </c>
      <c r="S280" s="2" t="str">
        <f t="shared" si="86"/>
        <v/>
      </c>
      <c r="T280" t="str">
        <f t="shared" si="87"/>
        <v/>
      </c>
      <c r="U280" s="8">
        <f t="shared" si="88"/>
        <v>0</v>
      </c>
      <c r="V280" s="8" t="str">
        <f t="shared" si="89"/>
        <v/>
      </c>
      <c r="W280" s="8" t="str">
        <f>IFERROR(VLOOKUP(B280,Write_Bytes_ps!B:F,4,FALSE)/1024/1024,"")</f>
        <v/>
      </c>
      <c r="X280" s="8" t="str">
        <f>IFERROR(VLOOKUP(B280,Read_Bytes_ps!B:F,4,FALSE)/1024/1024,"")</f>
        <v/>
      </c>
      <c r="Y280" s="8" t="str">
        <f>IFERROR(VLOOKUP(B280,Writes_ps!B:F,5,FALSE),"")</f>
        <v/>
      </c>
      <c r="Z280" s="8" t="str">
        <f>IFERROR(VLOOKUP(B280,Reads_ps!B:F,5,FALSE),"")</f>
        <v/>
      </c>
      <c r="AA280" s="120">
        <f t="shared" si="103"/>
        <v>0</v>
      </c>
      <c r="AB280" s="122">
        <f t="shared" si="104"/>
        <v>0</v>
      </c>
      <c r="AC280" s="122" t="str">
        <f t="shared" si="90"/>
        <v>D8ds v4</v>
      </c>
      <c r="AD280" s="8" t="s">
        <v>517</v>
      </c>
      <c r="AE280" s="8">
        <f>IFERROR(VLOOKUP(AD280,'Web-SKUS'!A:E,2,FALSE),"")</f>
        <v>8</v>
      </c>
      <c r="AF280" s="8">
        <f>_xlfn.NUMBERVALUE(IFERROR(VLOOKUP(AD280,'Web-SKUS'!A:E,4,FALSE),""))</f>
        <v>32</v>
      </c>
      <c r="AG280" s="8">
        <f>IFERROR(VLOOKUP(AD280,VM_Performance_Stats!A:G,7,FALSE),0)</f>
        <v>16</v>
      </c>
      <c r="AH280" s="8">
        <f>IFERROR(VLOOKUP(AD280,VM_Performance_Stats!A:I,8,FALSE),"")</f>
        <v>12800</v>
      </c>
      <c r="AI280" s="8">
        <f t="shared" si="91"/>
        <v>1</v>
      </c>
      <c r="AJ280" s="8">
        <f t="shared" si="92"/>
        <v>1</v>
      </c>
      <c r="AK280" s="8">
        <f>IFERROR(IF(VLOOKUP(AD280,VM_Performance_Stats!A:I,8,FALSE)&gt;AB280,1,0),0)</f>
        <v>1</v>
      </c>
      <c r="AL280" t="str">
        <f>IFERROR(VLOOKUP(AD280,'Web-SKUS'!A:G,7,FALSE),"")</f>
        <v>£174.6483/month</v>
      </c>
      <c r="AM280" s="116">
        <f t="shared" si="93"/>
        <v>174.64830000000001</v>
      </c>
      <c r="AN280" t="str">
        <f>IFERROR(IF(C280=1,VLOOKUP(K280,'Web-SKUS'!A:G,7,FALSE),VLOOKUP(K280,'Web-SKUS'!A:G,6,FALSE)),"")</f>
        <v>£174.6483/month</v>
      </c>
      <c r="AO280" s="116">
        <f t="shared" si="94"/>
        <v>174.64830000000001</v>
      </c>
      <c r="AP280" s="116">
        <f t="shared" si="95"/>
        <v>174.64830000000001</v>
      </c>
      <c r="AQ280" s="115">
        <f t="shared" si="96"/>
        <v>0</v>
      </c>
      <c r="AR280" s="115">
        <f t="shared" si="98"/>
        <v>0</v>
      </c>
      <c r="AS280" s="115" t="str">
        <f>VLOOKUP(B280,'Willie List'!B:M,12,FALSE)</f>
        <v>YES</v>
      </c>
      <c r="AT280" s="115" t="str">
        <f t="shared" si="99"/>
        <v>Standard_D8ds_v4</v>
      </c>
      <c r="AU280" s="115" t="str">
        <f t="shared" si="100"/>
        <v>D8ds v4</v>
      </c>
      <c r="AV280" t="str">
        <f t="shared" si="101"/>
        <v>D8ds v4</v>
      </c>
      <c r="AW280" s="8">
        <f t="shared" si="102"/>
        <v>1</v>
      </c>
    </row>
    <row r="281" spans="1:49">
      <c r="A281" t="s">
        <v>779</v>
      </c>
      <c r="B281" t="s">
        <v>783</v>
      </c>
      <c r="C281" s="8">
        <f>IFERROR(IF(VLOOKUP(B281,'Willie List'!B:B,1,FALSE) &lt;&gt; "",1,0),0)</f>
        <v>1</v>
      </c>
      <c r="D281" s="8"/>
      <c r="E281" t="s">
        <v>99</v>
      </c>
      <c r="F281" t="s">
        <v>781</v>
      </c>
      <c r="G281" t="s">
        <v>295</v>
      </c>
      <c r="H281" t="s">
        <v>153</v>
      </c>
      <c r="I281" t="s">
        <v>154</v>
      </c>
      <c r="J281" t="s">
        <v>58</v>
      </c>
      <c r="K281" s="8" t="str">
        <f t="shared" si="97"/>
        <v>D8ds v4</v>
      </c>
      <c r="L281" s="8">
        <f>VLOOKUP(K281,'Web-SKUS'!A:E,2,FALSE)</f>
        <v>8</v>
      </c>
      <c r="M281" s="8" t="str">
        <f>VLOOKUP(K281,'Web-SKUS'!A:E,4,FALSE)</f>
        <v>32</v>
      </c>
      <c r="N281" t="s">
        <v>784</v>
      </c>
      <c r="O281">
        <v>1</v>
      </c>
      <c r="P281" t="s">
        <v>157</v>
      </c>
      <c r="Q281" t="str">
        <f>IFERROR(VLOOKUP(B281,PercentCPU!B:F,4,FALSE),"")</f>
        <v/>
      </c>
      <c r="R281" t="str">
        <f>IFERROR(VLOOKUP(B281,MemoryAvailable!B:F,3,FALSE),"")</f>
        <v/>
      </c>
      <c r="S281" s="2" t="str">
        <f t="shared" si="86"/>
        <v/>
      </c>
      <c r="T281" t="str">
        <f t="shared" si="87"/>
        <v/>
      </c>
      <c r="U281" s="8">
        <f t="shared" si="88"/>
        <v>0</v>
      </c>
      <c r="V281" s="8" t="str">
        <f t="shared" si="89"/>
        <v/>
      </c>
      <c r="W281" s="8" t="str">
        <f>IFERROR(VLOOKUP(B281,Write_Bytes_ps!B:F,4,FALSE)/1024/1024,"")</f>
        <v/>
      </c>
      <c r="X281" s="8" t="str">
        <f>IFERROR(VLOOKUP(B281,Read_Bytes_ps!B:F,4,FALSE)/1024/1024,"")</f>
        <v/>
      </c>
      <c r="Y281" s="8" t="str">
        <f>IFERROR(VLOOKUP(B281,Writes_ps!B:F,5,FALSE),"")</f>
        <v/>
      </c>
      <c r="Z281" s="8" t="str">
        <f>IFERROR(VLOOKUP(B281,Reads_ps!B:F,5,FALSE),"")</f>
        <v/>
      </c>
      <c r="AA281" s="120">
        <f t="shared" si="103"/>
        <v>0</v>
      </c>
      <c r="AB281" s="122">
        <f t="shared" si="104"/>
        <v>0</v>
      </c>
      <c r="AC281" s="122" t="str">
        <f t="shared" si="90"/>
        <v>D8ds v4</v>
      </c>
      <c r="AD281" s="8" t="s">
        <v>517</v>
      </c>
      <c r="AE281" s="8">
        <f>IFERROR(VLOOKUP(AD281,'Web-SKUS'!A:E,2,FALSE),"")</f>
        <v>8</v>
      </c>
      <c r="AF281" s="8">
        <f>_xlfn.NUMBERVALUE(IFERROR(VLOOKUP(AD281,'Web-SKUS'!A:E,4,FALSE),""))</f>
        <v>32</v>
      </c>
      <c r="AG281" s="8">
        <f>IFERROR(VLOOKUP(AD281,VM_Performance_Stats!A:G,7,FALSE),0)</f>
        <v>16</v>
      </c>
      <c r="AH281" s="8">
        <f>IFERROR(VLOOKUP(AD281,VM_Performance_Stats!A:I,8,FALSE),"")</f>
        <v>12800</v>
      </c>
      <c r="AI281" s="8">
        <f t="shared" si="91"/>
        <v>1</v>
      </c>
      <c r="AJ281" s="8">
        <f t="shared" si="92"/>
        <v>1</v>
      </c>
      <c r="AK281" s="8">
        <f>IFERROR(IF(VLOOKUP(AD281,VM_Performance_Stats!A:I,8,FALSE)&gt;AB281,1,0),0)</f>
        <v>1</v>
      </c>
      <c r="AL281" t="str">
        <f>IFERROR(VLOOKUP(AD281,'Web-SKUS'!A:G,7,FALSE),"")</f>
        <v>£174.6483/month</v>
      </c>
      <c r="AM281" s="116">
        <f t="shared" si="93"/>
        <v>174.64830000000001</v>
      </c>
      <c r="AN281" t="str">
        <f>IFERROR(IF(C281=1,VLOOKUP(K281,'Web-SKUS'!A:G,7,FALSE),VLOOKUP(K281,'Web-SKUS'!A:G,6,FALSE)),"")</f>
        <v>£174.6483/month</v>
      </c>
      <c r="AO281" s="116">
        <f t="shared" si="94"/>
        <v>174.64830000000001</v>
      </c>
      <c r="AP281" s="116">
        <f t="shared" si="95"/>
        <v>174.64830000000001</v>
      </c>
      <c r="AQ281" s="115">
        <f t="shared" si="96"/>
        <v>0</v>
      </c>
      <c r="AR281" s="115">
        <f t="shared" si="98"/>
        <v>0</v>
      </c>
      <c r="AS281" s="115" t="str">
        <f>VLOOKUP(B281,'Willie List'!B:M,12,FALSE)</f>
        <v>YES</v>
      </c>
      <c r="AT281" s="115" t="str">
        <f t="shared" si="99"/>
        <v>Standard_D8ds_v4</v>
      </c>
      <c r="AU281" s="115" t="str">
        <f t="shared" si="100"/>
        <v>D8ds v4</v>
      </c>
      <c r="AV281" t="str">
        <f t="shared" si="101"/>
        <v>D8ds v4</v>
      </c>
      <c r="AW281" s="8">
        <f t="shared" si="102"/>
        <v>1</v>
      </c>
    </row>
    <row r="282" spans="1:49">
      <c r="A282" t="s">
        <v>299</v>
      </c>
      <c r="B282" t="s">
        <v>785</v>
      </c>
      <c r="C282" s="8">
        <f>IFERROR(IF(VLOOKUP(B282,'Willie List'!B:B,1,FALSE) &lt;&gt; "",1,0),0)</f>
        <v>1</v>
      </c>
      <c r="D282" s="8"/>
      <c r="E282" t="s">
        <v>99</v>
      </c>
      <c r="F282" t="s">
        <v>786</v>
      </c>
      <c r="G282" t="s">
        <v>152</v>
      </c>
      <c r="H282" t="s">
        <v>153</v>
      </c>
      <c r="I282" t="s">
        <v>154</v>
      </c>
      <c r="J282" t="s">
        <v>58</v>
      </c>
      <c r="K282" s="8" t="str">
        <f t="shared" si="97"/>
        <v>D8ds v4</v>
      </c>
      <c r="L282" s="8">
        <f>VLOOKUP(K282,'Web-SKUS'!A:E,2,FALSE)</f>
        <v>8</v>
      </c>
      <c r="M282" s="8" t="str">
        <f>VLOOKUP(K282,'Web-SKUS'!A:E,4,FALSE)</f>
        <v>32</v>
      </c>
      <c r="N282" t="s">
        <v>787</v>
      </c>
      <c r="O282">
        <v>1</v>
      </c>
      <c r="P282" t="s">
        <v>157</v>
      </c>
      <c r="Q282" t="str">
        <f>IFERROR(VLOOKUP(B282,PercentCPU!B:F,4,FALSE),"")</f>
        <v/>
      </c>
      <c r="R282" t="str">
        <f>IFERROR(VLOOKUP(B282,MemoryAvailable!B:F,3,FALSE),"")</f>
        <v/>
      </c>
      <c r="S282" s="2" t="str">
        <f t="shared" si="86"/>
        <v/>
      </c>
      <c r="T282" t="str">
        <f t="shared" si="87"/>
        <v/>
      </c>
      <c r="U282" s="8">
        <f t="shared" si="88"/>
        <v>0</v>
      </c>
      <c r="V282" s="8" t="str">
        <f t="shared" si="89"/>
        <v/>
      </c>
      <c r="W282" s="8" t="str">
        <f>IFERROR(VLOOKUP(B282,Write_Bytes_ps!B:F,4,FALSE)/1024/1024,"")</f>
        <v/>
      </c>
      <c r="X282" s="8" t="str">
        <f>IFERROR(VLOOKUP(B282,Read_Bytes_ps!B:F,4,FALSE)/1024/1024,"")</f>
        <v/>
      </c>
      <c r="Y282" s="8" t="str">
        <f>IFERROR(VLOOKUP(B282,Writes_ps!B:F,5,FALSE),"")</f>
        <v/>
      </c>
      <c r="Z282" s="8" t="str">
        <f>IFERROR(VLOOKUP(B282,Reads_ps!B:F,5,FALSE),"")</f>
        <v/>
      </c>
      <c r="AA282" s="120">
        <f t="shared" si="103"/>
        <v>0</v>
      </c>
      <c r="AB282" s="122">
        <f t="shared" si="104"/>
        <v>0</v>
      </c>
      <c r="AC282" s="122" t="str">
        <f t="shared" si="90"/>
        <v>D8ds v4</v>
      </c>
      <c r="AD282" s="8" t="s">
        <v>517</v>
      </c>
      <c r="AE282" s="8">
        <f>IFERROR(VLOOKUP(AD282,'Web-SKUS'!A:E,2,FALSE),"")</f>
        <v>8</v>
      </c>
      <c r="AF282" s="8">
        <f>_xlfn.NUMBERVALUE(IFERROR(VLOOKUP(AD282,'Web-SKUS'!A:E,4,FALSE),""))</f>
        <v>32</v>
      </c>
      <c r="AG282" s="8">
        <f>IFERROR(VLOOKUP(AD282,VM_Performance_Stats!A:G,7,FALSE),0)</f>
        <v>16</v>
      </c>
      <c r="AH282" s="8">
        <f>IFERROR(VLOOKUP(AD282,VM_Performance_Stats!A:I,8,FALSE),"")</f>
        <v>12800</v>
      </c>
      <c r="AI282" s="8">
        <f t="shared" si="91"/>
        <v>1</v>
      </c>
      <c r="AJ282" s="8">
        <f t="shared" si="92"/>
        <v>1</v>
      </c>
      <c r="AK282" s="8">
        <f>IFERROR(IF(VLOOKUP(AD282,VM_Performance_Stats!A:I,8,FALSE)&gt;AB282,1,0),0)</f>
        <v>1</v>
      </c>
      <c r="AL282" t="str">
        <f>IFERROR(VLOOKUP(AD282,'Web-SKUS'!A:G,7,FALSE),"")</f>
        <v>£174.6483/month</v>
      </c>
      <c r="AM282" s="116">
        <f t="shared" si="93"/>
        <v>174.64830000000001</v>
      </c>
      <c r="AN282" t="str">
        <f>IFERROR(IF(C282=1,VLOOKUP(K282,'Web-SKUS'!A:G,7,FALSE),VLOOKUP(K282,'Web-SKUS'!A:G,6,FALSE)),"")</f>
        <v>£174.6483/month</v>
      </c>
      <c r="AO282" s="116">
        <f t="shared" si="94"/>
        <v>174.64830000000001</v>
      </c>
      <c r="AP282" s="116">
        <f t="shared" si="95"/>
        <v>174.64830000000001</v>
      </c>
      <c r="AQ282" s="115">
        <f t="shared" si="96"/>
        <v>0</v>
      </c>
      <c r="AR282" s="115">
        <f t="shared" si="98"/>
        <v>0</v>
      </c>
      <c r="AS282" s="115" t="str">
        <f>VLOOKUP(B282,'Willie List'!B:M,12,FALSE)</f>
        <v>YES</v>
      </c>
      <c r="AT282" s="115" t="str">
        <f t="shared" si="99"/>
        <v>Standard_D8ds_v4</v>
      </c>
      <c r="AU282" s="115" t="str">
        <f t="shared" si="100"/>
        <v>D8ds v4</v>
      </c>
      <c r="AV282" t="str">
        <f t="shared" si="101"/>
        <v>D8ds v4</v>
      </c>
      <c r="AW282" s="8">
        <f t="shared" si="102"/>
        <v>1</v>
      </c>
    </row>
    <row r="283" spans="1:49">
      <c r="A283" t="s">
        <v>299</v>
      </c>
      <c r="B283" t="s">
        <v>788</v>
      </c>
      <c r="C283" s="8">
        <f>IFERROR(IF(VLOOKUP(B283,'Willie List'!B:B,1,FALSE) &lt;&gt; "",1,0),0)</f>
        <v>1</v>
      </c>
      <c r="D283" s="8"/>
      <c r="E283" t="s">
        <v>99</v>
      </c>
      <c r="F283" t="s">
        <v>786</v>
      </c>
      <c r="G283" t="s">
        <v>152</v>
      </c>
      <c r="H283" t="s">
        <v>153</v>
      </c>
      <c r="I283" t="s">
        <v>154</v>
      </c>
      <c r="J283" t="s">
        <v>58</v>
      </c>
      <c r="K283" s="8" t="str">
        <f t="shared" si="97"/>
        <v>D8ds v4</v>
      </c>
      <c r="L283" s="8">
        <f>VLOOKUP(K283,'Web-SKUS'!A:E,2,FALSE)</f>
        <v>8</v>
      </c>
      <c r="M283" s="8" t="str">
        <f>VLOOKUP(K283,'Web-SKUS'!A:E,4,FALSE)</f>
        <v>32</v>
      </c>
      <c r="N283" t="s">
        <v>789</v>
      </c>
      <c r="O283">
        <v>1</v>
      </c>
      <c r="P283" t="s">
        <v>157</v>
      </c>
      <c r="Q283" t="str">
        <f>IFERROR(VLOOKUP(B283,PercentCPU!B:F,4,FALSE),"")</f>
        <v/>
      </c>
      <c r="R283" t="str">
        <f>IFERROR(VLOOKUP(B283,MemoryAvailable!B:F,3,FALSE),"")</f>
        <v/>
      </c>
      <c r="S283" s="2" t="str">
        <f t="shared" si="86"/>
        <v/>
      </c>
      <c r="T283" t="str">
        <f t="shared" si="87"/>
        <v/>
      </c>
      <c r="U283" s="8">
        <f t="shared" si="88"/>
        <v>0</v>
      </c>
      <c r="V283" s="8" t="str">
        <f t="shared" si="89"/>
        <v/>
      </c>
      <c r="W283" s="8" t="str">
        <f>IFERROR(VLOOKUP(B283,Write_Bytes_ps!B:F,4,FALSE)/1024/1024,"")</f>
        <v/>
      </c>
      <c r="X283" s="8" t="str">
        <f>IFERROR(VLOOKUP(B283,Read_Bytes_ps!B:F,4,FALSE)/1024/1024,"")</f>
        <v/>
      </c>
      <c r="Y283" s="8" t="str">
        <f>IFERROR(VLOOKUP(B283,Writes_ps!B:F,5,FALSE),"")</f>
        <v/>
      </c>
      <c r="Z283" s="8" t="str">
        <f>IFERROR(VLOOKUP(B283,Reads_ps!B:F,5,FALSE),"")</f>
        <v/>
      </c>
      <c r="AA283" s="120">
        <f t="shared" si="103"/>
        <v>0</v>
      </c>
      <c r="AB283" s="122">
        <f t="shared" si="104"/>
        <v>0</v>
      </c>
      <c r="AC283" s="122" t="str">
        <f t="shared" si="90"/>
        <v>D8ds v4</v>
      </c>
      <c r="AD283" s="8" t="s">
        <v>517</v>
      </c>
      <c r="AE283" s="8">
        <f>IFERROR(VLOOKUP(AD283,'Web-SKUS'!A:E,2,FALSE),"")</f>
        <v>8</v>
      </c>
      <c r="AF283" s="8">
        <f>_xlfn.NUMBERVALUE(IFERROR(VLOOKUP(AD283,'Web-SKUS'!A:E,4,FALSE),""))</f>
        <v>32</v>
      </c>
      <c r="AG283" s="8">
        <f>IFERROR(VLOOKUP(AD283,VM_Performance_Stats!A:G,7,FALSE),0)</f>
        <v>16</v>
      </c>
      <c r="AH283" s="8">
        <f>IFERROR(VLOOKUP(AD283,VM_Performance_Stats!A:I,8,FALSE),"")</f>
        <v>12800</v>
      </c>
      <c r="AI283" s="8">
        <f t="shared" si="91"/>
        <v>1</v>
      </c>
      <c r="AJ283" s="8">
        <f t="shared" si="92"/>
        <v>1</v>
      </c>
      <c r="AK283" s="8">
        <f>IFERROR(IF(VLOOKUP(AD283,VM_Performance_Stats!A:I,8,FALSE)&gt;AB283,1,0),0)</f>
        <v>1</v>
      </c>
      <c r="AL283" t="str">
        <f>IFERROR(VLOOKUP(AD283,'Web-SKUS'!A:G,7,FALSE),"")</f>
        <v>£174.6483/month</v>
      </c>
      <c r="AM283" s="116">
        <f t="shared" si="93"/>
        <v>174.64830000000001</v>
      </c>
      <c r="AN283" t="str">
        <f>IFERROR(IF(C283=1,VLOOKUP(K283,'Web-SKUS'!A:G,7,FALSE),VLOOKUP(K283,'Web-SKUS'!A:G,6,FALSE)),"")</f>
        <v>£174.6483/month</v>
      </c>
      <c r="AO283" s="116">
        <f t="shared" si="94"/>
        <v>174.64830000000001</v>
      </c>
      <c r="AP283" s="116">
        <f t="shared" si="95"/>
        <v>174.64830000000001</v>
      </c>
      <c r="AQ283" s="115">
        <f t="shared" si="96"/>
        <v>0</v>
      </c>
      <c r="AR283" s="115">
        <f t="shared" si="98"/>
        <v>0</v>
      </c>
      <c r="AS283" s="115" t="str">
        <f>VLOOKUP(B283,'Willie List'!B:M,12,FALSE)</f>
        <v>YES</v>
      </c>
      <c r="AT283" s="115" t="str">
        <f t="shared" si="99"/>
        <v>Standard_D8ds_v4</v>
      </c>
      <c r="AU283" s="115" t="str">
        <f t="shared" si="100"/>
        <v>D8ds v4</v>
      </c>
      <c r="AV283" t="str">
        <f t="shared" si="101"/>
        <v>D8ds v4</v>
      </c>
      <c r="AW283" s="8">
        <f t="shared" si="102"/>
        <v>1</v>
      </c>
    </row>
    <row r="284" spans="1:49">
      <c r="B284" t="s">
        <v>790</v>
      </c>
      <c r="C284" s="8">
        <f>IFERROR(IF(VLOOKUP(B284,'Willie List'!B:B,1,FALSE) &lt;&gt; "",1,0),0)</f>
        <v>1</v>
      </c>
      <c r="D284" s="8"/>
      <c r="E284" t="s">
        <v>99</v>
      </c>
      <c r="F284" t="s">
        <v>791</v>
      </c>
      <c r="G284" t="s">
        <v>152</v>
      </c>
      <c r="H284" t="s">
        <v>153</v>
      </c>
      <c r="I284" t="s">
        <v>154</v>
      </c>
      <c r="J284" t="s">
        <v>58</v>
      </c>
      <c r="K284" s="8" t="str">
        <f t="shared" si="97"/>
        <v>D8ds v4</v>
      </c>
      <c r="L284" s="8">
        <f>VLOOKUP(K284,'Web-SKUS'!A:E,2,FALSE)</f>
        <v>8</v>
      </c>
      <c r="M284" s="8" t="str">
        <f>VLOOKUP(K284,'Web-SKUS'!A:E,4,FALSE)</f>
        <v>32</v>
      </c>
      <c r="N284" t="s">
        <v>792</v>
      </c>
      <c r="O284">
        <v>2</v>
      </c>
      <c r="P284" t="s">
        <v>157</v>
      </c>
      <c r="Q284" t="str">
        <f>IFERROR(VLOOKUP(B284,PercentCPU!B:F,4,FALSE),"")</f>
        <v/>
      </c>
      <c r="R284" t="str">
        <f>IFERROR(VLOOKUP(B284,MemoryAvailable!B:F,3,FALSE),"")</f>
        <v/>
      </c>
      <c r="S284" s="2" t="str">
        <f t="shared" si="86"/>
        <v/>
      </c>
      <c r="T284" t="str">
        <f t="shared" si="87"/>
        <v/>
      </c>
      <c r="U284" s="8">
        <f t="shared" si="88"/>
        <v>0</v>
      </c>
      <c r="V284" s="8" t="str">
        <f t="shared" si="89"/>
        <v/>
      </c>
      <c r="W284" s="8" t="str">
        <f>IFERROR(VLOOKUP(B284,Write_Bytes_ps!B:F,4,FALSE)/1024/1024,"")</f>
        <v/>
      </c>
      <c r="X284" s="8" t="str">
        <f>IFERROR(VLOOKUP(B284,Read_Bytes_ps!B:F,4,FALSE)/1024/1024,"")</f>
        <v/>
      </c>
      <c r="Y284" s="8" t="str">
        <f>IFERROR(VLOOKUP(B284,Writes_ps!B:F,5,FALSE),"")</f>
        <v/>
      </c>
      <c r="Z284" s="8" t="str">
        <f>IFERROR(VLOOKUP(B284,Reads_ps!B:F,5,FALSE),"")</f>
        <v/>
      </c>
      <c r="AA284" s="120">
        <f t="shared" si="103"/>
        <v>0</v>
      </c>
      <c r="AB284" s="122">
        <f t="shared" si="104"/>
        <v>0</v>
      </c>
      <c r="AC284" s="122" t="str">
        <f t="shared" si="90"/>
        <v>D8ds v4</v>
      </c>
      <c r="AD284" s="8" t="s">
        <v>517</v>
      </c>
      <c r="AE284" s="8">
        <f>IFERROR(VLOOKUP(AD284,'Web-SKUS'!A:E,2,FALSE),"")</f>
        <v>8</v>
      </c>
      <c r="AF284" s="8">
        <f>_xlfn.NUMBERVALUE(IFERROR(VLOOKUP(AD284,'Web-SKUS'!A:E,4,FALSE),""))</f>
        <v>32</v>
      </c>
      <c r="AG284" s="8">
        <f>IFERROR(VLOOKUP(AD284,VM_Performance_Stats!A:G,7,FALSE),0)</f>
        <v>16</v>
      </c>
      <c r="AH284" s="8">
        <f>IFERROR(VLOOKUP(AD284,VM_Performance_Stats!A:I,8,FALSE),"")</f>
        <v>12800</v>
      </c>
      <c r="AI284" s="8">
        <f t="shared" si="91"/>
        <v>1</v>
      </c>
      <c r="AJ284" s="8">
        <f t="shared" si="92"/>
        <v>1</v>
      </c>
      <c r="AK284" s="8">
        <f>IFERROR(IF(VLOOKUP(AD284,VM_Performance_Stats!A:I,8,FALSE)&gt;AB284,1,0),0)</f>
        <v>1</v>
      </c>
      <c r="AL284" t="str">
        <f>IFERROR(VLOOKUP(AD284,'Web-SKUS'!A:G,7,FALSE),"")</f>
        <v>£174.6483/month</v>
      </c>
      <c r="AM284" s="116">
        <f t="shared" si="93"/>
        <v>174.64830000000001</v>
      </c>
      <c r="AN284" t="str">
        <f>IFERROR(IF(C284=1,VLOOKUP(K284,'Web-SKUS'!A:G,7,FALSE),VLOOKUP(K284,'Web-SKUS'!A:G,6,FALSE)),"")</f>
        <v>£174.6483/month</v>
      </c>
      <c r="AO284" s="116">
        <f t="shared" si="94"/>
        <v>174.64830000000001</v>
      </c>
      <c r="AP284" s="116">
        <f t="shared" si="95"/>
        <v>174.64830000000001</v>
      </c>
      <c r="AQ284" s="115">
        <f t="shared" si="96"/>
        <v>0</v>
      </c>
      <c r="AR284" s="115">
        <f t="shared" si="98"/>
        <v>0</v>
      </c>
      <c r="AS284" s="115" t="str">
        <f>VLOOKUP(B284,'Willie List'!B:M,12,FALSE)</f>
        <v>YES</v>
      </c>
      <c r="AT284" s="115" t="str">
        <f t="shared" si="99"/>
        <v>Standard_D8ds_v4</v>
      </c>
      <c r="AU284" s="115" t="str">
        <f t="shared" si="100"/>
        <v>D8ds v4</v>
      </c>
      <c r="AV284" t="str">
        <f t="shared" si="101"/>
        <v>D8ds v4</v>
      </c>
      <c r="AW284" s="8">
        <f t="shared" si="102"/>
        <v>1</v>
      </c>
    </row>
    <row r="285" spans="1:49">
      <c r="B285" t="s">
        <v>793</v>
      </c>
      <c r="C285" s="8">
        <f>IFERROR(IF(VLOOKUP(B285,'Willie List'!B:B,1,FALSE) &lt;&gt; "",1,0),0)</f>
        <v>0</v>
      </c>
      <c r="D285" s="8"/>
      <c r="E285" t="s">
        <v>454</v>
      </c>
      <c r="F285" t="s">
        <v>455</v>
      </c>
      <c r="G285" t="s">
        <v>152</v>
      </c>
      <c r="H285" t="s">
        <v>153</v>
      </c>
      <c r="I285" t="s">
        <v>276</v>
      </c>
      <c r="J285" t="s">
        <v>57</v>
      </c>
      <c r="K285" s="8" t="str">
        <f t="shared" si="97"/>
        <v>D4ds v4</v>
      </c>
      <c r="L285" s="8">
        <f>VLOOKUP(K285,'Web-SKUS'!A:E,2,FALSE)</f>
        <v>4</v>
      </c>
      <c r="M285" s="8" t="str">
        <f>VLOOKUP(K285,'Web-SKUS'!A:E,4,FALSE)</f>
        <v>16</v>
      </c>
      <c r="N285" t="s">
        <v>794</v>
      </c>
      <c r="O285">
        <v>1</v>
      </c>
      <c r="P285" t="s">
        <v>157</v>
      </c>
      <c r="Q285" t="str">
        <f>IFERROR(VLOOKUP(B285,PercentCPU!B:F,4,FALSE),"")</f>
        <v/>
      </c>
      <c r="R285" t="str">
        <f>IFERROR(VLOOKUP(B285,MemoryAvailable!B:F,3,FALSE),"")</f>
        <v/>
      </c>
      <c r="S285" s="2" t="str">
        <f t="shared" si="86"/>
        <v/>
      </c>
      <c r="T285" t="str">
        <f t="shared" si="87"/>
        <v/>
      </c>
      <c r="U285" s="8">
        <f t="shared" si="88"/>
        <v>0</v>
      </c>
      <c r="V285" s="8" t="str">
        <f t="shared" si="89"/>
        <v/>
      </c>
      <c r="W285" s="8" t="str">
        <f>IFERROR(VLOOKUP(B285,Write_Bytes_ps!B:F,4,FALSE)/1024/1024,"")</f>
        <v/>
      </c>
      <c r="X285" s="8" t="str">
        <f>IFERROR(VLOOKUP(B285,Read_Bytes_ps!B:F,4,FALSE)/1024/1024,"")</f>
        <v/>
      </c>
      <c r="Y285" s="8" t="str">
        <f>IFERROR(VLOOKUP(B285,Writes_ps!B:F,5,FALSE),"")</f>
        <v/>
      </c>
      <c r="Z285" s="8" t="str">
        <f>IFERROR(VLOOKUP(B285,Reads_ps!B:F,5,FALSE),"")</f>
        <v/>
      </c>
      <c r="AA285" s="8">
        <f t="shared" si="103"/>
        <v>0</v>
      </c>
      <c r="AB285" s="122">
        <f t="shared" si="104"/>
        <v>0</v>
      </c>
      <c r="AC285" s="122" t="str">
        <f t="shared" si="90"/>
        <v>D4ds v4</v>
      </c>
      <c r="AE285" s="8" t="str">
        <f>IFERROR(VLOOKUP(AD285,'Web-SKUS'!A:E,2,FALSE),"")</f>
        <v/>
      </c>
      <c r="AF285" s="8">
        <f>_xlfn.NUMBERVALUE(IFERROR(VLOOKUP(AD285,'Web-SKUS'!A:E,4,FALSE),""))</f>
        <v>0</v>
      </c>
      <c r="AG285" s="8">
        <f>IFERROR(VLOOKUP(AD285,VM_Performance_Stats!A:G,7,FALSE),0)</f>
        <v>0</v>
      </c>
      <c r="AH285" s="8" t="str">
        <f>IFERROR(VLOOKUP(AD285,VM_Performance_Stats!A:I,8,FALSE),"")</f>
        <v/>
      </c>
      <c r="AI285" s="8">
        <f t="shared" si="91"/>
        <v>1</v>
      </c>
      <c r="AJ285" s="8">
        <f t="shared" si="92"/>
        <v>0</v>
      </c>
      <c r="AK285" s="8">
        <f>IFERROR(IF(VLOOKUP(AD285,VM_Performance_Stats!A:I,8,FALSE)&gt;AB285,1,0),0)</f>
        <v>0</v>
      </c>
      <c r="AL285" t="str">
        <f>IFERROR(VLOOKUP(AD285,'Web-SKUS'!A:G,7,FALSE),"")</f>
        <v/>
      </c>
      <c r="AM285" s="116" t="str">
        <f t="shared" si="93"/>
        <v/>
      </c>
      <c r="AN285" t="str">
        <f>IFERROR(IF(C285=1,VLOOKUP(K285,'Web-SKUS'!A:G,7,FALSE),VLOOKUP(K285,'Web-SKUS'!A:G,6,FALSE)),"")</f>
        <v>£147.9886/month</v>
      </c>
      <c r="AO285" s="116">
        <f t="shared" si="94"/>
        <v>147.98859999999999</v>
      </c>
      <c r="AP285" s="116">
        <f t="shared" si="95"/>
        <v>147.98859999999999</v>
      </c>
      <c r="AQ285" s="115">
        <f t="shared" si="96"/>
        <v>0</v>
      </c>
      <c r="AR285" s="115">
        <f t="shared" si="98"/>
        <v>0</v>
      </c>
      <c r="AS285" s="115" t="e">
        <f>VLOOKUP(B285,'Willie List'!B:M,12,FALSE)</f>
        <v>#N/A</v>
      </c>
      <c r="AT285" s="115" t="str">
        <f t="shared" si="99"/>
        <v>Standard_D4ds_v4</v>
      </c>
      <c r="AU285" s="115" t="str">
        <f t="shared" si="100"/>
        <v>D4ds v4</v>
      </c>
      <c r="AV285">
        <f t="shared" si="101"/>
        <v>0</v>
      </c>
      <c r="AW285" s="8">
        <f t="shared" si="102"/>
        <v>0</v>
      </c>
    </row>
    <row r="286" spans="1:49">
      <c r="B286" t="s">
        <v>795</v>
      </c>
      <c r="C286" s="8">
        <f>IFERROR(IF(VLOOKUP(B286,'Willie List'!B:B,1,FALSE) &lt;&gt; "",1,0),0)</f>
        <v>1</v>
      </c>
      <c r="D286" s="8"/>
      <c r="E286" t="s">
        <v>99</v>
      </c>
      <c r="F286" t="s">
        <v>407</v>
      </c>
      <c r="G286" t="s">
        <v>152</v>
      </c>
      <c r="H286" t="s">
        <v>153</v>
      </c>
      <c r="I286" t="s">
        <v>276</v>
      </c>
      <c r="J286" t="s">
        <v>289</v>
      </c>
      <c r="K286" s="8" t="str">
        <f t="shared" si="97"/>
        <v>D4s v4</v>
      </c>
      <c r="L286" s="8">
        <f>VLOOKUP(K286,'Web-SKUS'!A:E,2,FALSE)</f>
        <v>4</v>
      </c>
      <c r="M286" s="8" t="str">
        <f>VLOOKUP(K286,'Web-SKUS'!A:E,4,FALSE)</f>
        <v>16</v>
      </c>
      <c r="N286" t="s">
        <v>277</v>
      </c>
      <c r="O286">
        <v>1</v>
      </c>
      <c r="P286" t="s">
        <v>157</v>
      </c>
      <c r="Q286" t="str">
        <f>IFERROR(VLOOKUP(B286,PercentCPU!B:F,4,FALSE),"")</f>
        <v/>
      </c>
      <c r="R286" t="str">
        <f>IFERROR(VLOOKUP(B286,MemoryAvailable!B:F,3,FALSE),"")</f>
        <v/>
      </c>
      <c r="S286" s="2" t="str">
        <f t="shared" si="86"/>
        <v/>
      </c>
      <c r="T286" t="str">
        <f t="shared" si="87"/>
        <v/>
      </c>
      <c r="U286" s="8">
        <f t="shared" si="88"/>
        <v>0</v>
      </c>
      <c r="V286" s="8" t="str">
        <f t="shared" si="89"/>
        <v/>
      </c>
      <c r="W286" s="8" t="str">
        <f>IFERROR(VLOOKUP(B286,Write_Bytes_ps!B:F,4,FALSE)/1024/1024,"")</f>
        <v/>
      </c>
      <c r="X286" s="8" t="str">
        <f>IFERROR(VLOOKUP(B286,Read_Bytes_ps!B:F,4,FALSE)/1024/1024,"")</f>
        <v/>
      </c>
      <c r="Y286" s="8" t="str">
        <f>IFERROR(VLOOKUP(B286,Writes_ps!B:F,5,FALSE),"")</f>
        <v/>
      </c>
      <c r="Z286" s="8" t="str">
        <f>IFERROR(VLOOKUP(B286,Reads_ps!B:F,5,FALSE),"")</f>
        <v/>
      </c>
      <c r="AA286" s="120">
        <f t="shared" si="103"/>
        <v>0</v>
      </c>
      <c r="AB286" s="122">
        <f t="shared" si="104"/>
        <v>0</v>
      </c>
      <c r="AC286" s="122" t="str">
        <f t="shared" si="90"/>
        <v>D4s v4</v>
      </c>
      <c r="AD286" s="8" t="s">
        <v>420</v>
      </c>
      <c r="AE286" s="8">
        <f>IFERROR(VLOOKUP(AD286,'Web-SKUS'!A:E,2,FALSE),"")</f>
        <v>4</v>
      </c>
      <c r="AF286" s="8">
        <f>_xlfn.NUMBERVALUE(IFERROR(VLOOKUP(AD286,'Web-SKUS'!A:E,4,FALSE),""))</f>
        <v>16</v>
      </c>
      <c r="AG286" s="8">
        <f>IFERROR(VLOOKUP(AD286,VM_Performance_Stats!A:G,7,FALSE),0)</f>
        <v>8</v>
      </c>
      <c r="AH286" s="8">
        <f>IFERROR(VLOOKUP(AD286,VM_Performance_Stats!A:I,8,FALSE),"")</f>
        <v>6400</v>
      </c>
      <c r="AI286" s="8">
        <f t="shared" si="91"/>
        <v>1</v>
      </c>
      <c r="AJ286" s="8">
        <f t="shared" si="92"/>
        <v>1</v>
      </c>
      <c r="AK286" s="8">
        <f>IFERROR(IF(VLOOKUP(AD286,VM_Performance_Stats!A:I,8,FALSE)&gt;AB286,1,0),0)</f>
        <v>1</v>
      </c>
      <c r="AL286" t="str">
        <f>IFERROR(VLOOKUP(AD286,'Web-SKUS'!A:G,7,FALSE),"")</f>
        <v>£87.3242/month</v>
      </c>
      <c r="AM286" s="116">
        <f t="shared" si="93"/>
        <v>87.324200000000005</v>
      </c>
      <c r="AN286" t="str">
        <f>IFERROR(IF(C286=1,VLOOKUP(K286,'Web-SKUS'!A:G,7,FALSE),VLOOKUP(K286,'Web-SKUS'!A:G,6,FALSE)),"")</f>
        <v>£73.8474/month</v>
      </c>
      <c r="AO286" s="116">
        <f t="shared" si="94"/>
        <v>73.847399999999993</v>
      </c>
      <c r="AP286" s="116">
        <f t="shared" si="95"/>
        <v>87.324200000000005</v>
      </c>
      <c r="AQ286" s="115">
        <f t="shared" si="96"/>
        <v>-13.476800000000011</v>
      </c>
      <c r="AR286" s="115">
        <f t="shared" si="98"/>
        <v>-161.72160000000014</v>
      </c>
      <c r="AS286" s="115" t="str">
        <f>VLOOKUP(B286,'Willie List'!B:M,12,FALSE)</f>
        <v>NO</v>
      </c>
      <c r="AT286" s="115" t="str">
        <f t="shared" si="99"/>
        <v>Standard_D4s_v4</v>
      </c>
      <c r="AU286" s="115" t="str">
        <f t="shared" si="100"/>
        <v>D4s v4</v>
      </c>
      <c r="AV286" t="str">
        <f t="shared" si="101"/>
        <v>D4ds v4</v>
      </c>
      <c r="AW286" s="8">
        <f t="shared" si="102"/>
        <v>0</v>
      </c>
    </row>
    <row r="287" spans="1:49">
      <c r="B287" t="s">
        <v>796</v>
      </c>
      <c r="C287" s="8">
        <f>IFERROR(IF(VLOOKUP(B287,'Willie List'!B:B,1,FALSE) &lt;&gt; "",1,0),0)</f>
        <v>0</v>
      </c>
      <c r="D287" s="8"/>
      <c r="E287" t="s">
        <v>95</v>
      </c>
      <c r="F287" t="s">
        <v>797</v>
      </c>
      <c r="G287" t="s">
        <v>152</v>
      </c>
      <c r="H287" t="s">
        <v>275</v>
      </c>
      <c r="I287" t="s">
        <v>276</v>
      </c>
      <c r="J287" t="s">
        <v>39</v>
      </c>
      <c r="K287" s="8" t="str">
        <f t="shared" si="97"/>
        <v>D13</v>
      </c>
      <c r="L287" s="8">
        <f>VLOOKUP(K287,'Web-SKUS'!A:E,2,FALSE)</f>
        <v>8</v>
      </c>
      <c r="M287" s="8" t="str">
        <f>VLOOKUP(K287,'Web-SKUS'!A:E,4,FALSE)</f>
        <v>56</v>
      </c>
      <c r="N287" t="s">
        <v>798</v>
      </c>
      <c r="O287">
        <v>5</v>
      </c>
      <c r="P287" t="s">
        <v>457</v>
      </c>
      <c r="Q287" t="str">
        <f>IFERROR(VLOOKUP(B287,PercentCPU!B:F,4,FALSE),"")</f>
        <v/>
      </c>
      <c r="R287" t="str">
        <f>IFERROR(VLOOKUP(B287,MemoryAvailable!B:F,3,FALSE),"")</f>
        <v/>
      </c>
      <c r="S287" s="2" t="str">
        <f t="shared" si="86"/>
        <v/>
      </c>
      <c r="T287" t="str">
        <f t="shared" si="87"/>
        <v/>
      </c>
      <c r="U287" s="8">
        <f t="shared" si="88"/>
        <v>0</v>
      </c>
      <c r="V287" s="8" t="str">
        <f t="shared" si="89"/>
        <v/>
      </c>
      <c r="W287" s="8" t="str">
        <f>IFERROR(VLOOKUP(B287,Write_Bytes_ps!B:F,4,FALSE)/1024/1024,"")</f>
        <v/>
      </c>
      <c r="X287" s="8" t="str">
        <f>IFERROR(VLOOKUP(B287,Read_Bytes_ps!B:F,4,FALSE)/1024/1024,"")</f>
        <v/>
      </c>
      <c r="Y287" s="8" t="str">
        <f>IFERROR(VLOOKUP(B287,Writes_ps!B:F,5,FALSE),"")</f>
        <v/>
      </c>
      <c r="Z287" s="8" t="str">
        <f>IFERROR(VLOOKUP(B287,Reads_ps!B:F,5,FALSE),"")</f>
        <v/>
      </c>
      <c r="AA287" s="8">
        <f t="shared" si="103"/>
        <v>0</v>
      </c>
      <c r="AB287" s="122">
        <f t="shared" si="104"/>
        <v>0</v>
      </c>
      <c r="AC287" s="122" t="str">
        <f t="shared" si="90"/>
        <v>D13</v>
      </c>
      <c r="AE287" s="8" t="str">
        <f>IFERROR(VLOOKUP(AD287,'Web-SKUS'!A:E,2,FALSE),"")</f>
        <v/>
      </c>
      <c r="AF287" s="8">
        <f>_xlfn.NUMBERVALUE(IFERROR(VLOOKUP(AD287,'Web-SKUS'!A:E,4,FALSE),""))</f>
        <v>0</v>
      </c>
      <c r="AG287" s="8">
        <f>IFERROR(VLOOKUP(AD287,VM_Performance_Stats!A:G,7,FALSE),0)</f>
        <v>0</v>
      </c>
      <c r="AH287" s="8" t="str">
        <f>IFERROR(VLOOKUP(AD287,VM_Performance_Stats!A:I,8,FALSE),"")</f>
        <v/>
      </c>
      <c r="AI287" s="8">
        <f t="shared" si="91"/>
        <v>1</v>
      </c>
      <c r="AJ287" s="8">
        <f t="shared" si="92"/>
        <v>0</v>
      </c>
      <c r="AK287" s="8">
        <f>IFERROR(IF(VLOOKUP(AD287,VM_Performance_Stats!A:I,8,FALSE)&gt;AB287,1,0),0)</f>
        <v>0</v>
      </c>
      <c r="AL287" t="str">
        <f>IFERROR(VLOOKUP(AD287,'Web-SKUS'!A:G,7,FALSE),"")</f>
        <v/>
      </c>
      <c r="AM287" s="116" t="str">
        <f t="shared" si="93"/>
        <v/>
      </c>
      <c r="AN287" t="str">
        <f>IFERROR(IF(C287=1,VLOOKUP(K287,'Web-SKUS'!A:G,7,FALSE),VLOOKUP(K287,'Web-SKUS'!A:G,6,FALSE)),"")</f>
        <v>£412.9534/month</v>
      </c>
      <c r="AO287" s="116">
        <f t="shared" si="94"/>
        <v>412.95339999999999</v>
      </c>
      <c r="AP287" s="116">
        <f t="shared" si="95"/>
        <v>412.95339999999999</v>
      </c>
      <c r="AQ287" s="115">
        <f t="shared" si="96"/>
        <v>0</v>
      </c>
      <c r="AR287" s="115">
        <f t="shared" si="98"/>
        <v>0</v>
      </c>
      <c r="AS287" s="115" t="e">
        <f>VLOOKUP(B287,'Willie List'!B:M,12,FALSE)</f>
        <v>#N/A</v>
      </c>
      <c r="AT287" s="115" t="str">
        <f t="shared" si="99"/>
        <v>Standard_D13</v>
      </c>
      <c r="AU287" s="115" t="str">
        <f t="shared" si="100"/>
        <v>D13</v>
      </c>
      <c r="AV287">
        <f t="shared" si="101"/>
        <v>0</v>
      </c>
      <c r="AW287" s="8">
        <f t="shared" si="102"/>
        <v>0</v>
      </c>
    </row>
    <row r="288" spans="1:49">
      <c r="B288" t="s">
        <v>799</v>
      </c>
      <c r="C288" s="8">
        <f>IFERROR(IF(VLOOKUP(B288,'Willie List'!B:B,1,FALSE) &lt;&gt; "",1,0),0)</f>
        <v>0</v>
      </c>
      <c r="D288" s="8"/>
      <c r="E288" t="s">
        <v>695</v>
      </c>
      <c r="F288" t="s">
        <v>800</v>
      </c>
      <c r="G288" t="s">
        <v>152</v>
      </c>
      <c r="H288" t="s">
        <v>153</v>
      </c>
      <c r="I288" t="s">
        <v>276</v>
      </c>
      <c r="J288" t="s">
        <v>39</v>
      </c>
      <c r="K288" s="8" t="str">
        <f t="shared" si="97"/>
        <v>D13</v>
      </c>
      <c r="L288" s="8">
        <f>VLOOKUP(K288,'Web-SKUS'!A:E,2,FALSE)</f>
        <v>8</v>
      </c>
      <c r="M288" s="8" t="str">
        <f>VLOOKUP(K288,'Web-SKUS'!A:E,4,FALSE)</f>
        <v>56</v>
      </c>
      <c r="N288" t="s">
        <v>801</v>
      </c>
      <c r="O288">
        <v>5</v>
      </c>
      <c r="P288" t="s">
        <v>157</v>
      </c>
      <c r="Q288" t="str">
        <f>IFERROR(VLOOKUP(B288,PercentCPU!B:F,4,FALSE),"")</f>
        <v/>
      </c>
      <c r="R288" t="str">
        <f>IFERROR(VLOOKUP(B288,MemoryAvailable!B:F,3,FALSE),"")</f>
        <v/>
      </c>
      <c r="S288" s="2" t="str">
        <f t="shared" si="86"/>
        <v/>
      </c>
      <c r="T288" t="str">
        <f t="shared" si="87"/>
        <v/>
      </c>
      <c r="U288" s="8">
        <f t="shared" si="88"/>
        <v>0</v>
      </c>
      <c r="V288" s="8" t="str">
        <f t="shared" si="89"/>
        <v/>
      </c>
      <c r="W288" s="8" t="str">
        <f>IFERROR(VLOOKUP(B288,Write_Bytes_ps!B:F,4,FALSE)/1024/1024,"")</f>
        <v/>
      </c>
      <c r="X288" s="8" t="str">
        <f>IFERROR(VLOOKUP(B288,Read_Bytes_ps!B:F,4,FALSE)/1024/1024,"")</f>
        <v/>
      </c>
      <c r="Y288" s="8" t="str">
        <f>IFERROR(VLOOKUP(B288,Writes_ps!B:F,5,FALSE),"")</f>
        <v/>
      </c>
      <c r="Z288" s="8" t="str">
        <f>IFERROR(VLOOKUP(B288,Reads_ps!B:F,5,FALSE),"")</f>
        <v/>
      </c>
      <c r="AA288" s="8">
        <f t="shared" si="103"/>
        <v>0</v>
      </c>
      <c r="AB288" s="122">
        <f t="shared" si="104"/>
        <v>0</v>
      </c>
      <c r="AC288" s="122" t="str">
        <f t="shared" si="90"/>
        <v>D13</v>
      </c>
      <c r="AE288" s="8" t="str">
        <f>IFERROR(VLOOKUP(AD288,'Web-SKUS'!A:E,2,FALSE),"")</f>
        <v/>
      </c>
      <c r="AF288" s="8">
        <f>_xlfn.NUMBERVALUE(IFERROR(VLOOKUP(AD288,'Web-SKUS'!A:E,4,FALSE),""))</f>
        <v>0</v>
      </c>
      <c r="AG288" s="8">
        <f>IFERROR(VLOOKUP(AD288,VM_Performance_Stats!A:G,7,FALSE),0)</f>
        <v>0</v>
      </c>
      <c r="AH288" s="8" t="str">
        <f>IFERROR(VLOOKUP(AD288,VM_Performance_Stats!A:I,8,FALSE),"")</f>
        <v/>
      </c>
      <c r="AI288" s="8">
        <f t="shared" si="91"/>
        <v>1</v>
      </c>
      <c r="AJ288" s="8">
        <f t="shared" si="92"/>
        <v>0</v>
      </c>
      <c r="AK288" s="8">
        <f>IFERROR(IF(VLOOKUP(AD288,VM_Performance_Stats!A:I,8,FALSE)&gt;AB288,1,0),0)</f>
        <v>0</v>
      </c>
      <c r="AL288" t="str">
        <f>IFERROR(VLOOKUP(AD288,'Web-SKUS'!A:G,7,FALSE),"")</f>
        <v/>
      </c>
      <c r="AM288" s="116" t="str">
        <f t="shared" si="93"/>
        <v/>
      </c>
      <c r="AN288" t="str">
        <f>IFERROR(IF(C288=1,VLOOKUP(K288,'Web-SKUS'!A:G,7,FALSE),VLOOKUP(K288,'Web-SKUS'!A:G,6,FALSE)),"")</f>
        <v>£412.9534/month</v>
      </c>
      <c r="AO288" s="116">
        <f t="shared" si="94"/>
        <v>412.95339999999999</v>
      </c>
      <c r="AP288" s="116">
        <f t="shared" si="95"/>
        <v>412.95339999999999</v>
      </c>
      <c r="AQ288" s="115">
        <f t="shared" si="96"/>
        <v>0</v>
      </c>
      <c r="AR288" s="115">
        <f t="shared" si="98"/>
        <v>0</v>
      </c>
      <c r="AS288" s="115" t="e">
        <f>VLOOKUP(B288,'Willie List'!B:M,12,FALSE)</f>
        <v>#N/A</v>
      </c>
      <c r="AT288" s="115" t="str">
        <f t="shared" si="99"/>
        <v>Standard_D13</v>
      </c>
      <c r="AU288" s="115" t="str">
        <f t="shared" si="100"/>
        <v>D13</v>
      </c>
      <c r="AV288">
        <f t="shared" si="101"/>
        <v>0</v>
      </c>
      <c r="AW288" s="8">
        <f t="shared" si="102"/>
        <v>0</v>
      </c>
    </row>
    <row r="289" spans="1:49">
      <c r="A289" t="s">
        <v>314</v>
      </c>
      <c r="B289" t="s">
        <v>802</v>
      </c>
      <c r="C289" s="8">
        <f>IFERROR(IF(VLOOKUP(B289,'Willie List'!B:B,1,FALSE) &lt;&gt; "",1,0),0)</f>
        <v>1</v>
      </c>
      <c r="D289" s="8">
        <v>1</v>
      </c>
      <c r="E289" t="s">
        <v>99</v>
      </c>
      <c r="F289" t="s">
        <v>803</v>
      </c>
      <c r="G289" t="s">
        <v>152</v>
      </c>
      <c r="H289" t="s">
        <v>153</v>
      </c>
      <c r="I289" t="s">
        <v>154</v>
      </c>
      <c r="J289" t="s">
        <v>56</v>
      </c>
      <c r="K289" s="8" t="str">
        <f t="shared" ref="K289:K313" si="105">IFERROR(REPLACE(REPLACE(J289,FIND("Standard_",J289,1),9,""),FIND("_",REPLACE(J289,FIND("Standard_",J289,1),9,""),1),1," "),REPLACE(J289,FIND("Standard_",J289,1),9,""))</f>
        <v>D2ds v4</v>
      </c>
      <c r="L289" s="8">
        <f>VLOOKUP(K289,'Web-SKUS'!A:E,2,FALSE)</f>
        <v>2</v>
      </c>
      <c r="M289" s="8" t="str">
        <f>VLOOKUP(K289,'Web-SKUS'!A:E,4,FALSE)</f>
        <v>8</v>
      </c>
      <c r="N289" t="s">
        <v>804</v>
      </c>
      <c r="O289" s="8">
        <v>2</v>
      </c>
      <c r="P289" t="s">
        <v>157</v>
      </c>
      <c r="Q289">
        <f>IFERROR(VLOOKUP(B289,PercentCPU!B:F,4,FALSE),"")</f>
        <v>6.0929916247790592</v>
      </c>
      <c r="R289">
        <f>IFERROR(VLOOKUP(B289,MemoryAvailable!B:F,3,FALSE),"")</f>
        <v>6944.4283743539618</v>
      </c>
      <c r="S289" s="2">
        <f t="shared" si="86"/>
        <v>0.1522914582087449</v>
      </c>
      <c r="T289">
        <f t="shared" si="87"/>
        <v>1</v>
      </c>
      <c r="U289" s="8">
        <f t="shared" si="88"/>
        <v>1</v>
      </c>
      <c r="V289" s="8">
        <f t="shared" si="89"/>
        <v>0</v>
      </c>
      <c r="W289" s="8">
        <f>IFERROR(VLOOKUP(B289,Write_Bytes_ps!B:F,4,FALSE)/1024/1024,"")</f>
        <v>0.20463259743448503</v>
      </c>
      <c r="X289" s="8">
        <f>IFERROR(VLOOKUP(B289,Read_Bytes_ps!B:F,4,FALSE)/1024/1024,"")</f>
        <v>0</v>
      </c>
      <c r="Y289" s="8">
        <f>IFERROR(VLOOKUP(B289,Writes_ps!B:F,5,FALSE),"")</f>
        <v>316.64911862828802</v>
      </c>
      <c r="Z289" s="8">
        <f>IFERROR(VLOOKUP(B289,Reads_ps!B:F,5,FALSE),"")</f>
        <v>103.349885171388</v>
      </c>
      <c r="AA289" s="120">
        <f t="shared" si="103"/>
        <v>0.20463259743448503</v>
      </c>
      <c r="AB289" s="122">
        <f t="shared" si="104"/>
        <v>420</v>
      </c>
      <c r="AC289" s="122" t="str">
        <f t="shared" si="90"/>
        <v>D2ds v4</v>
      </c>
      <c r="AD289" s="8" t="s">
        <v>290</v>
      </c>
      <c r="AE289" s="8">
        <f>IFERROR(VLOOKUP(AD289,'Web-SKUS'!A:E,2,FALSE),"")</f>
        <v>2</v>
      </c>
      <c r="AF289" s="8">
        <f>_xlfn.NUMBERVALUE(IFERROR(VLOOKUP(AD289,'Web-SKUS'!A:E,4,FALSE),""))</f>
        <v>4</v>
      </c>
      <c r="AG289" s="8">
        <f>IFERROR(VLOOKUP(AD289,VM_Performance_Stats!A:G,7,FALSE),0)</f>
        <v>4</v>
      </c>
      <c r="AH289" s="8">
        <f>IFERROR(VLOOKUP(AD289,VM_Performance_Stats!A:I,8,FALSE),"")</f>
        <v>3200</v>
      </c>
      <c r="AI289" s="8">
        <f t="shared" si="91"/>
        <v>1</v>
      </c>
      <c r="AJ289" s="8">
        <f t="shared" si="92"/>
        <v>1</v>
      </c>
      <c r="AK289" s="8">
        <f>IFERROR(IF(VLOOKUP(AD289,VM_Performance_Stats!A:I,8,FALSE)&gt;AB289,1,0),0)</f>
        <v>1</v>
      </c>
      <c r="AL289" t="str">
        <f>IFERROR(VLOOKUP(AD289,'Web-SKUS'!A:G,7,FALSE),"")</f>
        <v>£31.2409/month</v>
      </c>
      <c r="AM289" s="116">
        <f t="shared" si="93"/>
        <v>31.2409</v>
      </c>
      <c r="AN289" t="str">
        <f>IFERROR(IF(C289=1,VLOOKUP(K289,'Web-SKUS'!A:G,7,FALSE),VLOOKUP(K289,'Web-SKUS'!A:G,6,FALSE)),"")</f>
        <v>£43.6621/month</v>
      </c>
      <c r="AO289" s="116">
        <f t="shared" si="94"/>
        <v>43.662100000000002</v>
      </c>
      <c r="AP289" s="116">
        <f t="shared" si="95"/>
        <v>31.2409</v>
      </c>
      <c r="AQ289" s="115">
        <f t="shared" si="96"/>
        <v>12.421200000000002</v>
      </c>
      <c r="AR289" s="115">
        <f t="shared" si="98"/>
        <v>149.05440000000004</v>
      </c>
      <c r="AS289" s="115" t="str">
        <f>VLOOKUP(B289,'Willie List'!B:M,12,FALSE)</f>
        <v>YES</v>
      </c>
      <c r="AT289" s="115" t="str">
        <f t="shared" si="99"/>
        <v>Standard_D2ds_v4</v>
      </c>
      <c r="AU289" s="115" t="str">
        <f t="shared" si="100"/>
        <v>D2ds v4</v>
      </c>
      <c r="AV289" t="str">
        <f t="shared" si="101"/>
        <v>F2s v2</v>
      </c>
      <c r="AW289" s="8">
        <f t="shared" si="102"/>
        <v>0</v>
      </c>
    </row>
    <row r="290" spans="1:49">
      <c r="B290" t="s">
        <v>805</v>
      </c>
      <c r="C290" s="8">
        <f>IFERROR(IF(VLOOKUP(B290,'Willie List'!B:B,1,FALSE) &lt;&gt; "",1,0),0)</f>
        <v>0</v>
      </c>
      <c r="D290" s="8"/>
      <c r="E290" t="s">
        <v>695</v>
      </c>
      <c r="F290" t="s">
        <v>806</v>
      </c>
      <c r="G290" t="s">
        <v>152</v>
      </c>
      <c r="H290" t="s">
        <v>153</v>
      </c>
      <c r="I290" t="s">
        <v>276</v>
      </c>
      <c r="J290" t="s">
        <v>39</v>
      </c>
      <c r="K290" s="8" t="str">
        <f t="shared" si="105"/>
        <v>D13</v>
      </c>
      <c r="L290" s="8">
        <f>VLOOKUP(K290,'Web-SKUS'!A:E,2,FALSE)</f>
        <v>8</v>
      </c>
      <c r="M290" s="8" t="str">
        <f>VLOOKUP(K290,'Web-SKUS'!A:E,4,FALSE)</f>
        <v>56</v>
      </c>
      <c r="N290" t="s">
        <v>807</v>
      </c>
      <c r="O290">
        <v>9</v>
      </c>
      <c r="P290" t="s">
        <v>157</v>
      </c>
      <c r="Q290" t="str">
        <f>IFERROR(VLOOKUP(B290,PercentCPU!B:F,4,FALSE),"")</f>
        <v/>
      </c>
      <c r="R290" t="str">
        <f>IFERROR(VLOOKUP(B290,MemoryAvailable!B:F,3,FALSE),"")</f>
        <v/>
      </c>
      <c r="S290" s="2" t="str">
        <f t="shared" si="86"/>
        <v/>
      </c>
      <c r="T290" t="str">
        <f t="shared" si="87"/>
        <v/>
      </c>
      <c r="U290" s="8">
        <f t="shared" si="88"/>
        <v>0</v>
      </c>
      <c r="V290" s="8" t="str">
        <f t="shared" si="89"/>
        <v/>
      </c>
      <c r="W290" s="8" t="str">
        <f>IFERROR(VLOOKUP(B290,Write_Bytes_ps!B:F,4,FALSE)/1024/1024,"")</f>
        <v/>
      </c>
      <c r="X290" s="8" t="str">
        <f>IFERROR(VLOOKUP(B290,Read_Bytes_ps!B:F,4,FALSE)/1024/1024,"")</f>
        <v/>
      </c>
      <c r="Y290" s="8" t="str">
        <f>IFERROR(VLOOKUP(B290,Writes_ps!B:F,5,FALSE),"")</f>
        <v/>
      </c>
      <c r="Z290" s="8" t="str">
        <f>IFERROR(VLOOKUP(B290,Reads_ps!B:F,5,FALSE),"")</f>
        <v/>
      </c>
      <c r="AA290" s="8">
        <f t="shared" si="103"/>
        <v>0</v>
      </c>
      <c r="AB290" s="122">
        <f t="shared" si="104"/>
        <v>0</v>
      </c>
      <c r="AC290" s="122" t="str">
        <f t="shared" si="90"/>
        <v>D13</v>
      </c>
      <c r="AE290" s="8" t="str">
        <f>IFERROR(VLOOKUP(AD290,'Web-SKUS'!A:E,2,FALSE),"")</f>
        <v/>
      </c>
      <c r="AF290" s="8">
        <f>_xlfn.NUMBERVALUE(IFERROR(VLOOKUP(AD290,'Web-SKUS'!A:E,4,FALSE),""))</f>
        <v>0</v>
      </c>
      <c r="AG290" s="8">
        <f>IFERROR(VLOOKUP(AD290,VM_Performance_Stats!A:G,7,FALSE),0)</f>
        <v>0</v>
      </c>
      <c r="AH290" s="8" t="str">
        <f>IFERROR(VLOOKUP(AD290,VM_Performance_Stats!A:I,8,FALSE),"")</f>
        <v/>
      </c>
      <c r="AI290" s="8">
        <f t="shared" si="91"/>
        <v>1</v>
      </c>
      <c r="AJ290" s="8">
        <f t="shared" si="92"/>
        <v>0</v>
      </c>
      <c r="AK290" s="8">
        <f>IFERROR(IF(VLOOKUP(AD290,VM_Performance_Stats!A:I,8,FALSE)&gt;AB290,1,0),0)</f>
        <v>0</v>
      </c>
      <c r="AL290" t="str">
        <f>IFERROR(VLOOKUP(AD290,'Web-SKUS'!A:G,7,FALSE),"")</f>
        <v/>
      </c>
      <c r="AM290" s="116" t="str">
        <f t="shared" si="93"/>
        <v/>
      </c>
      <c r="AN290" t="str">
        <f>IFERROR(IF(C290=1,VLOOKUP(K290,'Web-SKUS'!A:G,7,FALSE),VLOOKUP(K290,'Web-SKUS'!A:G,6,FALSE)),"")</f>
        <v>£412.9534/month</v>
      </c>
      <c r="AO290" s="116">
        <f t="shared" si="94"/>
        <v>412.95339999999999</v>
      </c>
      <c r="AP290" s="116">
        <f t="shared" si="95"/>
        <v>412.95339999999999</v>
      </c>
      <c r="AQ290" s="115">
        <f t="shared" si="96"/>
        <v>0</v>
      </c>
      <c r="AR290" s="115">
        <f t="shared" si="98"/>
        <v>0</v>
      </c>
      <c r="AS290" s="115" t="e">
        <f>VLOOKUP(B290,'Willie List'!B:M,12,FALSE)</f>
        <v>#N/A</v>
      </c>
      <c r="AT290" s="115" t="str">
        <f t="shared" si="99"/>
        <v>Standard_D13</v>
      </c>
      <c r="AU290" s="115" t="str">
        <f t="shared" si="100"/>
        <v>D13</v>
      </c>
      <c r="AV290">
        <f t="shared" si="101"/>
        <v>0</v>
      </c>
      <c r="AW290" s="8">
        <f t="shared" si="102"/>
        <v>0</v>
      </c>
    </row>
    <row r="291" spans="1:49">
      <c r="A291" t="s">
        <v>311</v>
      </c>
      <c r="B291" t="s">
        <v>808</v>
      </c>
      <c r="C291" s="8">
        <f>IFERROR(IF(VLOOKUP(B291,'Willie List'!B:B,1,FALSE) &lt;&gt; "",1,0),0)</f>
        <v>1</v>
      </c>
      <c r="D291" s="8"/>
      <c r="E291" t="s">
        <v>99</v>
      </c>
      <c r="F291" t="s">
        <v>809</v>
      </c>
      <c r="G291" t="s">
        <v>152</v>
      </c>
      <c r="H291" t="s">
        <v>153</v>
      </c>
      <c r="I291" t="s">
        <v>276</v>
      </c>
      <c r="J291" t="s">
        <v>25</v>
      </c>
      <c r="K291" s="8" t="str">
        <f t="shared" si="105"/>
        <v>B4ms</v>
      </c>
      <c r="L291" s="8">
        <f>VLOOKUP(K291,'Web-SKUS'!A:E,2,FALSE)</f>
        <v>4</v>
      </c>
      <c r="M291" s="8" t="str">
        <f>VLOOKUP(K291,'Web-SKUS'!A:E,4,FALSE)</f>
        <v>16</v>
      </c>
      <c r="N291" t="s">
        <v>810</v>
      </c>
      <c r="O291">
        <v>2</v>
      </c>
      <c r="P291" t="s">
        <v>157</v>
      </c>
      <c r="Q291">
        <v>10</v>
      </c>
      <c r="R291">
        <v>2048</v>
      </c>
      <c r="S291" s="2">
        <f t="shared" si="86"/>
        <v>0.875</v>
      </c>
      <c r="T291">
        <f t="shared" si="87"/>
        <v>1</v>
      </c>
      <c r="U291" s="8">
        <f t="shared" si="88"/>
        <v>14</v>
      </c>
      <c r="V291" s="8">
        <f t="shared" si="89"/>
        <v>0</v>
      </c>
      <c r="W291" s="8" t="str">
        <f>IFERROR(VLOOKUP(B291,Write_Bytes_ps!B:F,4,FALSE)/1024/1024,"")</f>
        <v/>
      </c>
      <c r="X291" s="8" t="str">
        <f>IFERROR(VLOOKUP(B291,Read_Bytes_ps!B:F,4,FALSE)/1024/1024,"")</f>
        <v/>
      </c>
      <c r="Y291" s="8" t="str">
        <f>IFERROR(VLOOKUP(B291,Writes_ps!B:F,5,FALSE),"")</f>
        <v/>
      </c>
      <c r="Z291" s="8" t="str">
        <f>IFERROR(VLOOKUP(B291,Reads_ps!B:F,5,FALSE),"")</f>
        <v/>
      </c>
      <c r="AA291" s="120">
        <f t="shared" si="103"/>
        <v>0</v>
      </c>
      <c r="AB291" s="122">
        <f t="shared" si="104"/>
        <v>0</v>
      </c>
      <c r="AC291" s="122" t="str">
        <f t="shared" si="90"/>
        <v>B4ms</v>
      </c>
      <c r="AD291" s="8" t="s">
        <v>432</v>
      </c>
      <c r="AE291" s="8">
        <f>IFERROR(VLOOKUP(AD291,'Web-SKUS'!A:E,2,FALSE),"")</f>
        <v>4</v>
      </c>
      <c r="AF291" s="8">
        <f>_xlfn.NUMBERVALUE(IFERROR(VLOOKUP(AD291,'Web-SKUS'!A:E,4,FALSE),""))</f>
        <v>16</v>
      </c>
      <c r="AG291" s="8">
        <f>IFERROR(VLOOKUP(AD291,VM_Performance_Stats!A:G,7,FALSE),0)</f>
        <v>8</v>
      </c>
      <c r="AH291" s="8">
        <f>IFERROR(VLOOKUP(AD291,VM_Performance_Stats!A:I,8,FALSE),"")</f>
        <v>2880</v>
      </c>
      <c r="AI291" s="8">
        <f t="shared" si="91"/>
        <v>1</v>
      </c>
      <c r="AJ291" s="8">
        <f t="shared" si="92"/>
        <v>1</v>
      </c>
      <c r="AK291" s="8">
        <f>IFERROR(IF(VLOOKUP(AD291,VM_Performance_Stats!A:I,8,FALSE)&gt;AB291,1,0),0)</f>
        <v>1</v>
      </c>
      <c r="AL291" t="str">
        <f>IFERROR(VLOOKUP(AD291,'Web-SKUS'!A:G,7,FALSE),"")</f>
        <v>£61.1161/month</v>
      </c>
      <c r="AM291" s="116">
        <f t="shared" si="93"/>
        <v>61.116100000000003</v>
      </c>
      <c r="AN291" t="str">
        <f>IFERROR(IF(C291=1,VLOOKUP(K291,'Web-SKUS'!A:G,7,FALSE),VLOOKUP(K291,'Web-SKUS'!A:G,6,FALSE)),"")</f>
        <v>£61.1161/month</v>
      </c>
      <c r="AO291" s="116">
        <f t="shared" si="94"/>
        <v>61.116100000000003</v>
      </c>
      <c r="AP291" s="116">
        <f t="shared" si="95"/>
        <v>61.116100000000003</v>
      </c>
      <c r="AQ291" s="115">
        <f t="shared" si="96"/>
        <v>0</v>
      </c>
      <c r="AR291" s="115">
        <f t="shared" si="98"/>
        <v>0</v>
      </c>
      <c r="AS291" s="115">
        <f>VLOOKUP(B291,'Willie List'!B:M,12,FALSE)</f>
        <v>0</v>
      </c>
      <c r="AT291" s="115" t="str">
        <f t="shared" si="99"/>
        <v>Standard_B4ms</v>
      </c>
      <c r="AU291" s="115" t="str">
        <f t="shared" si="100"/>
        <v>B4ms</v>
      </c>
      <c r="AV291" t="str">
        <f t="shared" si="101"/>
        <v>B4ms</v>
      </c>
      <c r="AW291" s="8">
        <f t="shared" si="102"/>
        <v>1</v>
      </c>
    </row>
    <row r="292" spans="1:49">
      <c r="B292" t="s">
        <v>811</v>
      </c>
      <c r="C292" s="8">
        <f>IFERROR(IF(VLOOKUP(B292,'Willie List'!B:B,1,FALSE) &lt;&gt; "",1,0),0)</f>
        <v>0</v>
      </c>
      <c r="D292" s="8"/>
      <c r="E292" t="s">
        <v>695</v>
      </c>
      <c r="F292" t="s">
        <v>812</v>
      </c>
      <c r="G292" t="s">
        <v>152</v>
      </c>
      <c r="H292" t="s">
        <v>153</v>
      </c>
      <c r="I292" t="s">
        <v>276</v>
      </c>
      <c r="J292" t="s">
        <v>39</v>
      </c>
      <c r="K292" s="8" t="str">
        <f t="shared" si="105"/>
        <v>D13</v>
      </c>
      <c r="L292" s="8">
        <f>VLOOKUP(K292,'Web-SKUS'!A:E,2,FALSE)</f>
        <v>8</v>
      </c>
      <c r="M292" s="8" t="str">
        <f>VLOOKUP(K292,'Web-SKUS'!A:E,4,FALSE)</f>
        <v>56</v>
      </c>
      <c r="N292" t="s">
        <v>813</v>
      </c>
      <c r="O292">
        <v>5</v>
      </c>
      <c r="P292" t="s">
        <v>157</v>
      </c>
      <c r="Q292" t="str">
        <f>IFERROR(VLOOKUP(B292,PercentCPU!B:F,4,FALSE),"")</f>
        <v/>
      </c>
      <c r="R292" t="str">
        <f>IFERROR(VLOOKUP(B292,MemoryAvailable!B:F,3,FALSE),"")</f>
        <v/>
      </c>
      <c r="S292" s="2" t="str">
        <f t="shared" si="86"/>
        <v/>
      </c>
      <c r="T292" t="str">
        <f t="shared" si="87"/>
        <v/>
      </c>
      <c r="U292" s="8">
        <f t="shared" si="88"/>
        <v>0</v>
      </c>
      <c r="V292" s="8" t="str">
        <f t="shared" si="89"/>
        <v/>
      </c>
      <c r="W292" s="8" t="str">
        <f>IFERROR(VLOOKUP(B292,Write_Bytes_ps!B:F,4,FALSE)/1024/1024,"")</f>
        <v/>
      </c>
      <c r="X292" s="8" t="str">
        <f>IFERROR(VLOOKUP(B292,Read_Bytes_ps!B:F,4,FALSE)/1024/1024,"")</f>
        <v/>
      </c>
      <c r="Y292" s="8" t="str">
        <f>IFERROR(VLOOKUP(B292,Writes_ps!B:F,5,FALSE),"")</f>
        <v/>
      </c>
      <c r="Z292" s="8" t="str">
        <f>IFERROR(VLOOKUP(B292,Reads_ps!B:F,5,FALSE),"")</f>
        <v/>
      </c>
      <c r="AA292" s="8">
        <f t="shared" si="103"/>
        <v>0</v>
      </c>
      <c r="AB292" s="122">
        <f t="shared" si="104"/>
        <v>0</v>
      </c>
      <c r="AC292" s="122" t="str">
        <f t="shared" si="90"/>
        <v>D13</v>
      </c>
      <c r="AE292" s="8" t="str">
        <f>IFERROR(VLOOKUP(AD292,'Web-SKUS'!A:E,2,FALSE),"")</f>
        <v/>
      </c>
      <c r="AF292" s="8">
        <f>_xlfn.NUMBERVALUE(IFERROR(VLOOKUP(AD292,'Web-SKUS'!A:E,4,FALSE),""))</f>
        <v>0</v>
      </c>
      <c r="AG292" s="8">
        <f>IFERROR(VLOOKUP(AD292,VM_Performance_Stats!A:G,7,FALSE),0)</f>
        <v>0</v>
      </c>
      <c r="AH292" s="8" t="str">
        <f>IFERROR(VLOOKUP(AD292,VM_Performance_Stats!A:I,8,FALSE),"")</f>
        <v/>
      </c>
      <c r="AI292" s="8">
        <f t="shared" si="91"/>
        <v>1</v>
      </c>
      <c r="AJ292" s="8">
        <f t="shared" si="92"/>
        <v>0</v>
      </c>
      <c r="AK292" s="8">
        <f>IFERROR(IF(VLOOKUP(AD292,VM_Performance_Stats!A:I,8,FALSE)&gt;AB292,1,0),0)</f>
        <v>0</v>
      </c>
      <c r="AL292" t="str">
        <f>IFERROR(VLOOKUP(AD292,'Web-SKUS'!A:G,7,FALSE),"")</f>
        <v/>
      </c>
      <c r="AM292" s="116" t="str">
        <f t="shared" si="93"/>
        <v/>
      </c>
      <c r="AN292" t="str">
        <f>IFERROR(IF(C292=1,VLOOKUP(K292,'Web-SKUS'!A:G,7,FALSE),VLOOKUP(K292,'Web-SKUS'!A:G,6,FALSE)),"")</f>
        <v>£412.9534/month</v>
      </c>
      <c r="AO292" s="116">
        <f t="shared" si="94"/>
        <v>412.95339999999999</v>
      </c>
      <c r="AP292" s="116">
        <f t="shared" si="95"/>
        <v>412.95339999999999</v>
      </c>
      <c r="AQ292" s="115">
        <f t="shared" si="96"/>
        <v>0</v>
      </c>
      <c r="AR292" s="115">
        <f t="shared" si="98"/>
        <v>0</v>
      </c>
      <c r="AS292" s="115" t="e">
        <f>VLOOKUP(B292,'Willie List'!B:M,12,FALSE)</f>
        <v>#N/A</v>
      </c>
      <c r="AT292" s="115" t="str">
        <f t="shared" si="99"/>
        <v>Standard_D13</v>
      </c>
      <c r="AU292" s="115" t="str">
        <f t="shared" si="100"/>
        <v>D13</v>
      </c>
      <c r="AV292">
        <f t="shared" si="101"/>
        <v>0</v>
      </c>
      <c r="AW292" s="8">
        <f t="shared" si="102"/>
        <v>0</v>
      </c>
    </row>
    <row r="293" spans="1:49">
      <c r="B293" t="s">
        <v>814</v>
      </c>
      <c r="C293" s="8">
        <f>IFERROR(IF(VLOOKUP(B293,'Willie List'!B:B,1,FALSE) &lt;&gt; "",1,0),0)</f>
        <v>0</v>
      </c>
      <c r="D293" s="8"/>
      <c r="E293" t="s">
        <v>695</v>
      </c>
      <c r="F293" t="s">
        <v>815</v>
      </c>
      <c r="G293" t="s">
        <v>297</v>
      </c>
      <c r="H293" t="s">
        <v>153</v>
      </c>
      <c r="I293" t="s">
        <v>276</v>
      </c>
      <c r="J293" t="s">
        <v>28</v>
      </c>
      <c r="K293" s="8" t="str">
        <f t="shared" si="105"/>
        <v>B8ms</v>
      </c>
      <c r="L293" s="8">
        <f>VLOOKUP(K293,'Web-SKUS'!A:E,2,FALSE)</f>
        <v>8</v>
      </c>
      <c r="M293" s="8" t="str">
        <f>VLOOKUP(K293,'Web-SKUS'!A:E,4,FALSE)</f>
        <v>32</v>
      </c>
      <c r="N293" t="s">
        <v>816</v>
      </c>
      <c r="O293">
        <v>7</v>
      </c>
      <c r="P293" t="s">
        <v>157</v>
      </c>
      <c r="Q293" t="str">
        <f>IFERROR(VLOOKUP(B293,PercentCPU!B:F,4,FALSE),"")</f>
        <v/>
      </c>
      <c r="R293" t="str">
        <f>IFERROR(VLOOKUP(B293,MemoryAvailable!B:F,3,FALSE),"")</f>
        <v/>
      </c>
      <c r="S293" s="2" t="str">
        <f t="shared" si="86"/>
        <v/>
      </c>
      <c r="T293" t="str">
        <f t="shared" si="87"/>
        <v/>
      </c>
      <c r="U293" s="8">
        <f t="shared" si="88"/>
        <v>0</v>
      </c>
      <c r="V293" s="8" t="str">
        <f t="shared" si="89"/>
        <v/>
      </c>
      <c r="W293" s="8" t="str">
        <f>IFERROR(VLOOKUP(B293,Write_Bytes_ps!B:F,4,FALSE)/1024/1024,"")</f>
        <v/>
      </c>
      <c r="X293" s="8" t="str">
        <f>IFERROR(VLOOKUP(B293,Read_Bytes_ps!B:F,4,FALSE)/1024/1024,"")</f>
        <v/>
      </c>
      <c r="Y293" s="8" t="str">
        <f>IFERROR(VLOOKUP(B293,Writes_ps!B:F,5,FALSE),"")</f>
        <v/>
      </c>
      <c r="Z293" s="8" t="str">
        <f>IFERROR(VLOOKUP(B293,Reads_ps!B:F,5,FALSE),"")</f>
        <v/>
      </c>
      <c r="AA293" s="8">
        <f t="shared" si="103"/>
        <v>0</v>
      </c>
      <c r="AB293" s="122">
        <f t="shared" si="104"/>
        <v>0</v>
      </c>
      <c r="AC293" s="122" t="str">
        <f t="shared" si="90"/>
        <v>B8ms</v>
      </c>
      <c r="AD293" s="8" t="s">
        <v>817</v>
      </c>
      <c r="AE293" s="8">
        <f>IFERROR(VLOOKUP(AD293,'Web-SKUS'!A:E,2,FALSE),"")</f>
        <v>8</v>
      </c>
      <c r="AF293" s="8">
        <f>_xlfn.NUMBERVALUE(IFERROR(VLOOKUP(AD293,'Web-SKUS'!A:E,4,FALSE),""))</f>
        <v>32</v>
      </c>
      <c r="AG293" s="8">
        <f>IFERROR(VLOOKUP(AD293,VM_Performance_Stats!A:G,7,FALSE),0)</f>
        <v>16</v>
      </c>
      <c r="AH293" s="8">
        <f>IFERROR(VLOOKUP(AD293,VM_Performance_Stats!A:I,8,FALSE),"")</f>
        <v>4320</v>
      </c>
      <c r="AI293" s="8">
        <f t="shared" si="91"/>
        <v>1</v>
      </c>
      <c r="AJ293" s="8">
        <f t="shared" si="92"/>
        <v>1</v>
      </c>
      <c r="AK293" s="8">
        <f>IFERROR(IF(VLOOKUP(AD293,VM_Performance_Stats!A:I,8,FALSE)&gt;AB293,1,0),0)</f>
        <v>1</v>
      </c>
      <c r="AL293" t="str">
        <f>IFERROR(VLOOKUP(AD293,'Web-SKUS'!A:G,7,FALSE),"")</f>
        <v>£122.2321/month</v>
      </c>
      <c r="AM293" s="116">
        <f t="shared" si="93"/>
        <v>122.2321</v>
      </c>
      <c r="AN293" t="str">
        <f>IFERROR(IF(C293=1,VLOOKUP(K293,'Web-SKUS'!A:G,7,FALSE),VLOOKUP(K293,'Web-SKUS'!A:G,6,FALSE)),"")</f>
        <v>£208.9251/month</v>
      </c>
      <c r="AO293" s="116">
        <f t="shared" si="94"/>
        <v>208.92509999999999</v>
      </c>
      <c r="AP293" s="116">
        <f t="shared" si="95"/>
        <v>122.2321</v>
      </c>
      <c r="AQ293" s="115">
        <f t="shared" si="96"/>
        <v>86.692999999999984</v>
      </c>
      <c r="AR293" s="115">
        <f t="shared" si="98"/>
        <v>1040.3159999999998</v>
      </c>
      <c r="AS293" s="115" t="e">
        <f>VLOOKUP(B293,'Willie List'!B:M,12,FALSE)</f>
        <v>#N/A</v>
      </c>
      <c r="AT293" s="115" t="str">
        <f t="shared" si="99"/>
        <v>Standard_B8ms</v>
      </c>
      <c r="AU293" s="115" t="str">
        <f t="shared" si="100"/>
        <v>B8ms</v>
      </c>
      <c r="AV293" t="str">
        <f t="shared" si="101"/>
        <v>B8ms</v>
      </c>
      <c r="AW293" s="8">
        <f t="shared" si="102"/>
        <v>1</v>
      </c>
    </row>
    <row r="294" spans="1:49">
      <c r="B294" t="s">
        <v>818</v>
      </c>
      <c r="C294" s="8">
        <f>IFERROR(IF(VLOOKUP(B294,'Willie List'!B:B,1,FALSE) &lt;&gt; "",1,0),0)</f>
        <v>1</v>
      </c>
      <c r="D294" s="8"/>
      <c r="E294" t="s">
        <v>99</v>
      </c>
      <c r="F294" t="s">
        <v>419</v>
      </c>
      <c r="G294" t="s">
        <v>295</v>
      </c>
      <c r="H294" t="s">
        <v>153</v>
      </c>
      <c r="I294" t="s">
        <v>154</v>
      </c>
      <c r="J294" t="s">
        <v>155</v>
      </c>
      <c r="K294" s="8" t="str">
        <f t="shared" si="105"/>
        <v>DS3 v2</v>
      </c>
      <c r="L294" s="8">
        <f>VLOOKUP(K294,'Web-SKUS'!A:E,2,FALSE)</f>
        <v>4</v>
      </c>
      <c r="M294" s="8" t="str">
        <f>VLOOKUP(K294,'Web-SKUS'!A:E,4,FALSE)</f>
        <v>14</v>
      </c>
      <c r="N294" t="s">
        <v>277</v>
      </c>
      <c r="O294">
        <v>1</v>
      </c>
      <c r="P294" t="s">
        <v>157</v>
      </c>
      <c r="Q294">
        <v>27</v>
      </c>
      <c r="R294">
        <v>0</v>
      </c>
      <c r="S294" s="2">
        <f t="shared" si="86"/>
        <v>1</v>
      </c>
      <c r="T294">
        <f t="shared" si="87"/>
        <v>2</v>
      </c>
      <c r="U294" s="8">
        <f t="shared" si="88"/>
        <v>14</v>
      </c>
      <c r="V294" s="8">
        <f t="shared" si="89"/>
        <v>0</v>
      </c>
      <c r="W294" s="8" t="str">
        <f>IFERROR(VLOOKUP(B294,Write_Bytes_ps!B:F,4,FALSE)/1024/1024,"")</f>
        <v/>
      </c>
      <c r="X294" s="8" t="str">
        <f>IFERROR(VLOOKUP(B294,Read_Bytes_ps!B:F,4,FALSE)/1024/1024,"")</f>
        <v/>
      </c>
      <c r="Y294" s="8" t="str">
        <f>IFERROR(VLOOKUP(B294,Writes_ps!B:F,5,FALSE),"")</f>
        <v/>
      </c>
      <c r="Z294" s="8" t="str">
        <f>IFERROR(VLOOKUP(B294,Reads_ps!B:F,5,FALSE),"")</f>
        <v/>
      </c>
      <c r="AA294" s="120">
        <f t="shared" si="103"/>
        <v>0</v>
      </c>
      <c r="AB294" s="122">
        <f t="shared" si="104"/>
        <v>0</v>
      </c>
      <c r="AC294" s="122" t="str">
        <f t="shared" si="90"/>
        <v>DS3 v2</v>
      </c>
      <c r="AD294" s="8" t="s">
        <v>370</v>
      </c>
      <c r="AE294" s="8">
        <f>IFERROR(VLOOKUP(AD294,'Web-SKUS'!A:E,2,FALSE),"")</f>
        <v>2</v>
      </c>
      <c r="AF294" s="8">
        <f>_xlfn.NUMBERVALUE(IFERROR(VLOOKUP(AD294,'Web-SKUS'!A:E,4,FALSE),""))</f>
        <v>16</v>
      </c>
      <c r="AG294" s="8">
        <f>IFERROR(VLOOKUP(AD294,VM_Performance_Stats!A:G,7,FALSE),0)</f>
        <v>4</v>
      </c>
      <c r="AH294" s="8">
        <f>IFERROR(VLOOKUP(AD294,VM_Performance_Stats!A:I,8,FALSE),"")</f>
        <v>3200</v>
      </c>
      <c r="AI294" s="8">
        <f t="shared" si="91"/>
        <v>1</v>
      </c>
      <c r="AJ294" s="8">
        <f t="shared" si="92"/>
        <v>1</v>
      </c>
      <c r="AK294" s="8">
        <f>IFERROR(IF(VLOOKUP(AD294,VM_Performance_Stats!A:I,8,FALSE)&gt;AB294,1,0),0)</f>
        <v>1</v>
      </c>
      <c r="AL294" t="str">
        <f>IFERROR(VLOOKUP(AD294,'Web-SKUS'!A:G,7,FALSE),"")</f>
        <v>£55.5230/month</v>
      </c>
      <c r="AM294" s="116">
        <f t="shared" si="93"/>
        <v>55.523000000000003</v>
      </c>
      <c r="AN294" t="str">
        <f>IFERROR(IF(C294=1,VLOOKUP(K294,'Web-SKUS'!A:G,7,FALSE),VLOOKUP(K294,'Web-SKUS'!A:G,6,FALSE)),"")</f>
        <v>£89.0652/month</v>
      </c>
      <c r="AO294" s="116">
        <f t="shared" si="94"/>
        <v>89.065200000000004</v>
      </c>
      <c r="AP294" s="116">
        <f t="shared" si="95"/>
        <v>55.523000000000003</v>
      </c>
      <c r="AQ294" s="115">
        <f t="shared" si="96"/>
        <v>33.542200000000001</v>
      </c>
      <c r="AR294" s="115">
        <f t="shared" si="98"/>
        <v>402.50639999999999</v>
      </c>
      <c r="AS294" s="115" t="str">
        <f>VLOOKUP(B294,'Willie List'!B:M,12,FALSE)</f>
        <v>YES</v>
      </c>
      <c r="AT294" s="115" t="str">
        <f t="shared" si="99"/>
        <v>Standard_DS3_v2</v>
      </c>
      <c r="AU294" s="115" t="str">
        <f t="shared" si="100"/>
        <v>DS3 v2</v>
      </c>
      <c r="AV294" t="str">
        <f t="shared" si="101"/>
        <v>E2ds v4</v>
      </c>
      <c r="AW294" s="8">
        <f t="shared" si="102"/>
        <v>0</v>
      </c>
    </row>
    <row r="295" spans="1:49">
      <c r="B295" t="s">
        <v>818</v>
      </c>
      <c r="C295" s="8">
        <f>IFERROR(IF(VLOOKUP(B295,'Willie List'!B:B,1,FALSE) &lt;&gt; "",1,0),0)</f>
        <v>1</v>
      </c>
      <c r="D295" s="8"/>
      <c r="E295" t="s">
        <v>99</v>
      </c>
      <c r="F295" t="s">
        <v>448</v>
      </c>
      <c r="G295" t="s">
        <v>152</v>
      </c>
      <c r="H295" t="s">
        <v>153</v>
      </c>
      <c r="I295" t="s">
        <v>154</v>
      </c>
      <c r="J295" t="s">
        <v>155</v>
      </c>
      <c r="K295" s="8" t="str">
        <f t="shared" si="105"/>
        <v>DS3 v2</v>
      </c>
      <c r="L295" s="8">
        <f>VLOOKUP(K295,'Web-SKUS'!A:E,2,FALSE)</f>
        <v>4</v>
      </c>
      <c r="M295" s="8" t="str">
        <f>VLOOKUP(K295,'Web-SKUS'!A:E,4,FALSE)</f>
        <v>14</v>
      </c>
      <c r="N295" t="s">
        <v>277</v>
      </c>
      <c r="O295">
        <v>1</v>
      </c>
      <c r="P295" t="s">
        <v>157</v>
      </c>
      <c r="Q295">
        <v>25</v>
      </c>
      <c r="R295">
        <v>0</v>
      </c>
      <c r="S295" s="2">
        <f t="shared" si="86"/>
        <v>1</v>
      </c>
      <c r="T295">
        <f t="shared" si="87"/>
        <v>1</v>
      </c>
      <c r="U295" s="8">
        <f t="shared" si="88"/>
        <v>14</v>
      </c>
      <c r="V295" s="8">
        <f t="shared" si="89"/>
        <v>0</v>
      </c>
      <c r="W295" s="8" t="str">
        <f>IFERROR(VLOOKUP(B295,Write_Bytes_ps!B:F,4,FALSE)/1024/1024,"")</f>
        <v/>
      </c>
      <c r="X295" s="8" t="str">
        <f>IFERROR(VLOOKUP(B295,Read_Bytes_ps!B:F,4,FALSE)/1024/1024,"")</f>
        <v/>
      </c>
      <c r="Y295" s="8" t="str">
        <f>IFERROR(VLOOKUP(B295,Writes_ps!B:F,5,FALSE),"")</f>
        <v/>
      </c>
      <c r="Z295" s="8" t="str">
        <f>IFERROR(VLOOKUP(B295,Reads_ps!B:F,5,FALSE),"")</f>
        <v/>
      </c>
      <c r="AA295" s="120">
        <f t="shared" si="103"/>
        <v>0</v>
      </c>
      <c r="AB295" s="122">
        <f t="shared" si="104"/>
        <v>0</v>
      </c>
      <c r="AC295" s="122" t="str">
        <f t="shared" si="90"/>
        <v>DS3 v2</v>
      </c>
      <c r="AD295" s="8" t="s">
        <v>370</v>
      </c>
      <c r="AE295" s="8">
        <f>IFERROR(VLOOKUP(AD295,'Web-SKUS'!A:E,2,FALSE),"")</f>
        <v>2</v>
      </c>
      <c r="AF295" s="8">
        <f>_xlfn.NUMBERVALUE(IFERROR(VLOOKUP(AD295,'Web-SKUS'!A:E,4,FALSE),""))</f>
        <v>16</v>
      </c>
      <c r="AG295" s="8">
        <f>IFERROR(VLOOKUP(AD295,VM_Performance_Stats!A:G,7,FALSE),0)</f>
        <v>4</v>
      </c>
      <c r="AH295" s="8">
        <f>IFERROR(VLOOKUP(AD295,VM_Performance_Stats!A:I,8,FALSE),"")</f>
        <v>3200</v>
      </c>
      <c r="AI295" s="8">
        <f t="shared" si="91"/>
        <v>1</v>
      </c>
      <c r="AJ295" s="8">
        <f t="shared" si="92"/>
        <v>1</v>
      </c>
      <c r="AK295" s="8">
        <f>IFERROR(IF(VLOOKUP(AD295,VM_Performance_Stats!A:I,8,FALSE)&gt;AB295,1,0),0)</f>
        <v>1</v>
      </c>
      <c r="AL295" t="str">
        <f>IFERROR(VLOOKUP(AD295,'Web-SKUS'!A:G,7,FALSE),"")</f>
        <v>£55.5230/month</v>
      </c>
      <c r="AM295" s="116">
        <f t="shared" si="93"/>
        <v>55.523000000000003</v>
      </c>
      <c r="AN295" t="str">
        <f>IFERROR(IF(C295=1,VLOOKUP(K295,'Web-SKUS'!A:G,7,FALSE),VLOOKUP(K295,'Web-SKUS'!A:G,6,FALSE)),"")</f>
        <v>£89.0652/month</v>
      </c>
      <c r="AO295" s="116">
        <f t="shared" si="94"/>
        <v>89.065200000000004</v>
      </c>
      <c r="AP295" s="116">
        <f t="shared" si="95"/>
        <v>55.523000000000003</v>
      </c>
      <c r="AQ295" s="115">
        <f t="shared" si="96"/>
        <v>33.542200000000001</v>
      </c>
      <c r="AR295" s="115">
        <f t="shared" si="98"/>
        <v>402.50639999999999</v>
      </c>
      <c r="AS295" s="115" t="str">
        <f>VLOOKUP(B295,'Willie List'!B:M,12,FALSE)</f>
        <v>YES</v>
      </c>
      <c r="AT295" s="115" t="str">
        <f t="shared" si="99"/>
        <v>Standard_DS3_v2</v>
      </c>
      <c r="AU295" s="115" t="str">
        <f t="shared" si="100"/>
        <v>DS3 v2</v>
      </c>
      <c r="AV295" t="str">
        <f t="shared" si="101"/>
        <v>E2ds v4</v>
      </c>
      <c r="AW295" s="8">
        <f t="shared" si="102"/>
        <v>0</v>
      </c>
    </row>
    <row r="296" spans="1:49">
      <c r="B296" t="s">
        <v>819</v>
      </c>
      <c r="C296" s="8">
        <f>IFERROR(IF(VLOOKUP(B296,'Willie List'!B:B,1,FALSE) &lt;&gt; "",1,0),0)</f>
        <v>1</v>
      </c>
      <c r="D296" s="8"/>
      <c r="E296" t="s">
        <v>99</v>
      </c>
      <c r="F296" t="s">
        <v>419</v>
      </c>
      <c r="G296" t="s">
        <v>295</v>
      </c>
      <c r="H296" t="s">
        <v>153</v>
      </c>
      <c r="I296" t="s">
        <v>154</v>
      </c>
      <c r="J296" t="s">
        <v>155</v>
      </c>
      <c r="K296" s="8" t="str">
        <f t="shared" si="105"/>
        <v>DS3 v2</v>
      </c>
      <c r="L296" s="8">
        <f>VLOOKUP(K296,'Web-SKUS'!A:E,2,FALSE)</f>
        <v>4</v>
      </c>
      <c r="M296" s="8" t="str">
        <f>VLOOKUP(K296,'Web-SKUS'!A:E,4,FALSE)</f>
        <v>14</v>
      </c>
      <c r="N296" t="s">
        <v>277</v>
      </c>
      <c r="O296">
        <v>1</v>
      </c>
      <c r="P296" t="s">
        <v>157</v>
      </c>
      <c r="Q296">
        <v>27</v>
      </c>
      <c r="R296">
        <v>0</v>
      </c>
      <c r="S296" s="2">
        <f t="shared" si="86"/>
        <v>1</v>
      </c>
      <c r="T296">
        <f t="shared" si="87"/>
        <v>2</v>
      </c>
      <c r="U296" s="8">
        <f t="shared" si="88"/>
        <v>14</v>
      </c>
      <c r="V296" s="8">
        <f t="shared" si="89"/>
        <v>0</v>
      </c>
      <c r="W296" s="8" t="str">
        <f>IFERROR(VLOOKUP(B296,Write_Bytes_ps!B:F,4,FALSE)/1024/1024,"")</f>
        <v/>
      </c>
      <c r="X296" s="8" t="str">
        <f>IFERROR(VLOOKUP(B296,Read_Bytes_ps!B:F,4,FALSE)/1024/1024,"")</f>
        <v/>
      </c>
      <c r="Y296" s="8" t="str">
        <f>IFERROR(VLOOKUP(B296,Writes_ps!B:F,5,FALSE),"")</f>
        <v/>
      </c>
      <c r="Z296" s="8" t="str">
        <f>IFERROR(VLOOKUP(B296,Reads_ps!B:F,5,FALSE),"")</f>
        <v/>
      </c>
      <c r="AA296" s="120">
        <f t="shared" si="103"/>
        <v>0</v>
      </c>
      <c r="AB296" s="122">
        <f t="shared" si="104"/>
        <v>0</v>
      </c>
      <c r="AC296" s="122" t="str">
        <f t="shared" si="90"/>
        <v>DS3 v2</v>
      </c>
      <c r="AD296" s="8" t="s">
        <v>370</v>
      </c>
      <c r="AE296" s="8">
        <f>IFERROR(VLOOKUP(AD296,'Web-SKUS'!A:E,2,FALSE),"")</f>
        <v>2</v>
      </c>
      <c r="AF296" s="8">
        <f>_xlfn.NUMBERVALUE(IFERROR(VLOOKUP(AD296,'Web-SKUS'!A:E,4,FALSE),""))</f>
        <v>16</v>
      </c>
      <c r="AG296" s="8">
        <f>IFERROR(VLOOKUP(AD296,VM_Performance_Stats!A:G,7,FALSE),0)</f>
        <v>4</v>
      </c>
      <c r="AH296" s="8">
        <f>IFERROR(VLOOKUP(AD296,VM_Performance_Stats!A:I,8,FALSE),"")</f>
        <v>3200</v>
      </c>
      <c r="AI296" s="8">
        <f t="shared" si="91"/>
        <v>1</v>
      </c>
      <c r="AJ296" s="8">
        <f t="shared" si="92"/>
        <v>1</v>
      </c>
      <c r="AK296" s="8">
        <f>IFERROR(IF(VLOOKUP(AD296,VM_Performance_Stats!A:I,8,FALSE)&gt;AB296,1,0),0)</f>
        <v>1</v>
      </c>
      <c r="AL296" t="str">
        <f>IFERROR(VLOOKUP(AD296,'Web-SKUS'!A:G,7,FALSE),"")</f>
        <v>£55.5230/month</v>
      </c>
      <c r="AM296" s="116">
        <f t="shared" si="93"/>
        <v>55.523000000000003</v>
      </c>
      <c r="AN296" t="str">
        <f>IFERROR(IF(C296=1,VLOOKUP(K296,'Web-SKUS'!A:G,7,FALSE),VLOOKUP(K296,'Web-SKUS'!A:G,6,FALSE)),"")</f>
        <v>£89.0652/month</v>
      </c>
      <c r="AO296" s="116">
        <f t="shared" si="94"/>
        <v>89.065200000000004</v>
      </c>
      <c r="AP296" s="116">
        <f t="shared" si="95"/>
        <v>55.523000000000003</v>
      </c>
      <c r="AQ296" s="115">
        <f t="shared" si="96"/>
        <v>33.542200000000001</v>
      </c>
      <c r="AR296" s="115">
        <f t="shared" si="98"/>
        <v>402.50639999999999</v>
      </c>
      <c r="AS296" s="115" t="str">
        <f>VLOOKUP(B296,'Willie List'!B:M,12,FALSE)</f>
        <v>YES</v>
      </c>
      <c r="AT296" s="115" t="str">
        <f t="shared" si="99"/>
        <v>Standard_DS3_v2</v>
      </c>
      <c r="AU296" s="115" t="str">
        <f t="shared" si="100"/>
        <v>DS3 v2</v>
      </c>
      <c r="AV296" t="str">
        <f t="shared" si="101"/>
        <v>E2ds v4</v>
      </c>
      <c r="AW296" s="8">
        <f t="shared" si="102"/>
        <v>0</v>
      </c>
    </row>
    <row r="297" spans="1:49">
      <c r="B297" t="s">
        <v>819</v>
      </c>
      <c r="C297" s="8">
        <f>IFERROR(IF(VLOOKUP(B297,'Willie List'!B:B,1,FALSE) &lt;&gt; "",1,0),0)</f>
        <v>1</v>
      </c>
      <c r="D297" s="8"/>
      <c r="E297" t="s">
        <v>99</v>
      </c>
      <c r="F297" t="s">
        <v>448</v>
      </c>
      <c r="G297" t="s">
        <v>152</v>
      </c>
      <c r="H297" t="s">
        <v>153</v>
      </c>
      <c r="I297" t="s">
        <v>154</v>
      </c>
      <c r="J297" t="s">
        <v>155</v>
      </c>
      <c r="K297" s="8" t="str">
        <f t="shared" si="105"/>
        <v>DS3 v2</v>
      </c>
      <c r="L297" s="8">
        <f>VLOOKUP(K297,'Web-SKUS'!A:E,2,FALSE)</f>
        <v>4</v>
      </c>
      <c r="M297" s="8" t="str">
        <f>VLOOKUP(K297,'Web-SKUS'!A:E,4,FALSE)</f>
        <v>14</v>
      </c>
      <c r="N297" t="s">
        <v>277</v>
      </c>
      <c r="O297">
        <v>1</v>
      </c>
      <c r="P297" t="s">
        <v>157</v>
      </c>
      <c r="Q297">
        <v>27</v>
      </c>
      <c r="R297">
        <v>0</v>
      </c>
      <c r="S297" s="2">
        <f t="shared" si="86"/>
        <v>1</v>
      </c>
      <c r="T297">
        <f t="shared" si="87"/>
        <v>2</v>
      </c>
      <c r="U297" s="8">
        <f t="shared" si="88"/>
        <v>14</v>
      </c>
      <c r="V297" s="8">
        <f t="shared" si="89"/>
        <v>0</v>
      </c>
      <c r="W297" s="8" t="str">
        <f>IFERROR(VLOOKUP(B297,Write_Bytes_ps!B:F,4,FALSE)/1024/1024,"")</f>
        <v/>
      </c>
      <c r="X297" s="8" t="str">
        <f>IFERROR(VLOOKUP(B297,Read_Bytes_ps!B:F,4,FALSE)/1024/1024,"")</f>
        <v/>
      </c>
      <c r="Y297" s="8" t="str">
        <f>IFERROR(VLOOKUP(B297,Writes_ps!B:F,5,FALSE),"")</f>
        <v/>
      </c>
      <c r="Z297" s="8" t="str">
        <f>IFERROR(VLOOKUP(B297,Reads_ps!B:F,5,FALSE),"")</f>
        <v/>
      </c>
      <c r="AA297" s="120">
        <f t="shared" si="103"/>
        <v>0</v>
      </c>
      <c r="AB297" s="122">
        <f t="shared" si="104"/>
        <v>0</v>
      </c>
      <c r="AC297" s="122" t="str">
        <f t="shared" si="90"/>
        <v>DS3 v2</v>
      </c>
      <c r="AD297" s="8" t="s">
        <v>370</v>
      </c>
      <c r="AE297" s="8">
        <f>IFERROR(VLOOKUP(AD297,'Web-SKUS'!A:E,2,FALSE),"")</f>
        <v>2</v>
      </c>
      <c r="AF297" s="8">
        <f>_xlfn.NUMBERVALUE(IFERROR(VLOOKUP(AD297,'Web-SKUS'!A:E,4,FALSE),""))</f>
        <v>16</v>
      </c>
      <c r="AG297" s="8">
        <f>IFERROR(VLOOKUP(AD297,VM_Performance_Stats!A:G,7,FALSE),0)</f>
        <v>4</v>
      </c>
      <c r="AH297" s="8">
        <f>IFERROR(VLOOKUP(AD297,VM_Performance_Stats!A:I,8,FALSE),"")</f>
        <v>3200</v>
      </c>
      <c r="AI297" s="8">
        <f t="shared" si="91"/>
        <v>1</v>
      </c>
      <c r="AJ297" s="8">
        <f t="shared" si="92"/>
        <v>1</v>
      </c>
      <c r="AK297" s="8">
        <f>IFERROR(IF(VLOOKUP(AD297,VM_Performance_Stats!A:I,8,FALSE)&gt;AB297,1,0),0)</f>
        <v>1</v>
      </c>
      <c r="AL297" t="str">
        <f>IFERROR(VLOOKUP(AD297,'Web-SKUS'!A:G,7,FALSE),"")</f>
        <v>£55.5230/month</v>
      </c>
      <c r="AM297" s="116">
        <f t="shared" si="93"/>
        <v>55.523000000000003</v>
      </c>
      <c r="AN297" t="str">
        <f>IFERROR(IF(C297=1,VLOOKUP(K297,'Web-SKUS'!A:G,7,FALSE),VLOOKUP(K297,'Web-SKUS'!A:G,6,FALSE)),"")</f>
        <v>£89.0652/month</v>
      </c>
      <c r="AO297" s="116">
        <f t="shared" si="94"/>
        <v>89.065200000000004</v>
      </c>
      <c r="AP297" s="116">
        <f t="shared" si="95"/>
        <v>55.523000000000003</v>
      </c>
      <c r="AQ297" s="115">
        <f t="shared" si="96"/>
        <v>33.542200000000001</v>
      </c>
      <c r="AR297" s="115">
        <f t="shared" si="98"/>
        <v>402.50639999999999</v>
      </c>
      <c r="AS297" s="115" t="str">
        <f>VLOOKUP(B297,'Willie List'!B:M,12,FALSE)</f>
        <v>YES</v>
      </c>
      <c r="AT297" s="115" t="str">
        <f t="shared" si="99"/>
        <v>Standard_DS3_v2</v>
      </c>
      <c r="AU297" s="115" t="str">
        <f t="shared" si="100"/>
        <v>DS3 v2</v>
      </c>
      <c r="AV297" t="str">
        <f t="shared" si="101"/>
        <v>E2ds v4</v>
      </c>
      <c r="AW297" s="8">
        <f t="shared" si="102"/>
        <v>0</v>
      </c>
    </row>
    <row r="298" spans="1:49">
      <c r="B298" t="s">
        <v>820</v>
      </c>
      <c r="C298" s="8">
        <f>IFERROR(IF(VLOOKUP(B298,'Willie List'!B:B,1,FALSE) &lt;&gt; "",1,0),0)</f>
        <v>0</v>
      </c>
      <c r="D298" s="8"/>
      <c r="E298" t="s">
        <v>95</v>
      </c>
      <c r="F298" t="s">
        <v>821</v>
      </c>
      <c r="G298" t="s">
        <v>152</v>
      </c>
      <c r="H298" t="s">
        <v>153</v>
      </c>
      <c r="I298" t="s">
        <v>154</v>
      </c>
      <c r="J298" t="s">
        <v>22</v>
      </c>
      <c r="K298" s="8" t="str">
        <f t="shared" si="105"/>
        <v>B2ms</v>
      </c>
      <c r="L298" s="8">
        <f>VLOOKUP(K298,'Web-SKUS'!A:E,2,FALSE)</f>
        <v>2</v>
      </c>
      <c r="M298" s="8" t="str">
        <f>VLOOKUP(K298,'Web-SKUS'!A:E,4,FALSE)</f>
        <v>8</v>
      </c>
      <c r="N298" t="s">
        <v>277</v>
      </c>
      <c r="O298">
        <v>1</v>
      </c>
      <c r="P298" t="s">
        <v>157</v>
      </c>
      <c r="Q298" t="str">
        <f>IFERROR(VLOOKUP(B298,PercentCPU!B:F,4,FALSE),"")</f>
        <v/>
      </c>
      <c r="R298" t="str">
        <f>IFERROR(VLOOKUP(B298,MemoryAvailable!B:F,3,FALSE),"")</f>
        <v/>
      </c>
      <c r="S298" s="2" t="str">
        <f t="shared" si="86"/>
        <v/>
      </c>
      <c r="T298" t="str">
        <f t="shared" si="87"/>
        <v/>
      </c>
      <c r="U298" s="8">
        <f t="shared" si="88"/>
        <v>0</v>
      </c>
      <c r="V298" s="8" t="str">
        <f t="shared" si="89"/>
        <v/>
      </c>
      <c r="W298" s="8" t="str">
        <f>IFERROR(VLOOKUP(B298,Write_Bytes_ps!B:F,4,FALSE)/1024/1024,"")</f>
        <v/>
      </c>
      <c r="X298" s="8" t="str">
        <f>IFERROR(VLOOKUP(B298,Read_Bytes_ps!B:F,4,FALSE)/1024/1024,"")</f>
        <v/>
      </c>
      <c r="Y298" s="8" t="str">
        <f>IFERROR(VLOOKUP(B298,Writes_ps!B:F,5,FALSE),"")</f>
        <v/>
      </c>
      <c r="Z298" s="8" t="str">
        <f>IFERROR(VLOOKUP(B298,Reads_ps!B:F,5,FALSE),"")</f>
        <v/>
      </c>
      <c r="AA298" s="8">
        <f t="shared" si="103"/>
        <v>0</v>
      </c>
      <c r="AB298" s="122">
        <f t="shared" si="104"/>
        <v>0</v>
      </c>
      <c r="AC298" s="122" t="str">
        <f t="shared" si="90"/>
        <v>B2ms</v>
      </c>
      <c r="AD298" s="8" t="s">
        <v>325</v>
      </c>
      <c r="AE298" s="8">
        <f>IFERROR(VLOOKUP(AD298,'Web-SKUS'!A:E,2,FALSE),"")</f>
        <v>2</v>
      </c>
      <c r="AF298" s="8">
        <f>_xlfn.NUMBERVALUE(IFERROR(VLOOKUP(AD298,'Web-SKUS'!A:E,4,FALSE),""))</f>
        <v>8</v>
      </c>
      <c r="AG298" s="8">
        <f>IFERROR(VLOOKUP(AD298,VM_Performance_Stats!A:G,7,FALSE),0)</f>
        <v>4</v>
      </c>
      <c r="AH298" s="8">
        <f>IFERROR(VLOOKUP(AD298,VM_Performance_Stats!A:I,8,FALSE),"")</f>
        <v>1920</v>
      </c>
      <c r="AI298" s="8">
        <f t="shared" si="91"/>
        <v>1</v>
      </c>
      <c r="AJ298" s="8">
        <f t="shared" si="92"/>
        <v>1</v>
      </c>
      <c r="AK298" s="8">
        <f>IFERROR(IF(VLOOKUP(AD298,VM_Performance_Stats!A:I,8,FALSE)&gt;AB298,1,0),0)</f>
        <v>1</v>
      </c>
      <c r="AL298" t="str">
        <f>IFERROR(VLOOKUP(AD298,'Web-SKUS'!A:G,7,FALSE),"")</f>
        <v>£30.5553/month</v>
      </c>
      <c r="AM298" s="116">
        <f t="shared" si="93"/>
        <v>30.555299999999999</v>
      </c>
      <c r="AN298" t="str">
        <f>IFERROR(IF(C298=1,VLOOKUP(K298,'Web-SKUS'!A:G,7,FALSE),VLOOKUP(K298,'Web-SKUS'!A:G,6,FALSE)),"")</f>
        <v>£52.2313/month</v>
      </c>
      <c r="AO298" s="116">
        <f t="shared" si="94"/>
        <v>52.231299999999997</v>
      </c>
      <c r="AP298" s="116">
        <f t="shared" si="95"/>
        <v>30.555299999999999</v>
      </c>
      <c r="AQ298" s="115">
        <f t="shared" si="96"/>
        <v>21.675999999999998</v>
      </c>
      <c r="AR298" s="115">
        <f t="shared" si="98"/>
        <v>260.11199999999997</v>
      </c>
      <c r="AS298" s="115" t="e">
        <f>VLOOKUP(B298,'Willie List'!B:M,12,FALSE)</f>
        <v>#N/A</v>
      </c>
      <c r="AT298" s="115" t="str">
        <f t="shared" si="99"/>
        <v>Standard_B2ms</v>
      </c>
      <c r="AU298" s="115" t="str">
        <f t="shared" si="100"/>
        <v>B2ms</v>
      </c>
      <c r="AV298" t="str">
        <f t="shared" si="101"/>
        <v>B2ms</v>
      </c>
      <c r="AW298" s="8">
        <f t="shared" si="102"/>
        <v>1</v>
      </c>
    </row>
    <row r="299" spans="1:49">
      <c r="B299" t="s">
        <v>822</v>
      </c>
      <c r="C299" s="8">
        <f>IFERROR(IF(VLOOKUP(B299,'Willie List'!B:B,1,FALSE) &lt;&gt; "",1,0),0)</f>
        <v>1</v>
      </c>
      <c r="D299" s="8"/>
      <c r="E299" t="s">
        <v>99</v>
      </c>
      <c r="F299" t="s">
        <v>823</v>
      </c>
      <c r="G299" t="s">
        <v>152</v>
      </c>
      <c r="H299" t="s">
        <v>153</v>
      </c>
      <c r="I299" t="s">
        <v>154</v>
      </c>
      <c r="J299" t="s">
        <v>824</v>
      </c>
      <c r="K299" s="8" t="str">
        <f t="shared" si="105"/>
        <v>F2</v>
      </c>
      <c r="L299" s="8">
        <f>VLOOKUP(K299,'Web-SKUS'!A:E,2,FALSE)</f>
        <v>2</v>
      </c>
      <c r="M299" s="8" t="str">
        <f>VLOOKUP(K299,'Web-SKUS'!A:E,4,FALSE)</f>
        <v>4</v>
      </c>
      <c r="N299" t="s">
        <v>825</v>
      </c>
      <c r="O299">
        <v>1</v>
      </c>
      <c r="P299" t="s">
        <v>157</v>
      </c>
      <c r="Q299">
        <v>5</v>
      </c>
      <c r="R299">
        <v>0</v>
      </c>
      <c r="S299" s="2">
        <f t="shared" si="86"/>
        <v>1</v>
      </c>
      <c r="T299">
        <f t="shared" si="87"/>
        <v>1</v>
      </c>
      <c r="U299" s="8">
        <f t="shared" si="88"/>
        <v>4</v>
      </c>
      <c r="V299" s="8" t="str">
        <f t="shared" si="89"/>
        <v>D Series</v>
      </c>
      <c r="W299" s="8" t="str">
        <f>IFERROR(VLOOKUP(B299,Write_Bytes_ps!B:F,4,FALSE)/1024/1024,"")</f>
        <v/>
      </c>
      <c r="X299" s="8" t="str">
        <f>IFERROR(VLOOKUP(B299,Read_Bytes_ps!B:F,4,FALSE)/1024/1024,"")</f>
        <v/>
      </c>
      <c r="Y299" s="8" t="str">
        <f>IFERROR(VLOOKUP(B299,Writes_ps!B:F,5,FALSE),"")</f>
        <v/>
      </c>
      <c r="Z299" s="8" t="str">
        <f>IFERROR(VLOOKUP(B299,Reads_ps!B:F,5,FALSE),"")</f>
        <v/>
      </c>
      <c r="AA299" s="120">
        <f t="shared" si="103"/>
        <v>0</v>
      </c>
      <c r="AB299" s="122">
        <f t="shared" si="104"/>
        <v>0</v>
      </c>
      <c r="AC299" s="122" t="str">
        <f t="shared" si="90"/>
        <v>F2</v>
      </c>
      <c r="AD299" s="8" t="s">
        <v>290</v>
      </c>
      <c r="AE299" s="8">
        <f>IFERROR(VLOOKUP(AD299,'Web-SKUS'!A:E,2,FALSE),"")</f>
        <v>2</v>
      </c>
      <c r="AF299" s="8">
        <f>_xlfn.NUMBERVALUE(IFERROR(VLOOKUP(AD299,'Web-SKUS'!A:E,4,FALSE),""))</f>
        <v>4</v>
      </c>
      <c r="AG299" s="8">
        <f>IFERROR(VLOOKUP(AD299,VM_Performance_Stats!A:G,7,FALSE),0)</f>
        <v>4</v>
      </c>
      <c r="AH299" s="8">
        <f>IFERROR(VLOOKUP(AD299,VM_Performance_Stats!A:I,8,FALSE),"")</f>
        <v>3200</v>
      </c>
      <c r="AI299" s="8">
        <f t="shared" si="91"/>
        <v>1</v>
      </c>
      <c r="AJ299" s="8">
        <f t="shared" si="92"/>
        <v>1</v>
      </c>
      <c r="AK299" s="8">
        <f>IFERROR(IF(VLOOKUP(AD299,VM_Performance_Stats!A:I,8,FALSE)&gt;AB299,1,0),0)</f>
        <v>1</v>
      </c>
      <c r="AL299" t="str">
        <f>IFERROR(VLOOKUP(AD299,'Web-SKUS'!A:G,7,FALSE),"")</f>
        <v>£31.2409/month</v>
      </c>
      <c r="AM299" s="116">
        <f t="shared" si="93"/>
        <v>31.2409</v>
      </c>
      <c r="AN299" t="str">
        <f>IFERROR(IF(C299=1,VLOOKUP(K299,'Web-SKUS'!A:G,7,FALSE),VLOOKUP(K299,'Web-SKUS'!A:G,6,FALSE)),"")</f>
        <v>£44.9679/month</v>
      </c>
      <c r="AO299" s="116">
        <f t="shared" si="94"/>
        <v>44.9679</v>
      </c>
      <c r="AP299" s="116">
        <f t="shared" si="95"/>
        <v>31.2409</v>
      </c>
      <c r="AQ299" s="115">
        <f t="shared" si="96"/>
        <v>13.727</v>
      </c>
      <c r="AR299" s="115">
        <f t="shared" si="98"/>
        <v>164.72399999999999</v>
      </c>
      <c r="AS299" s="115" t="str">
        <f>VLOOKUP(B299,'Willie List'!B:M,12,FALSE)</f>
        <v>NO</v>
      </c>
      <c r="AT299" s="115" t="str">
        <f t="shared" si="99"/>
        <v>Standard_F2</v>
      </c>
      <c r="AU299" s="115" t="str">
        <f t="shared" si="100"/>
        <v>F2</v>
      </c>
      <c r="AV299" t="str">
        <f t="shared" si="101"/>
        <v>F2s v2</v>
      </c>
      <c r="AW299" s="8">
        <f t="shared" si="102"/>
        <v>0</v>
      </c>
    </row>
    <row r="300" spans="1:49">
      <c r="B300" t="s">
        <v>826</v>
      </c>
      <c r="C300" s="8">
        <f>IFERROR(IF(VLOOKUP(B300,'Willie List'!B:B,1,FALSE) &lt;&gt; "",1,0),0)</f>
        <v>1</v>
      </c>
      <c r="D300" s="8"/>
      <c r="E300" t="s">
        <v>99</v>
      </c>
      <c r="F300" t="s">
        <v>823</v>
      </c>
      <c r="G300" t="s">
        <v>152</v>
      </c>
      <c r="H300" t="s">
        <v>153</v>
      </c>
      <c r="I300" t="s">
        <v>154</v>
      </c>
      <c r="J300" t="s">
        <v>824</v>
      </c>
      <c r="K300" s="8" t="str">
        <f t="shared" si="105"/>
        <v>F2</v>
      </c>
      <c r="L300" s="8">
        <f>VLOOKUP(K300,'Web-SKUS'!A:E,2,FALSE)</f>
        <v>2</v>
      </c>
      <c r="M300" s="8" t="str">
        <f>VLOOKUP(K300,'Web-SKUS'!A:E,4,FALSE)</f>
        <v>4</v>
      </c>
      <c r="N300" t="s">
        <v>827</v>
      </c>
      <c r="O300">
        <v>1</v>
      </c>
      <c r="P300" t="s">
        <v>157</v>
      </c>
      <c r="Q300">
        <v>10</v>
      </c>
      <c r="R300">
        <v>0</v>
      </c>
      <c r="S300" s="2">
        <f t="shared" si="86"/>
        <v>1</v>
      </c>
      <c r="T300">
        <f t="shared" si="87"/>
        <v>1</v>
      </c>
      <c r="U300" s="8">
        <f t="shared" si="88"/>
        <v>4</v>
      </c>
      <c r="V300" s="8" t="str">
        <f t="shared" si="89"/>
        <v>D Series</v>
      </c>
      <c r="W300" s="8" t="str">
        <f>IFERROR(VLOOKUP(B300,Write_Bytes_ps!B:F,4,FALSE)/1024/1024,"")</f>
        <v/>
      </c>
      <c r="X300" s="8" t="str">
        <f>IFERROR(VLOOKUP(B300,Read_Bytes_ps!B:F,4,FALSE)/1024/1024,"")</f>
        <v/>
      </c>
      <c r="Y300" s="8" t="str">
        <f>IFERROR(VLOOKUP(B300,Writes_ps!B:F,5,FALSE),"")</f>
        <v/>
      </c>
      <c r="Z300" s="8" t="str">
        <f>IFERROR(VLOOKUP(B300,Reads_ps!B:F,5,FALSE),"")</f>
        <v/>
      </c>
      <c r="AA300" s="120">
        <f t="shared" si="103"/>
        <v>0</v>
      </c>
      <c r="AB300" s="122">
        <f t="shared" si="104"/>
        <v>0</v>
      </c>
      <c r="AC300" s="122" t="str">
        <f t="shared" si="90"/>
        <v>F2</v>
      </c>
      <c r="AD300" s="8" t="s">
        <v>290</v>
      </c>
      <c r="AE300" s="8">
        <f>IFERROR(VLOOKUP(AD300,'Web-SKUS'!A:E,2,FALSE),"")</f>
        <v>2</v>
      </c>
      <c r="AF300" s="8">
        <f>_xlfn.NUMBERVALUE(IFERROR(VLOOKUP(AD300,'Web-SKUS'!A:E,4,FALSE),""))</f>
        <v>4</v>
      </c>
      <c r="AG300" s="8">
        <f>IFERROR(VLOOKUP(AD300,VM_Performance_Stats!A:G,7,FALSE),0)</f>
        <v>4</v>
      </c>
      <c r="AH300" s="8">
        <f>IFERROR(VLOOKUP(AD300,VM_Performance_Stats!A:I,8,FALSE),"")</f>
        <v>3200</v>
      </c>
      <c r="AI300" s="8">
        <f t="shared" si="91"/>
        <v>1</v>
      </c>
      <c r="AJ300" s="8">
        <f t="shared" si="92"/>
        <v>1</v>
      </c>
      <c r="AK300" s="8">
        <f>IFERROR(IF(VLOOKUP(AD300,VM_Performance_Stats!A:I,8,FALSE)&gt;AB300,1,0),0)</f>
        <v>1</v>
      </c>
      <c r="AL300" t="str">
        <f>IFERROR(VLOOKUP(AD300,'Web-SKUS'!A:G,7,FALSE),"")</f>
        <v>£31.2409/month</v>
      </c>
      <c r="AM300" s="116">
        <f t="shared" si="93"/>
        <v>31.2409</v>
      </c>
      <c r="AN300" t="str">
        <f>IFERROR(IF(C300=1,VLOOKUP(K300,'Web-SKUS'!A:G,7,FALSE),VLOOKUP(K300,'Web-SKUS'!A:G,6,FALSE)),"")</f>
        <v>£44.9679/month</v>
      </c>
      <c r="AO300" s="116">
        <f t="shared" si="94"/>
        <v>44.9679</v>
      </c>
      <c r="AP300" s="116">
        <f t="shared" si="95"/>
        <v>31.2409</v>
      </c>
      <c r="AQ300" s="115">
        <f t="shared" si="96"/>
        <v>13.727</v>
      </c>
      <c r="AR300" s="115">
        <f t="shared" si="98"/>
        <v>164.72399999999999</v>
      </c>
      <c r="AS300" s="115" t="str">
        <f>VLOOKUP(B300,'Willie List'!B:M,12,FALSE)</f>
        <v>NO</v>
      </c>
      <c r="AT300" s="115" t="str">
        <f t="shared" si="99"/>
        <v>Standard_F2</v>
      </c>
      <c r="AU300" s="115" t="str">
        <f t="shared" si="100"/>
        <v>F2</v>
      </c>
      <c r="AV300" t="str">
        <f t="shared" si="101"/>
        <v>F2s v2</v>
      </c>
      <c r="AW300" s="8">
        <f t="shared" si="102"/>
        <v>0</v>
      </c>
    </row>
    <row r="301" spans="1:49">
      <c r="B301" t="s">
        <v>828</v>
      </c>
      <c r="C301" s="8">
        <f>IFERROR(IF(VLOOKUP(B301,'Willie List'!B:B,1,FALSE) &lt;&gt; "",1,0),0)</f>
        <v>1</v>
      </c>
      <c r="D301" s="8"/>
      <c r="E301" t="s">
        <v>99</v>
      </c>
      <c r="F301" t="s">
        <v>829</v>
      </c>
      <c r="G301" t="s">
        <v>152</v>
      </c>
      <c r="H301" t="s">
        <v>153</v>
      </c>
      <c r="I301" t="s">
        <v>154</v>
      </c>
      <c r="J301" t="s">
        <v>830</v>
      </c>
      <c r="K301" s="8" t="str">
        <f t="shared" si="105"/>
        <v>D1 V2</v>
      </c>
      <c r="L301" s="8">
        <f>VLOOKUP(K301,'Web-SKUS'!A:E,2,FALSE)</f>
        <v>1</v>
      </c>
      <c r="M301" s="8" t="str">
        <f>VLOOKUP(K301,'Web-SKUS'!A:E,4,FALSE)</f>
        <v>3.5</v>
      </c>
      <c r="N301" t="s">
        <v>831</v>
      </c>
      <c r="O301">
        <v>1</v>
      </c>
      <c r="P301" t="s">
        <v>157</v>
      </c>
      <c r="Q301" t="str">
        <f>IFERROR(VLOOKUP(B301,PercentCPU!B:F,4,FALSE),"")</f>
        <v/>
      </c>
      <c r="R301" t="str">
        <f>IFERROR(VLOOKUP(B301,MemoryAvailable!B:F,3,FALSE),"")</f>
        <v/>
      </c>
      <c r="S301" s="2" t="str">
        <f t="shared" si="86"/>
        <v/>
      </c>
      <c r="T301" t="str">
        <f t="shared" si="87"/>
        <v/>
      </c>
      <c r="U301" s="8">
        <f t="shared" si="88"/>
        <v>0</v>
      </c>
      <c r="V301" s="8" t="str">
        <f t="shared" si="89"/>
        <v/>
      </c>
      <c r="W301" s="8" t="str">
        <f>IFERROR(VLOOKUP(B301,Write_Bytes_ps!B:F,4,FALSE)/1024/1024,"")</f>
        <v/>
      </c>
      <c r="X301" s="8" t="str">
        <f>IFERROR(VLOOKUP(B301,Read_Bytes_ps!B:F,4,FALSE)/1024/1024,"")</f>
        <v/>
      </c>
      <c r="Y301" s="8" t="str">
        <f>IFERROR(VLOOKUP(B301,Writes_ps!B:F,5,FALSE),"")</f>
        <v/>
      </c>
      <c r="Z301" s="8" t="str">
        <f>IFERROR(VLOOKUP(B301,Reads_ps!B:F,5,FALSE),"")</f>
        <v/>
      </c>
      <c r="AA301" s="120">
        <f t="shared" si="103"/>
        <v>0</v>
      </c>
      <c r="AB301" s="122">
        <f t="shared" si="104"/>
        <v>0</v>
      </c>
      <c r="AC301" s="122" t="str">
        <f t="shared" si="90"/>
        <v>D1 V2</v>
      </c>
      <c r="AD301" s="8" t="s">
        <v>290</v>
      </c>
      <c r="AE301" s="8">
        <f>IFERROR(VLOOKUP(AD301,'Web-SKUS'!A:E,2,FALSE),"")</f>
        <v>2</v>
      </c>
      <c r="AF301" s="8">
        <f>_xlfn.NUMBERVALUE(IFERROR(VLOOKUP(AD301,'Web-SKUS'!A:E,4,FALSE),""))</f>
        <v>4</v>
      </c>
      <c r="AG301" s="8">
        <f>IFERROR(VLOOKUP(AD301,VM_Performance_Stats!A:G,7,FALSE),0)</f>
        <v>4</v>
      </c>
      <c r="AH301" s="8">
        <f>IFERROR(VLOOKUP(AD301,VM_Performance_Stats!A:I,8,FALSE),"")</f>
        <v>3200</v>
      </c>
      <c r="AI301" s="8">
        <f t="shared" si="91"/>
        <v>1</v>
      </c>
      <c r="AJ301" s="8">
        <f t="shared" si="92"/>
        <v>1</v>
      </c>
      <c r="AK301" s="8">
        <f>IFERROR(IF(VLOOKUP(AD301,VM_Performance_Stats!A:I,8,FALSE)&gt;AB301,1,0),0)</f>
        <v>1</v>
      </c>
      <c r="AL301" t="str">
        <f>IFERROR(VLOOKUP(AD301,'Web-SKUS'!A:G,7,FALSE),"")</f>
        <v>£31.2409/month</v>
      </c>
      <c r="AM301" s="116">
        <f t="shared" si="93"/>
        <v>31.2409</v>
      </c>
      <c r="AN301" t="str">
        <f>IFERROR(IF(C301=1,VLOOKUP(K301,'Web-SKUS'!A:G,7,FALSE),VLOOKUP(K301,'Web-SKUS'!A:G,6,FALSE)),"")</f>
        <v>£22.3616/month</v>
      </c>
      <c r="AO301" s="116">
        <f t="shared" si="94"/>
        <v>22.361599999999999</v>
      </c>
      <c r="AP301" s="116">
        <f t="shared" si="95"/>
        <v>31.2409</v>
      </c>
      <c r="AQ301" s="115">
        <f t="shared" si="96"/>
        <v>-8.8793000000000006</v>
      </c>
      <c r="AR301" s="115">
        <f t="shared" si="98"/>
        <v>-106.55160000000001</v>
      </c>
      <c r="AS301" s="115" t="str">
        <f>VLOOKUP(B301,'Willie List'!B:M,12,FALSE)</f>
        <v>NO</v>
      </c>
      <c r="AT301" s="115" t="str">
        <f t="shared" si="99"/>
        <v>Standard_D1_V2</v>
      </c>
      <c r="AU301" s="115" t="str">
        <f t="shared" si="100"/>
        <v>D1 V2</v>
      </c>
      <c r="AV301" t="str">
        <f t="shared" si="101"/>
        <v>F2s v2</v>
      </c>
      <c r="AW301" s="8">
        <f t="shared" si="102"/>
        <v>0</v>
      </c>
    </row>
    <row r="302" spans="1:49">
      <c r="B302" t="s">
        <v>832</v>
      </c>
      <c r="C302" s="8">
        <f>IFERROR(IF(VLOOKUP(B302,'Willie List'!B:B,1,FALSE) &lt;&gt; "",1,0),0)</f>
        <v>1</v>
      </c>
      <c r="D302" s="8"/>
      <c r="E302" t="s">
        <v>99</v>
      </c>
      <c r="F302" t="s">
        <v>829</v>
      </c>
      <c r="G302" t="s">
        <v>152</v>
      </c>
      <c r="H302" t="s">
        <v>153</v>
      </c>
      <c r="I302" t="s">
        <v>154</v>
      </c>
      <c r="J302" t="s">
        <v>830</v>
      </c>
      <c r="K302" s="8" t="str">
        <f t="shared" si="105"/>
        <v>D1 V2</v>
      </c>
      <c r="L302" s="8">
        <f>VLOOKUP(K302,'Web-SKUS'!A:E,2,FALSE)</f>
        <v>1</v>
      </c>
      <c r="M302" s="8" t="str">
        <f>VLOOKUP(K302,'Web-SKUS'!A:E,4,FALSE)</f>
        <v>3.5</v>
      </c>
      <c r="N302" t="s">
        <v>833</v>
      </c>
      <c r="O302">
        <v>1</v>
      </c>
      <c r="P302" t="s">
        <v>157</v>
      </c>
      <c r="Q302" t="str">
        <f>IFERROR(VLOOKUP(B302,PercentCPU!B:F,4,FALSE),"")</f>
        <v/>
      </c>
      <c r="R302" t="str">
        <f>IFERROR(VLOOKUP(B302,MemoryAvailable!B:F,3,FALSE),"")</f>
        <v/>
      </c>
      <c r="S302" s="2" t="str">
        <f t="shared" si="86"/>
        <v/>
      </c>
      <c r="T302" t="str">
        <f t="shared" si="87"/>
        <v/>
      </c>
      <c r="U302" s="8">
        <f t="shared" si="88"/>
        <v>0</v>
      </c>
      <c r="V302" s="8" t="str">
        <f t="shared" si="89"/>
        <v/>
      </c>
      <c r="W302" s="8" t="str">
        <f>IFERROR(VLOOKUP(B302,Write_Bytes_ps!B:F,4,FALSE)/1024/1024,"")</f>
        <v/>
      </c>
      <c r="X302" s="8" t="str">
        <f>IFERROR(VLOOKUP(B302,Read_Bytes_ps!B:F,4,FALSE)/1024/1024,"")</f>
        <v/>
      </c>
      <c r="Y302" s="8" t="str">
        <f>IFERROR(VLOOKUP(B302,Writes_ps!B:F,5,FALSE),"")</f>
        <v/>
      </c>
      <c r="Z302" s="8" t="str">
        <f>IFERROR(VLOOKUP(B302,Reads_ps!B:F,5,FALSE),"")</f>
        <v/>
      </c>
      <c r="AA302" s="120">
        <f t="shared" si="103"/>
        <v>0</v>
      </c>
      <c r="AB302" s="122">
        <f t="shared" si="104"/>
        <v>0</v>
      </c>
      <c r="AC302" s="122" t="str">
        <f t="shared" si="90"/>
        <v>D1 V2</v>
      </c>
      <c r="AD302" s="8" t="s">
        <v>290</v>
      </c>
      <c r="AE302" s="8">
        <f>IFERROR(VLOOKUP(AD302,'Web-SKUS'!A:E,2,FALSE),"")</f>
        <v>2</v>
      </c>
      <c r="AF302" s="8">
        <f>_xlfn.NUMBERVALUE(IFERROR(VLOOKUP(AD302,'Web-SKUS'!A:E,4,FALSE),""))</f>
        <v>4</v>
      </c>
      <c r="AG302" s="8">
        <f>IFERROR(VLOOKUP(AD302,VM_Performance_Stats!A:G,7,FALSE),0)</f>
        <v>4</v>
      </c>
      <c r="AH302" s="8">
        <f>IFERROR(VLOOKUP(AD302,VM_Performance_Stats!A:I,8,FALSE),"")</f>
        <v>3200</v>
      </c>
      <c r="AI302" s="8">
        <f t="shared" si="91"/>
        <v>1</v>
      </c>
      <c r="AJ302" s="8">
        <f t="shared" si="92"/>
        <v>1</v>
      </c>
      <c r="AK302" s="8">
        <f>IFERROR(IF(VLOOKUP(AD302,VM_Performance_Stats!A:I,8,FALSE)&gt;AB302,1,0),0)</f>
        <v>1</v>
      </c>
      <c r="AL302" t="str">
        <f>IFERROR(VLOOKUP(AD302,'Web-SKUS'!A:G,7,FALSE),"")</f>
        <v>£31.2409/month</v>
      </c>
      <c r="AM302" s="116">
        <f t="shared" si="93"/>
        <v>31.2409</v>
      </c>
      <c r="AN302" t="str">
        <f>IFERROR(IF(C302=1,VLOOKUP(K302,'Web-SKUS'!A:G,7,FALSE),VLOOKUP(K302,'Web-SKUS'!A:G,6,FALSE)),"")</f>
        <v>£22.3616/month</v>
      </c>
      <c r="AO302" s="116">
        <f t="shared" si="94"/>
        <v>22.361599999999999</v>
      </c>
      <c r="AP302" s="116">
        <f t="shared" si="95"/>
        <v>31.2409</v>
      </c>
      <c r="AQ302" s="115">
        <f t="shared" si="96"/>
        <v>-8.8793000000000006</v>
      </c>
      <c r="AR302" s="115">
        <f t="shared" si="98"/>
        <v>-106.55160000000001</v>
      </c>
      <c r="AS302" s="115" t="str">
        <f>VLOOKUP(B302,'Willie List'!B:M,12,FALSE)</f>
        <v>NO</v>
      </c>
      <c r="AT302" s="115" t="str">
        <f t="shared" si="99"/>
        <v>Standard_D1_V2</v>
      </c>
      <c r="AU302" s="115" t="str">
        <f t="shared" si="100"/>
        <v>D1 V2</v>
      </c>
      <c r="AV302" t="str">
        <f t="shared" si="101"/>
        <v>F2s v2</v>
      </c>
      <c r="AW302" s="8">
        <f t="shared" si="102"/>
        <v>0</v>
      </c>
    </row>
    <row r="303" spans="1:49">
      <c r="B303" t="s">
        <v>834</v>
      </c>
      <c r="C303" s="8">
        <f>IFERROR(IF(VLOOKUP(B303,'Willie List'!B:B,1,FALSE) &lt;&gt; "",1,0),0)</f>
        <v>1</v>
      </c>
      <c r="D303" s="8"/>
      <c r="E303" t="s">
        <v>99</v>
      </c>
      <c r="F303" t="s">
        <v>835</v>
      </c>
      <c r="G303" t="s">
        <v>152</v>
      </c>
      <c r="H303" t="s">
        <v>153</v>
      </c>
      <c r="I303" t="s">
        <v>276</v>
      </c>
      <c r="J303" t="s">
        <v>340</v>
      </c>
      <c r="K303" s="8" t="str">
        <f t="shared" si="105"/>
        <v>D8s v3</v>
      </c>
      <c r="L303" s="8">
        <f>VLOOKUP(K303,'Web-SKUS'!A:E,2,FALSE)</f>
        <v>8</v>
      </c>
      <c r="M303" s="8" t="str">
        <f>VLOOKUP(K303,'Web-SKUS'!A:E,4,FALSE)</f>
        <v>32</v>
      </c>
      <c r="N303" t="s">
        <v>277</v>
      </c>
      <c r="O303" s="8">
        <v>2</v>
      </c>
      <c r="P303" t="s">
        <v>157</v>
      </c>
      <c r="Q303">
        <f>IFERROR(VLOOKUP(B303,PercentCPU!B:F,4,FALSE),"")</f>
        <v>28.462613980016354</v>
      </c>
      <c r="R303">
        <f>IFERROR(VLOOKUP(B303,MemoryAvailable!B:F,3,FALSE),"")</f>
        <v>6729.322701467574</v>
      </c>
      <c r="S303" s="2">
        <f t="shared" si="86"/>
        <v>0.79463736872962731</v>
      </c>
      <c r="T303">
        <f t="shared" si="87"/>
        <v>3</v>
      </c>
      <c r="U303" s="8">
        <f t="shared" si="88"/>
        <v>25</v>
      </c>
      <c r="V303" s="8">
        <f t="shared" si="89"/>
        <v>0</v>
      </c>
      <c r="W303" s="8">
        <f>IFERROR(VLOOKUP(B303,Write_Bytes_ps!B:F,4,FALSE)/1024/1024,"")</f>
        <v>0.70225050156278457</v>
      </c>
      <c r="X303" s="8">
        <f>IFERROR(VLOOKUP(B303,Read_Bytes_ps!B:F,4,FALSE)/1024/1024,"")</f>
        <v>0.11842462932703014</v>
      </c>
      <c r="Y303" s="8">
        <f>IFERROR(VLOOKUP(B303,Writes_ps!B:F,5,FALSE),"")</f>
        <v>949.79925537109398</v>
      </c>
      <c r="Z303" s="8">
        <f>IFERROR(VLOOKUP(B303,Reads_ps!B:F,5,FALSE),"")</f>
        <v>2181.25390625</v>
      </c>
      <c r="AA303" s="120">
        <f t="shared" si="103"/>
        <v>0.8206751308898147</v>
      </c>
      <c r="AB303" s="122">
        <f t="shared" si="104"/>
        <v>3132</v>
      </c>
      <c r="AC303" s="122" t="str">
        <f t="shared" si="90"/>
        <v>D8s v3</v>
      </c>
      <c r="AD303" s="8" t="s">
        <v>439</v>
      </c>
      <c r="AE303" s="8">
        <f>IFERROR(VLOOKUP(AD303,'Web-SKUS'!A:E,2,FALSE),"")</f>
        <v>4</v>
      </c>
      <c r="AF303" s="8">
        <f>_xlfn.NUMBERVALUE(IFERROR(VLOOKUP(AD303,'Web-SKUS'!A:E,4,FALSE),""))</f>
        <v>32</v>
      </c>
      <c r="AG303" s="8">
        <f>IFERROR(VLOOKUP(AD303,VM_Performance_Stats!A:G,7,FALSE),0)</f>
        <v>8</v>
      </c>
      <c r="AH303" s="8">
        <f>IFERROR(VLOOKUP(AD303,VM_Performance_Stats!A:I,8,FALSE),"")</f>
        <v>6400</v>
      </c>
      <c r="AI303" s="8">
        <f t="shared" si="91"/>
        <v>1</v>
      </c>
      <c r="AJ303" s="8">
        <f t="shared" si="92"/>
        <v>1</v>
      </c>
      <c r="AK303" s="8">
        <f>IFERROR(IF(VLOOKUP(AD303,VM_Performance_Stats!A:I,8,FALSE)&gt;AB303,1,0),0)</f>
        <v>1</v>
      </c>
      <c r="AL303" t="str">
        <f>IFERROR(VLOOKUP(AD303,'Web-SKUS'!A:G,7,FALSE),"")</f>
        <v>£111.0513/month</v>
      </c>
      <c r="AM303" s="116">
        <f t="shared" si="93"/>
        <v>111.0513</v>
      </c>
      <c r="AN303" t="str">
        <f>IFERROR(IF(C303=1,VLOOKUP(K303,'Web-SKUS'!A:G,7,FALSE),VLOOKUP(K303,'Web-SKUS'!A:G,6,FALSE)),"")</f>
        <v>£166.3294/month</v>
      </c>
      <c r="AO303" s="116">
        <f t="shared" si="94"/>
        <v>166.32939999999999</v>
      </c>
      <c r="AP303" s="116">
        <f t="shared" si="95"/>
        <v>111.0513</v>
      </c>
      <c r="AQ303" s="115">
        <f t="shared" si="96"/>
        <v>55.278099999999995</v>
      </c>
      <c r="AR303" s="115">
        <f t="shared" si="98"/>
        <v>663.33719999999994</v>
      </c>
      <c r="AS303" s="115" t="str">
        <f>VLOOKUP(B303,'Willie List'!B:M,12,FALSE)</f>
        <v>YES</v>
      </c>
      <c r="AT303" s="115" t="str">
        <f t="shared" si="99"/>
        <v>Standard_D8s_v3</v>
      </c>
      <c r="AU303" s="115" t="str">
        <f t="shared" si="100"/>
        <v>D8s v3</v>
      </c>
      <c r="AV303" t="str">
        <f t="shared" si="101"/>
        <v>E4ds v4</v>
      </c>
      <c r="AW303" s="8">
        <f t="shared" si="102"/>
        <v>0</v>
      </c>
    </row>
    <row r="304" spans="1:49">
      <c r="B304" t="s">
        <v>836</v>
      </c>
      <c r="C304" s="8">
        <f>IFERROR(IF(VLOOKUP(B304,'Willie List'!B:B,1,FALSE) &lt;&gt; "",1,0),0)</f>
        <v>1</v>
      </c>
      <c r="D304" s="8"/>
      <c r="E304" t="s">
        <v>99</v>
      </c>
      <c r="F304" t="s">
        <v>835</v>
      </c>
      <c r="G304" t="s">
        <v>152</v>
      </c>
      <c r="H304" t="s">
        <v>153</v>
      </c>
      <c r="I304" t="s">
        <v>276</v>
      </c>
      <c r="J304" t="s">
        <v>340</v>
      </c>
      <c r="K304" s="8" t="str">
        <f t="shared" si="105"/>
        <v>D8s v3</v>
      </c>
      <c r="L304" s="8">
        <f>VLOOKUP(K304,'Web-SKUS'!A:E,2,FALSE)</f>
        <v>8</v>
      </c>
      <c r="M304" s="8" t="str">
        <f>VLOOKUP(K304,'Web-SKUS'!A:E,4,FALSE)</f>
        <v>32</v>
      </c>
      <c r="N304" t="s">
        <v>277</v>
      </c>
      <c r="O304" s="8">
        <v>2</v>
      </c>
      <c r="P304" t="s">
        <v>157</v>
      </c>
      <c r="Q304">
        <f>IFERROR(VLOOKUP(B304,PercentCPU!B:F,4,FALSE),"")</f>
        <v>33.00369869532804</v>
      </c>
      <c r="R304">
        <f>IFERROR(VLOOKUP(B304,MemoryAvailable!B:F,3,FALSE),"")</f>
        <v>6519.1595561732902</v>
      </c>
      <c r="S304" s="2">
        <f t="shared" si="86"/>
        <v>0.80105103893514129</v>
      </c>
      <c r="T304">
        <f t="shared" si="87"/>
        <v>3</v>
      </c>
      <c r="U304" s="8">
        <f t="shared" si="88"/>
        <v>26</v>
      </c>
      <c r="V304" s="8">
        <f t="shared" si="89"/>
        <v>0</v>
      </c>
      <c r="W304" s="8">
        <f>IFERROR(VLOOKUP(B304,Write_Bytes_ps!B:F,4,FALSE)/1024/1024,"")</f>
        <v>0.92831931737070594</v>
      </c>
      <c r="X304" s="8">
        <f>IFERROR(VLOOKUP(B304,Read_Bytes_ps!B:F,4,FALSE)/1024/1024,"")</f>
        <v>0.1182545172567018</v>
      </c>
      <c r="Y304" s="8">
        <f>IFERROR(VLOOKUP(B304,Writes_ps!B:F,5,FALSE),"")</f>
        <v>606.81097412109398</v>
      </c>
      <c r="Z304" s="8">
        <f>IFERROR(VLOOKUP(B304,Reads_ps!B:F,5,FALSE),"")</f>
        <v>2408.09350585938</v>
      </c>
      <c r="AA304" s="120">
        <f t="shared" si="103"/>
        <v>1.0465738346274078</v>
      </c>
      <c r="AB304" s="122">
        <f t="shared" si="104"/>
        <v>3015</v>
      </c>
      <c r="AC304" s="122" t="str">
        <f t="shared" si="90"/>
        <v>D8s v3</v>
      </c>
      <c r="AD304" s="8" t="s">
        <v>439</v>
      </c>
      <c r="AE304" s="8">
        <f>IFERROR(VLOOKUP(AD304,'Web-SKUS'!A:E,2,FALSE),"")</f>
        <v>4</v>
      </c>
      <c r="AF304" s="8">
        <f>_xlfn.NUMBERVALUE(IFERROR(VLOOKUP(AD304,'Web-SKUS'!A:E,4,FALSE),""))</f>
        <v>32</v>
      </c>
      <c r="AG304" s="8">
        <f>IFERROR(VLOOKUP(AD304,VM_Performance_Stats!A:G,7,FALSE),0)</f>
        <v>8</v>
      </c>
      <c r="AH304" s="8">
        <f>IFERROR(VLOOKUP(AD304,VM_Performance_Stats!A:I,8,FALSE),"")</f>
        <v>6400</v>
      </c>
      <c r="AI304" s="8">
        <f t="shared" si="91"/>
        <v>1</v>
      </c>
      <c r="AJ304" s="8">
        <f t="shared" si="92"/>
        <v>1</v>
      </c>
      <c r="AK304" s="8">
        <f>IFERROR(IF(VLOOKUP(AD304,VM_Performance_Stats!A:I,8,FALSE)&gt;AB304,1,0),0)</f>
        <v>1</v>
      </c>
      <c r="AL304" t="str">
        <f>IFERROR(VLOOKUP(AD304,'Web-SKUS'!A:G,7,FALSE),"")</f>
        <v>£111.0513/month</v>
      </c>
      <c r="AM304" s="116">
        <f t="shared" si="93"/>
        <v>111.0513</v>
      </c>
      <c r="AN304" t="str">
        <f>IFERROR(IF(C304=1,VLOOKUP(K304,'Web-SKUS'!A:G,7,FALSE),VLOOKUP(K304,'Web-SKUS'!A:G,6,FALSE)),"")</f>
        <v>£166.3294/month</v>
      </c>
      <c r="AO304" s="116">
        <f t="shared" si="94"/>
        <v>166.32939999999999</v>
      </c>
      <c r="AP304" s="116">
        <f t="shared" si="95"/>
        <v>111.0513</v>
      </c>
      <c r="AQ304" s="115">
        <f t="shared" si="96"/>
        <v>55.278099999999995</v>
      </c>
      <c r="AR304" s="115">
        <f t="shared" si="98"/>
        <v>663.33719999999994</v>
      </c>
      <c r="AS304" s="115" t="str">
        <f>VLOOKUP(B304,'Willie List'!B:M,12,FALSE)</f>
        <v>YES</v>
      </c>
      <c r="AT304" s="115" t="str">
        <f t="shared" si="99"/>
        <v>Standard_D8s_v3</v>
      </c>
      <c r="AU304" s="115" t="str">
        <f t="shared" si="100"/>
        <v>D8s v3</v>
      </c>
      <c r="AV304" t="str">
        <f t="shared" si="101"/>
        <v>E4ds v4</v>
      </c>
      <c r="AW304" s="8">
        <f t="shared" si="102"/>
        <v>0</v>
      </c>
    </row>
    <row r="305" spans="1:49">
      <c r="B305" t="s">
        <v>837</v>
      </c>
      <c r="C305" s="8">
        <f>IFERROR(IF(VLOOKUP(B305,'Willie List'!B:B,1,FALSE) &lt;&gt; "",1,0),0)</f>
        <v>0</v>
      </c>
      <c r="D305" s="8"/>
      <c r="E305" t="s">
        <v>95</v>
      </c>
      <c r="F305" t="s">
        <v>283</v>
      </c>
      <c r="G305" t="s">
        <v>152</v>
      </c>
      <c r="H305" t="s">
        <v>275</v>
      </c>
      <c r="I305" t="s">
        <v>276</v>
      </c>
      <c r="J305" t="s">
        <v>47</v>
      </c>
      <c r="K305" s="8" t="str">
        <f t="shared" si="105"/>
        <v>D2as v4</v>
      </c>
      <c r="L305" s="8">
        <f>VLOOKUP(K305,'Web-SKUS'!A:E,2,FALSE)</f>
        <v>2</v>
      </c>
      <c r="M305" s="8" t="str">
        <f>VLOOKUP(K305,'Web-SKUS'!A:E,4,FALSE)</f>
        <v>8</v>
      </c>
      <c r="N305" t="s">
        <v>277</v>
      </c>
      <c r="O305">
        <v>1</v>
      </c>
      <c r="P305" t="s">
        <v>157</v>
      </c>
      <c r="Q305" t="str">
        <f>IFERROR(VLOOKUP(B305,PercentCPU!B:F,4,FALSE),"")</f>
        <v/>
      </c>
      <c r="R305" t="str">
        <f>IFERROR(VLOOKUP(B305,MemoryAvailable!B:F,3,FALSE),"")</f>
        <v/>
      </c>
      <c r="S305" s="2" t="str">
        <f t="shared" si="86"/>
        <v/>
      </c>
      <c r="T305" t="str">
        <f t="shared" si="87"/>
        <v/>
      </c>
      <c r="U305" s="8">
        <f t="shared" si="88"/>
        <v>0</v>
      </c>
      <c r="V305" s="8" t="str">
        <f t="shared" si="89"/>
        <v/>
      </c>
      <c r="W305" s="8" t="str">
        <f>IFERROR(VLOOKUP(B305,Write_Bytes_ps!B:F,4,FALSE)/1024/1024,"")</f>
        <v/>
      </c>
      <c r="X305" s="8" t="str">
        <f>IFERROR(VLOOKUP(B305,Read_Bytes_ps!B:F,4,FALSE)/1024/1024,"")</f>
        <v/>
      </c>
      <c r="Y305" s="8" t="str">
        <f>IFERROR(VLOOKUP(B305,Writes_ps!B:F,5,FALSE),"")</f>
        <v/>
      </c>
      <c r="Z305" s="8" t="str">
        <f>IFERROR(VLOOKUP(B305,Reads_ps!B:F,5,FALSE),"")</f>
        <v/>
      </c>
      <c r="AA305" s="8">
        <f t="shared" si="103"/>
        <v>0</v>
      </c>
      <c r="AB305" s="122">
        <f t="shared" si="104"/>
        <v>0</v>
      </c>
      <c r="AC305" s="122" t="str">
        <f t="shared" si="90"/>
        <v>D2as v4</v>
      </c>
      <c r="AE305" s="8" t="str">
        <f>IFERROR(VLOOKUP(AD305,'Web-SKUS'!A:E,2,FALSE),"")</f>
        <v/>
      </c>
      <c r="AF305" s="8">
        <f>_xlfn.NUMBERVALUE(IFERROR(VLOOKUP(AD305,'Web-SKUS'!A:E,4,FALSE),""))</f>
        <v>0</v>
      </c>
      <c r="AG305" s="8">
        <f>IFERROR(VLOOKUP(AD305,VM_Performance_Stats!A:G,7,FALSE),0)</f>
        <v>0</v>
      </c>
      <c r="AH305" s="8" t="str">
        <f>IFERROR(VLOOKUP(AD305,VM_Performance_Stats!A:I,8,FALSE),"")</f>
        <v/>
      </c>
      <c r="AI305" s="8">
        <f t="shared" si="91"/>
        <v>1</v>
      </c>
      <c r="AJ305" s="8">
        <f t="shared" si="92"/>
        <v>0</v>
      </c>
      <c r="AK305" s="8">
        <f>IFERROR(IF(VLOOKUP(AD305,VM_Performance_Stats!A:I,8,FALSE)&gt;AB305,1,0),0)</f>
        <v>0</v>
      </c>
      <c r="AL305" t="str">
        <f>IFERROR(VLOOKUP(AD305,'Web-SKUS'!A:G,7,FALSE),"")</f>
        <v/>
      </c>
      <c r="AM305" s="116" t="str">
        <f t="shared" si="93"/>
        <v/>
      </c>
      <c r="AN305" t="str">
        <f>IFERROR(IF(C305=1,VLOOKUP(K305,'Web-SKUS'!A:G,7,FALSE),VLOOKUP(K305,'Web-SKUS'!A:G,6,FALSE)),"")</f>
        <v>£62.5687/month</v>
      </c>
      <c r="AO305" s="116">
        <f t="shared" si="94"/>
        <v>62.5687</v>
      </c>
      <c r="AP305" s="116">
        <f t="shared" si="95"/>
        <v>62.5687</v>
      </c>
      <c r="AQ305" s="115">
        <f t="shared" si="96"/>
        <v>0</v>
      </c>
      <c r="AR305" s="115">
        <f t="shared" si="98"/>
        <v>0</v>
      </c>
      <c r="AS305" s="115" t="e">
        <f>VLOOKUP(B305,'Willie List'!B:M,12,FALSE)</f>
        <v>#N/A</v>
      </c>
      <c r="AT305" s="115" t="str">
        <f t="shared" si="99"/>
        <v>Standard_D2as_v4</v>
      </c>
      <c r="AU305" s="115" t="str">
        <f t="shared" si="100"/>
        <v>D2as v4</v>
      </c>
      <c r="AV305">
        <f t="shared" si="101"/>
        <v>0</v>
      </c>
      <c r="AW305" s="8">
        <f t="shared" si="102"/>
        <v>0</v>
      </c>
    </row>
    <row r="306" spans="1:49">
      <c r="A306" t="s">
        <v>351</v>
      </c>
      <c r="B306" t="s">
        <v>838</v>
      </c>
      <c r="C306" s="8">
        <f>IFERROR(IF(VLOOKUP(B306,'Willie List'!B:B,1,FALSE) &lt;&gt; "",1,0),0)</f>
        <v>1</v>
      </c>
      <c r="D306" s="8"/>
      <c r="E306" t="s">
        <v>99</v>
      </c>
      <c r="F306" t="s">
        <v>791</v>
      </c>
      <c r="G306" t="s">
        <v>152</v>
      </c>
      <c r="H306" t="s">
        <v>153</v>
      </c>
      <c r="I306" t="s">
        <v>154</v>
      </c>
      <c r="J306" t="s">
        <v>57</v>
      </c>
      <c r="K306" s="8" t="str">
        <f t="shared" si="105"/>
        <v>D4ds v4</v>
      </c>
      <c r="L306" s="8">
        <f>VLOOKUP(K306,'Web-SKUS'!A:E,2,FALSE)</f>
        <v>4</v>
      </c>
      <c r="M306" s="8" t="str">
        <f>VLOOKUP(K306,'Web-SKUS'!A:E,4,FALSE)</f>
        <v>16</v>
      </c>
      <c r="N306" t="s">
        <v>277</v>
      </c>
      <c r="O306">
        <v>2</v>
      </c>
      <c r="P306" t="s">
        <v>157</v>
      </c>
      <c r="Q306">
        <v>4</v>
      </c>
      <c r="R306">
        <f>15*1024</f>
        <v>15360</v>
      </c>
      <c r="S306" s="2">
        <f t="shared" si="86"/>
        <v>6.25E-2</v>
      </c>
      <c r="T306">
        <f t="shared" si="87"/>
        <v>1</v>
      </c>
      <c r="U306" s="8">
        <f t="shared" si="88"/>
        <v>1</v>
      </c>
      <c r="V306" s="8">
        <f t="shared" si="89"/>
        <v>0</v>
      </c>
      <c r="W306" s="8" t="str">
        <f>IFERROR(VLOOKUP(B306,Write_Bytes_ps!B:F,4,FALSE)/1024/1024,"")</f>
        <v/>
      </c>
      <c r="X306" s="8" t="str">
        <f>IFERROR(VLOOKUP(B306,Read_Bytes_ps!B:F,4,FALSE)/1024/1024,"")</f>
        <v/>
      </c>
      <c r="Y306" s="8" t="str">
        <f>IFERROR(VLOOKUP(B306,Writes_ps!B:F,5,FALSE),"")</f>
        <v/>
      </c>
      <c r="Z306" s="8" t="str">
        <f>IFERROR(VLOOKUP(B306,Reads_ps!B:F,5,FALSE),"")</f>
        <v/>
      </c>
      <c r="AA306" s="120">
        <f t="shared" si="103"/>
        <v>0</v>
      </c>
      <c r="AB306" s="122">
        <f t="shared" si="104"/>
        <v>0</v>
      </c>
      <c r="AC306" s="122" t="str">
        <f t="shared" si="90"/>
        <v>D4ds v4</v>
      </c>
      <c r="AD306" s="8" t="s">
        <v>290</v>
      </c>
      <c r="AE306" s="8">
        <f>IFERROR(VLOOKUP(AD306,'Web-SKUS'!A:E,2,FALSE),"")</f>
        <v>2</v>
      </c>
      <c r="AF306" s="8">
        <f>_xlfn.NUMBERVALUE(IFERROR(VLOOKUP(AD306,'Web-SKUS'!A:E,4,FALSE),""))</f>
        <v>4</v>
      </c>
      <c r="AG306" s="8">
        <f>IFERROR(VLOOKUP(AD306,VM_Performance_Stats!A:G,7,FALSE),0)</f>
        <v>4</v>
      </c>
      <c r="AH306" s="8">
        <f>IFERROR(VLOOKUP(AD306,VM_Performance_Stats!A:I,8,FALSE),"")</f>
        <v>3200</v>
      </c>
      <c r="AI306" s="8">
        <f t="shared" si="91"/>
        <v>1</v>
      </c>
      <c r="AJ306" s="8">
        <f t="shared" si="92"/>
        <v>1</v>
      </c>
      <c r="AK306" s="8">
        <f>IFERROR(IF(VLOOKUP(AD306,VM_Performance_Stats!A:I,8,FALSE)&gt;AB306,1,0),0)</f>
        <v>1</v>
      </c>
      <c r="AL306" t="str">
        <f>IFERROR(VLOOKUP(AD306,'Web-SKUS'!A:G,7,FALSE),"")</f>
        <v>£31.2409/month</v>
      </c>
      <c r="AM306" s="116">
        <f t="shared" si="93"/>
        <v>31.2409</v>
      </c>
      <c r="AN306" t="str">
        <f>IFERROR(IF(C306=1,VLOOKUP(K306,'Web-SKUS'!A:G,7,FALSE),VLOOKUP(K306,'Web-SKUS'!A:G,6,FALSE)),"")</f>
        <v>£87.3242/month</v>
      </c>
      <c r="AO306" s="116">
        <f t="shared" si="94"/>
        <v>87.324200000000005</v>
      </c>
      <c r="AP306" s="116">
        <f t="shared" si="95"/>
        <v>31.2409</v>
      </c>
      <c r="AQ306" s="115">
        <f t="shared" si="96"/>
        <v>56.083300000000008</v>
      </c>
      <c r="AR306" s="115">
        <f t="shared" si="98"/>
        <v>672.9996000000001</v>
      </c>
      <c r="AS306" s="115" t="str">
        <f>VLOOKUP(B306,'Willie List'!B:M,12,FALSE)</f>
        <v>YES</v>
      </c>
      <c r="AT306" s="115" t="str">
        <f t="shared" si="99"/>
        <v>Standard_D4ds_v4</v>
      </c>
      <c r="AU306" s="115" t="str">
        <f t="shared" si="100"/>
        <v>D4ds v4</v>
      </c>
      <c r="AV306" t="str">
        <f t="shared" si="101"/>
        <v>F2s v2</v>
      </c>
      <c r="AW306" s="8">
        <f t="shared" si="102"/>
        <v>0</v>
      </c>
    </row>
    <row r="307" spans="1:49">
      <c r="A307" t="s">
        <v>839</v>
      </c>
      <c r="B307" t="s">
        <v>840</v>
      </c>
      <c r="C307" s="8">
        <f>IFERROR(IF(VLOOKUP(B307,'Willie List'!B:B,1,FALSE) &lt;&gt; "",1,0),0)</f>
        <v>1</v>
      </c>
      <c r="D307" s="8"/>
      <c r="E307" t="s">
        <v>99</v>
      </c>
      <c r="F307" t="s">
        <v>791</v>
      </c>
      <c r="G307" t="s">
        <v>152</v>
      </c>
      <c r="H307" t="s">
        <v>153</v>
      </c>
      <c r="I307" t="s">
        <v>276</v>
      </c>
      <c r="J307" t="s">
        <v>22</v>
      </c>
      <c r="K307" s="8" t="str">
        <f t="shared" si="105"/>
        <v>B2ms</v>
      </c>
      <c r="L307" s="8">
        <f>VLOOKUP(K307,'Web-SKUS'!A:E,2,FALSE)</f>
        <v>2</v>
      </c>
      <c r="M307" s="8" t="str">
        <f>VLOOKUP(K307,'Web-SKUS'!A:E,4,FALSE)</f>
        <v>8</v>
      </c>
      <c r="N307" t="s">
        <v>277</v>
      </c>
      <c r="O307">
        <v>2</v>
      </c>
      <c r="P307" t="s">
        <v>157</v>
      </c>
      <c r="Q307" t="str">
        <f>IFERROR(VLOOKUP(B307,PercentCPU!B:F,4,FALSE),"")</f>
        <v/>
      </c>
      <c r="R307" t="str">
        <f>IFERROR(VLOOKUP(B307,MemoryAvailable!B:F,3,FALSE),"")</f>
        <v/>
      </c>
      <c r="S307" s="2" t="str">
        <f t="shared" si="86"/>
        <v/>
      </c>
      <c r="T307" t="str">
        <f t="shared" si="87"/>
        <v/>
      </c>
      <c r="U307" s="8">
        <f t="shared" si="88"/>
        <v>0</v>
      </c>
      <c r="V307" s="8" t="str">
        <f t="shared" si="89"/>
        <v/>
      </c>
      <c r="W307" s="8" t="str">
        <f>IFERROR(VLOOKUP(B307,Write_Bytes_ps!B:F,4,FALSE)/1024/1024,"")</f>
        <v/>
      </c>
      <c r="X307" s="8" t="str">
        <f>IFERROR(VLOOKUP(B307,Read_Bytes_ps!B:F,4,FALSE)/1024/1024,"")</f>
        <v/>
      </c>
      <c r="Y307" s="8" t="str">
        <f>IFERROR(VLOOKUP(B307,Writes_ps!B:F,5,FALSE),"")</f>
        <v/>
      </c>
      <c r="Z307" s="8" t="str">
        <f>IFERROR(VLOOKUP(B307,Reads_ps!B:F,5,FALSE),"")</f>
        <v/>
      </c>
      <c r="AA307" s="120">
        <f t="shared" si="103"/>
        <v>0</v>
      </c>
      <c r="AB307" s="122">
        <f t="shared" ref="AB307:AB313" si="106">ROUNDUP(SUM(Y307:Z307),0)</f>
        <v>0</v>
      </c>
      <c r="AC307" s="122" t="str">
        <f t="shared" si="90"/>
        <v>B2ms</v>
      </c>
      <c r="AD307" s="8" t="s">
        <v>325</v>
      </c>
      <c r="AE307" s="8">
        <f>IFERROR(VLOOKUP(AD307,'Web-SKUS'!A:E,2,FALSE),"")</f>
        <v>2</v>
      </c>
      <c r="AF307" s="8">
        <f>_xlfn.NUMBERVALUE(IFERROR(VLOOKUP(AD307,'Web-SKUS'!A:E,4,FALSE),""))</f>
        <v>8</v>
      </c>
      <c r="AG307" s="8">
        <f>IFERROR(VLOOKUP(AD307,VM_Performance_Stats!A:G,7,FALSE),0)</f>
        <v>4</v>
      </c>
      <c r="AH307" s="8">
        <f>IFERROR(VLOOKUP(AD307,VM_Performance_Stats!A:I,8,FALSE),"")</f>
        <v>1920</v>
      </c>
      <c r="AI307" s="8">
        <f t="shared" si="91"/>
        <v>1</v>
      </c>
      <c r="AJ307" s="8">
        <f t="shared" si="92"/>
        <v>1</v>
      </c>
      <c r="AK307" s="8">
        <f>IFERROR(IF(VLOOKUP(AD307,VM_Performance_Stats!A:I,8,FALSE)&gt;AB307,1,0),0)</f>
        <v>1</v>
      </c>
      <c r="AL307" t="str">
        <f>IFERROR(VLOOKUP(AD307,'Web-SKUS'!A:G,7,FALSE),"")</f>
        <v>£30.5553/month</v>
      </c>
      <c r="AM307" s="116">
        <f t="shared" si="93"/>
        <v>30.555299999999999</v>
      </c>
      <c r="AN307" t="str">
        <f>IFERROR(IF(C307=1,VLOOKUP(K307,'Web-SKUS'!A:G,7,FALSE),VLOOKUP(K307,'Web-SKUS'!A:G,6,FALSE)),"")</f>
        <v>£30.5553/month</v>
      </c>
      <c r="AO307" s="116">
        <f t="shared" si="94"/>
        <v>30.555299999999999</v>
      </c>
      <c r="AP307" s="116">
        <f t="shared" si="95"/>
        <v>30.555299999999999</v>
      </c>
      <c r="AQ307" s="115">
        <f t="shared" si="96"/>
        <v>0</v>
      </c>
      <c r="AR307" s="115">
        <f t="shared" si="98"/>
        <v>0</v>
      </c>
      <c r="AS307" s="115" t="str">
        <f>VLOOKUP(B307,'Willie List'!B:M,12,FALSE)</f>
        <v>YES</v>
      </c>
      <c r="AT307" s="115" t="str">
        <f t="shared" si="99"/>
        <v>Standard_B2ms</v>
      </c>
      <c r="AU307" s="115" t="str">
        <f t="shared" si="100"/>
        <v>B2ms</v>
      </c>
      <c r="AV307" t="str">
        <f t="shared" si="101"/>
        <v>B2ms</v>
      </c>
      <c r="AW307" s="8">
        <f t="shared" si="102"/>
        <v>1</v>
      </c>
    </row>
    <row r="308" spans="1:49">
      <c r="B308" t="s">
        <v>841</v>
      </c>
      <c r="C308" s="8">
        <f>IFERROR(IF(VLOOKUP(B308,'Willie List'!B:B,1,FALSE) &lt;&gt; "",1,0),0)</f>
        <v>0</v>
      </c>
      <c r="D308" s="8"/>
      <c r="E308" t="s">
        <v>842</v>
      </c>
      <c r="F308" t="s">
        <v>843</v>
      </c>
      <c r="G308" t="s">
        <v>152</v>
      </c>
      <c r="H308" t="s">
        <v>153</v>
      </c>
      <c r="I308" t="s">
        <v>276</v>
      </c>
      <c r="J308" t="s">
        <v>379</v>
      </c>
      <c r="K308" s="8" t="str">
        <f t="shared" si="105"/>
        <v>DS11 v2</v>
      </c>
      <c r="L308" s="8">
        <f>VLOOKUP(K308,'Web-SKUS'!A:E,2,FALSE)</f>
        <v>2</v>
      </c>
      <c r="M308" s="8" t="str">
        <f>VLOOKUP(K308,'Web-SKUS'!A:E,4,FALSE)</f>
        <v>14</v>
      </c>
      <c r="N308" t="s">
        <v>844</v>
      </c>
      <c r="O308">
        <v>1</v>
      </c>
      <c r="P308" t="s">
        <v>157</v>
      </c>
      <c r="Q308" t="str">
        <f>IFERROR(VLOOKUP(B308,PercentCPU!B:F,4,FALSE),"")</f>
        <v/>
      </c>
      <c r="R308" t="str">
        <f>IFERROR(VLOOKUP(B308,MemoryAvailable!B:F,3,FALSE),"")</f>
        <v/>
      </c>
      <c r="S308" s="2" t="str">
        <f t="shared" si="86"/>
        <v/>
      </c>
      <c r="T308" t="str">
        <f t="shared" si="87"/>
        <v/>
      </c>
      <c r="U308" s="8">
        <f t="shared" si="88"/>
        <v>0</v>
      </c>
      <c r="V308" s="8" t="str">
        <f t="shared" si="89"/>
        <v/>
      </c>
      <c r="W308" s="8" t="str">
        <f>IFERROR(VLOOKUP(B308,Write_Bytes_ps!B:F,4,FALSE)/1024/1024,"")</f>
        <v/>
      </c>
      <c r="X308" s="8" t="str">
        <f>IFERROR(VLOOKUP(B308,Read_Bytes_ps!B:F,4,FALSE)/1024/1024,"")</f>
        <v/>
      </c>
      <c r="Y308" s="8" t="str">
        <f>IFERROR(VLOOKUP(B308,Writes_ps!B:F,5,FALSE),"")</f>
        <v/>
      </c>
      <c r="Z308" s="8" t="str">
        <f>IFERROR(VLOOKUP(B308,Reads_ps!B:F,5,FALSE),"")</f>
        <v/>
      </c>
      <c r="AA308" s="8">
        <f t="shared" si="103"/>
        <v>0</v>
      </c>
      <c r="AB308" s="122">
        <f t="shared" si="106"/>
        <v>0</v>
      </c>
      <c r="AC308" s="122" t="str">
        <f t="shared" si="90"/>
        <v>DS11 v2</v>
      </c>
      <c r="AE308" s="8" t="str">
        <f>IFERROR(VLOOKUP(AD308,'Web-SKUS'!A:E,2,FALSE),"")</f>
        <v/>
      </c>
      <c r="AF308" s="8">
        <f>_xlfn.NUMBERVALUE(IFERROR(VLOOKUP(AD308,'Web-SKUS'!A:E,4,FALSE),""))</f>
        <v>0</v>
      </c>
      <c r="AG308" s="8">
        <f>IFERROR(VLOOKUP(AD308,VM_Performance_Stats!A:G,7,FALSE),0)</f>
        <v>0</v>
      </c>
      <c r="AH308" s="8" t="str">
        <f>IFERROR(VLOOKUP(AD308,VM_Performance_Stats!A:I,8,FALSE),"")</f>
        <v/>
      </c>
      <c r="AI308" s="8">
        <f t="shared" si="91"/>
        <v>1</v>
      </c>
      <c r="AJ308" s="8">
        <f t="shared" si="92"/>
        <v>0</v>
      </c>
      <c r="AK308" s="8">
        <f>IFERROR(IF(VLOOKUP(AD308,VM_Performance_Stats!A:I,8,FALSE)&gt;AB308,1,0),0)</f>
        <v>0</v>
      </c>
      <c r="AL308" t="str">
        <f>IFERROR(VLOOKUP(AD308,'Web-SKUS'!A:G,7,FALSE),"")</f>
        <v/>
      </c>
      <c r="AM308" s="116" t="str">
        <f t="shared" si="93"/>
        <v/>
      </c>
      <c r="AN308" t="str">
        <f>IFERROR(IF(C308=1,VLOOKUP(K308,'Web-SKUS'!A:G,7,FALSE),VLOOKUP(K308,'Web-SKUS'!A:G,6,FALSE)),"")</f>
        <v>£103.3744/month</v>
      </c>
      <c r="AO308" s="116">
        <f t="shared" si="94"/>
        <v>103.37439999999999</v>
      </c>
      <c r="AP308" s="116">
        <f t="shared" si="95"/>
        <v>103.37439999999999</v>
      </c>
      <c r="AQ308" s="115">
        <f t="shared" si="96"/>
        <v>0</v>
      </c>
      <c r="AR308" s="115">
        <f t="shared" si="98"/>
        <v>0</v>
      </c>
      <c r="AS308" s="115" t="e">
        <f>VLOOKUP(B308,'Willie List'!B:M,12,FALSE)</f>
        <v>#N/A</v>
      </c>
      <c r="AT308" s="115" t="str">
        <f t="shared" si="99"/>
        <v>Standard_DS11_v2</v>
      </c>
      <c r="AU308" s="115" t="str">
        <f t="shared" si="100"/>
        <v>DS11 v2</v>
      </c>
      <c r="AV308">
        <f t="shared" si="101"/>
        <v>0</v>
      </c>
      <c r="AW308" s="8">
        <f t="shared" si="102"/>
        <v>0</v>
      </c>
    </row>
    <row r="309" spans="1:49">
      <c r="B309" t="s">
        <v>845</v>
      </c>
      <c r="C309" s="8">
        <f>IFERROR(IF(VLOOKUP(B309,'Willie List'!B:B,1,FALSE) &lt;&gt; "",1,0),0)</f>
        <v>0</v>
      </c>
      <c r="D309" s="8"/>
      <c r="E309" t="s">
        <v>842</v>
      </c>
      <c r="F309" t="s">
        <v>846</v>
      </c>
      <c r="G309" t="s">
        <v>152</v>
      </c>
      <c r="H309" t="s">
        <v>153</v>
      </c>
      <c r="I309" t="s">
        <v>276</v>
      </c>
      <c r="J309" t="s">
        <v>379</v>
      </c>
      <c r="K309" s="8" t="str">
        <f t="shared" si="105"/>
        <v>DS11 v2</v>
      </c>
      <c r="L309" s="8">
        <f>VLOOKUP(K309,'Web-SKUS'!A:E,2,FALSE)</f>
        <v>2</v>
      </c>
      <c r="M309" s="8" t="str">
        <f>VLOOKUP(K309,'Web-SKUS'!A:E,4,FALSE)</f>
        <v>14</v>
      </c>
      <c r="N309" t="s">
        <v>847</v>
      </c>
      <c r="O309">
        <v>1</v>
      </c>
      <c r="P309" t="s">
        <v>157</v>
      </c>
      <c r="Q309" t="str">
        <f>IFERROR(VLOOKUP(B309,PercentCPU!B:F,4,FALSE),"")</f>
        <v/>
      </c>
      <c r="R309" t="str">
        <f>IFERROR(VLOOKUP(B309,MemoryAvailable!B:F,3,FALSE),"")</f>
        <v/>
      </c>
      <c r="S309" s="2" t="str">
        <f t="shared" si="86"/>
        <v/>
      </c>
      <c r="T309" t="str">
        <f t="shared" si="87"/>
        <v/>
      </c>
      <c r="U309" s="8">
        <f t="shared" si="88"/>
        <v>0</v>
      </c>
      <c r="V309" s="8" t="str">
        <f t="shared" si="89"/>
        <v/>
      </c>
      <c r="W309" s="8" t="str">
        <f>IFERROR(VLOOKUP(B309,Write_Bytes_ps!B:F,4,FALSE)/1024/1024,"")</f>
        <v/>
      </c>
      <c r="X309" s="8" t="str">
        <f>IFERROR(VLOOKUP(B309,Read_Bytes_ps!B:F,4,FALSE)/1024/1024,"")</f>
        <v/>
      </c>
      <c r="Y309" s="8" t="str">
        <f>IFERROR(VLOOKUP(B309,Writes_ps!B:F,5,FALSE),"")</f>
        <v/>
      </c>
      <c r="Z309" s="8" t="str">
        <f>IFERROR(VLOOKUP(B309,Reads_ps!B:F,5,FALSE),"")</f>
        <v/>
      </c>
      <c r="AA309" s="8">
        <f t="shared" si="103"/>
        <v>0</v>
      </c>
      <c r="AB309" s="122">
        <f t="shared" si="106"/>
        <v>0</v>
      </c>
      <c r="AC309" s="122" t="str">
        <f t="shared" si="90"/>
        <v>DS11 v2</v>
      </c>
      <c r="AE309" s="8" t="str">
        <f>IFERROR(VLOOKUP(AD309,'Web-SKUS'!A:E,2,FALSE),"")</f>
        <v/>
      </c>
      <c r="AF309" s="8">
        <f>_xlfn.NUMBERVALUE(IFERROR(VLOOKUP(AD309,'Web-SKUS'!A:E,4,FALSE),""))</f>
        <v>0</v>
      </c>
      <c r="AG309" s="8">
        <f>IFERROR(VLOOKUP(AD309,VM_Performance_Stats!A:G,7,FALSE),0)</f>
        <v>0</v>
      </c>
      <c r="AH309" s="8" t="str">
        <f>IFERROR(VLOOKUP(AD309,VM_Performance_Stats!A:I,8,FALSE),"")</f>
        <v/>
      </c>
      <c r="AI309" s="8">
        <f t="shared" si="91"/>
        <v>1</v>
      </c>
      <c r="AJ309" s="8">
        <f t="shared" si="92"/>
        <v>0</v>
      </c>
      <c r="AK309" s="8">
        <f>IFERROR(IF(VLOOKUP(AD309,VM_Performance_Stats!A:I,8,FALSE)&gt;AB309,1,0),0)</f>
        <v>0</v>
      </c>
      <c r="AL309" t="str">
        <f>IFERROR(VLOOKUP(AD309,'Web-SKUS'!A:G,7,FALSE),"")</f>
        <v/>
      </c>
      <c r="AM309" s="116" t="str">
        <f t="shared" si="93"/>
        <v/>
      </c>
      <c r="AN309" t="str">
        <f>IFERROR(IF(C309=1,VLOOKUP(K309,'Web-SKUS'!A:G,7,FALSE),VLOOKUP(K309,'Web-SKUS'!A:G,6,FALSE)),"")</f>
        <v>£103.3744/month</v>
      </c>
      <c r="AO309" s="116">
        <f t="shared" si="94"/>
        <v>103.37439999999999</v>
      </c>
      <c r="AP309" s="116">
        <f t="shared" si="95"/>
        <v>103.37439999999999</v>
      </c>
      <c r="AQ309" s="115">
        <f t="shared" si="96"/>
        <v>0</v>
      </c>
      <c r="AR309" s="115">
        <f t="shared" si="98"/>
        <v>0</v>
      </c>
      <c r="AS309" s="115" t="e">
        <f>VLOOKUP(B309,'Willie List'!B:M,12,FALSE)</f>
        <v>#N/A</v>
      </c>
      <c r="AT309" s="115" t="str">
        <f t="shared" si="99"/>
        <v>Standard_DS11_v2</v>
      </c>
      <c r="AU309" s="115" t="str">
        <f t="shared" si="100"/>
        <v>DS11 v2</v>
      </c>
      <c r="AV309">
        <f t="shared" si="101"/>
        <v>0</v>
      </c>
      <c r="AW309" s="8">
        <f t="shared" si="102"/>
        <v>0</v>
      </c>
    </row>
    <row r="310" spans="1:49">
      <c r="B310" t="s">
        <v>848</v>
      </c>
      <c r="C310" s="8">
        <f>IFERROR(IF(VLOOKUP(B310,'Willie List'!B:B,1,FALSE) &lt;&gt; "",1,0),0)</f>
        <v>0</v>
      </c>
      <c r="D310" s="8"/>
      <c r="E310" t="s">
        <v>454</v>
      </c>
      <c r="F310" t="s">
        <v>849</v>
      </c>
      <c r="G310" t="s">
        <v>152</v>
      </c>
      <c r="H310" t="s">
        <v>275</v>
      </c>
      <c r="I310" t="s">
        <v>154</v>
      </c>
      <c r="J310" t="s">
        <v>514</v>
      </c>
      <c r="K310" s="8" t="str">
        <f t="shared" si="105"/>
        <v>D2s v3</v>
      </c>
      <c r="L310" s="8">
        <f>VLOOKUP(K310,'Web-SKUS'!A:E,2,FALSE)</f>
        <v>2</v>
      </c>
      <c r="M310" s="8" t="str">
        <f>VLOOKUP(K310,'Web-SKUS'!A:E,4,FALSE)</f>
        <v>8</v>
      </c>
      <c r="N310" t="s">
        <v>277</v>
      </c>
      <c r="O310">
        <v>1</v>
      </c>
      <c r="P310" t="s">
        <v>157</v>
      </c>
      <c r="Q310" t="str">
        <f>IFERROR(VLOOKUP(B310,PercentCPU!B:F,4,FALSE),"")</f>
        <v/>
      </c>
      <c r="R310" t="str">
        <f>IFERROR(VLOOKUP(B310,MemoryAvailable!B:F,3,FALSE),"")</f>
        <v/>
      </c>
      <c r="S310" s="2" t="str">
        <f t="shared" si="86"/>
        <v/>
      </c>
      <c r="T310" t="str">
        <f t="shared" si="87"/>
        <v/>
      </c>
      <c r="U310" s="8">
        <f t="shared" si="88"/>
        <v>0</v>
      </c>
      <c r="V310" s="8" t="str">
        <f t="shared" si="89"/>
        <v/>
      </c>
      <c r="W310" s="8" t="str">
        <f>IFERROR(VLOOKUP(B310,Write_Bytes_ps!B:F,4,FALSE)/1024/1024,"")</f>
        <v/>
      </c>
      <c r="X310" s="8" t="str">
        <f>IFERROR(VLOOKUP(B310,Read_Bytes_ps!B:F,4,FALSE)/1024/1024,"")</f>
        <v/>
      </c>
      <c r="Y310" s="8" t="str">
        <f>IFERROR(VLOOKUP(B310,Writes_ps!B:F,5,FALSE),"")</f>
        <v/>
      </c>
      <c r="Z310" s="8" t="str">
        <f>IFERROR(VLOOKUP(B310,Reads_ps!B:F,5,FALSE),"")</f>
        <v/>
      </c>
      <c r="AA310" s="8">
        <f t="shared" si="103"/>
        <v>0</v>
      </c>
      <c r="AB310" s="122">
        <f t="shared" si="106"/>
        <v>0</v>
      </c>
      <c r="AC310" s="122" t="str">
        <f t="shared" si="90"/>
        <v>D2s v3</v>
      </c>
      <c r="AE310" s="8" t="str">
        <f>IFERROR(VLOOKUP(AD310,'Web-SKUS'!A:E,2,FALSE),"")</f>
        <v/>
      </c>
      <c r="AF310" s="8">
        <f>_xlfn.NUMBERVALUE(IFERROR(VLOOKUP(AD310,'Web-SKUS'!A:E,4,FALSE),""))</f>
        <v>0</v>
      </c>
      <c r="AG310" s="8">
        <f>IFERROR(VLOOKUP(AD310,VM_Performance_Stats!A:G,7,FALSE),0)</f>
        <v>0</v>
      </c>
      <c r="AH310" s="8" t="str">
        <f>IFERROR(VLOOKUP(AD310,VM_Performance_Stats!A:I,8,FALSE),"")</f>
        <v/>
      </c>
      <c r="AI310" s="8">
        <f t="shared" si="91"/>
        <v>1</v>
      </c>
      <c r="AJ310" s="8">
        <f t="shared" si="92"/>
        <v>0</v>
      </c>
      <c r="AK310" s="8">
        <f>IFERROR(IF(VLOOKUP(AD310,VM_Performance_Stats!A:I,8,FALSE)&gt;AB310,1,0),0)</f>
        <v>0</v>
      </c>
      <c r="AL310" t="str">
        <f>IFERROR(VLOOKUP(AD310,'Web-SKUS'!A:G,7,FALSE),"")</f>
        <v/>
      </c>
      <c r="AM310" s="116" t="str">
        <f t="shared" si="93"/>
        <v/>
      </c>
      <c r="AN310" t="str">
        <f>IFERROR(IF(C310=1,VLOOKUP(K310,'Web-SKUS'!A:G,7,FALSE),VLOOKUP(K310,'Web-SKUS'!A:G,6,FALSE)),"")</f>
        <v>£65.2891/month</v>
      </c>
      <c r="AO310" s="116">
        <f t="shared" si="94"/>
        <v>65.289100000000005</v>
      </c>
      <c r="AP310" s="116">
        <f t="shared" si="95"/>
        <v>65.289100000000005</v>
      </c>
      <c r="AQ310" s="115">
        <f t="shared" si="96"/>
        <v>0</v>
      </c>
      <c r="AR310" s="115">
        <f t="shared" si="98"/>
        <v>0</v>
      </c>
      <c r="AS310" s="115" t="e">
        <f>VLOOKUP(B310,'Willie List'!B:M,12,FALSE)</f>
        <v>#N/A</v>
      </c>
      <c r="AT310" s="115" t="str">
        <f t="shared" si="99"/>
        <v>Standard_D2s_v3</v>
      </c>
      <c r="AU310" s="115" t="str">
        <f t="shared" si="100"/>
        <v>D2s v3</v>
      </c>
      <c r="AV310">
        <f t="shared" si="101"/>
        <v>0</v>
      </c>
      <c r="AW310" s="8">
        <f t="shared" si="102"/>
        <v>0</v>
      </c>
    </row>
    <row r="311" spans="1:49">
      <c r="B311" t="s">
        <v>850</v>
      </c>
      <c r="C311" s="8">
        <f>IFERROR(IF(VLOOKUP(B311,'Willie List'!B:B,1,FALSE) &lt;&gt; "",1,0),0)</f>
        <v>0</v>
      </c>
      <c r="D311" s="8"/>
      <c r="E311" t="s">
        <v>95</v>
      </c>
      <c r="F311" t="s">
        <v>851</v>
      </c>
      <c r="G311" t="s">
        <v>152</v>
      </c>
      <c r="H311" t="s">
        <v>275</v>
      </c>
      <c r="I311" t="s">
        <v>276</v>
      </c>
      <c r="J311" t="s">
        <v>852</v>
      </c>
      <c r="K311" s="8" t="str">
        <f t="shared" si="105"/>
        <v>DS2 v2</v>
      </c>
      <c r="L311" s="8">
        <f>VLOOKUP(K311,'Web-SKUS'!A:E,2,FALSE)</f>
        <v>2</v>
      </c>
      <c r="M311" s="8" t="str">
        <f>VLOOKUP(K311,'Web-SKUS'!A:E,4,FALSE)</f>
        <v>7</v>
      </c>
      <c r="N311" t="s">
        <v>277</v>
      </c>
      <c r="O311">
        <v>1</v>
      </c>
      <c r="P311" t="s">
        <v>157</v>
      </c>
      <c r="Q311" t="str">
        <f>IFERROR(VLOOKUP(B311,PercentCPU!B:F,4,FALSE),"")</f>
        <v/>
      </c>
      <c r="R311" t="str">
        <f>IFERROR(VLOOKUP(B311,MemoryAvailable!B:F,3,FALSE),"")</f>
        <v/>
      </c>
      <c r="S311" s="2" t="str">
        <f t="shared" si="86"/>
        <v/>
      </c>
      <c r="T311" t="str">
        <f t="shared" si="87"/>
        <v/>
      </c>
      <c r="U311" s="8">
        <f t="shared" si="88"/>
        <v>0</v>
      </c>
      <c r="V311" s="8" t="str">
        <f t="shared" si="89"/>
        <v/>
      </c>
      <c r="W311" s="8" t="str">
        <f>IFERROR(VLOOKUP(B311,Write_Bytes_ps!B:F,4,FALSE)/1024/1024,"")</f>
        <v/>
      </c>
      <c r="X311" s="8" t="str">
        <f>IFERROR(VLOOKUP(B311,Read_Bytes_ps!B:F,4,FALSE)/1024/1024,"")</f>
        <v/>
      </c>
      <c r="Y311" s="8" t="str">
        <f>IFERROR(VLOOKUP(B311,Writes_ps!B:F,5,FALSE),"")</f>
        <v/>
      </c>
      <c r="Z311" s="8" t="str">
        <f>IFERROR(VLOOKUP(B311,Reads_ps!B:F,5,FALSE),"")</f>
        <v/>
      </c>
      <c r="AA311" s="8">
        <f t="shared" si="103"/>
        <v>0</v>
      </c>
      <c r="AB311" s="122">
        <f t="shared" si="106"/>
        <v>0</v>
      </c>
      <c r="AC311" s="122" t="str">
        <f t="shared" si="90"/>
        <v>DS2 v2</v>
      </c>
      <c r="AE311" s="8" t="str">
        <f>IFERROR(VLOOKUP(AD311,'Web-SKUS'!A:E,2,FALSE),"")</f>
        <v/>
      </c>
      <c r="AF311" s="8">
        <f>_xlfn.NUMBERVALUE(IFERROR(VLOOKUP(AD311,'Web-SKUS'!A:E,4,FALSE),""))</f>
        <v>0</v>
      </c>
      <c r="AG311" s="8">
        <f>IFERROR(VLOOKUP(AD311,VM_Performance_Stats!A:G,7,FALSE),0)</f>
        <v>0</v>
      </c>
      <c r="AH311" s="8" t="str">
        <f>IFERROR(VLOOKUP(AD311,VM_Performance_Stats!A:I,8,FALSE),"")</f>
        <v/>
      </c>
      <c r="AI311" s="8">
        <f t="shared" si="91"/>
        <v>1</v>
      </c>
      <c r="AJ311" s="8">
        <f t="shared" si="92"/>
        <v>0</v>
      </c>
      <c r="AK311" s="8">
        <f>IFERROR(IF(VLOOKUP(AD311,VM_Performance_Stats!A:I,8,FALSE)&gt;AB311,1,0),0)</f>
        <v>0</v>
      </c>
      <c r="AL311" t="str">
        <f>IFERROR(VLOOKUP(AD311,'Web-SKUS'!A:G,7,FALSE),"")</f>
        <v/>
      </c>
      <c r="AM311" s="116" t="str">
        <f t="shared" si="93"/>
        <v/>
      </c>
      <c r="AN311" t="str">
        <f>IFERROR(IF(C311=1,VLOOKUP(K311,'Web-SKUS'!A:G,7,FALSE),VLOOKUP(K311,'Web-SKUS'!A:G,6,FALSE)),"")</f>
        <v>£73.9943/month</v>
      </c>
      <c r="AO311" s="116">
        <f t="shared" si="94"/>
        <v>73.994299999999996</v>
      </c>
      <c r="AP311" s="116">
        <f t="shared" si="95"/>
        <v>73.994299999999996</v>
      </c>
      <c r="AQ311" s="115">
        <f t="shared" si="96"/>
        <v>0</v>
      </c>
      <c r="AR311" s="115">
        <f t="shared" si="98"/>
        <v>0</v>
      </c>
      <c r="AS311" s="115" t="e">
        <f>VLOOKUP(B311,'Willie List'!B:M,12,FALSE)</f>
        <v>#N/A</v>
      </c>
      <c r="AT311" s="115" t="str">
        <f t="shared" si="99"/>
        <v>Standard_DS2_v2</v>
      </c>
      <c r="AU311" s="115" t="str">
        <f t="shared" si="100"/>
        <v>DS2 v2</v>
      </c>
      <c r="AV311">
        <f t="shared" si="101"/>
        <v>0</v>
      </c>
      <c r="AW311" s="8">
        <f t="shared" si="102"/>
        <v>0</v>
      </c>
    </row>
    <row r="312" spans="1:49">
      <c r="B312" t="s">
        <v>853</v>
      </c>
      <c r="C312" s="8">
        <f>IFERROR(IF(VLOOKUP(B312,'Willie List'!B:B,1,FALSE) &lt;&gt; "",1,0),0)</f>
        <v>1</v>
      </c>
      <c r="D312" s="8"/>
      <c r="E312" t="s">
        <v>99</v>
      </c>
      <c r="F312" t="s">
        <v>854</v>
      </c>
      <c r="G312" t="s">
        <v>152</v>
      </c>
      <c r="H312" t="s">
        <v>153</v>
      </c>
      <c r="I312" t="s">
        <v>276</v>
      </c>
      <c r="J312" t="s">
        <v>85</v>
      </c>
      <c r="K312" s="8" t="str">
        <f t="shared" si="105"/>
        <v>F2s</v>
      </c>
      <c r="L312" s="8">
        <f>VLOOKUP(K312,'Web-SKUS'!A:E,2,FALSE)</f>
        <v>2</v>
      </c>
      <c r="M312" s="8" t="str">
        <f>VLOOKUP(K312,'Web-SKUS'!A:E,4,FALSE)</f>
        <v>4</v>
      </c>
      <c r="N312" t="s">
        <v>277</v>
      </c>
      <c r="O312" s="8">
        <v>2</v>
      </c>
      <c r="P312" t="s">
        <v>157</v>
      </c>
      <c r="Q312">
        <f>IFERROR(VLOOKUP(B312,PercentCPU!B:F,4,FALSE),"")</f>
        <v>5.3985872791411618</v>
      </c>
      <c r="R312">
        <f>IFERROR(VLOOKUP(B312,MemoryAvailable!B:F,3,FALSE),"")</f>
        <v>1155.2521876547869</v>
      </c>
      <c r="S312" s="2">
        <f t="shared" si="86"/>
        <v>0.71795600887334299</v>
      </c>
      <c r="T312">
        <f t="shared" si="87"/>
        <v>1</v>
      </c>
      <c r="U312" s="8">
        <f t="shared" si="88"/>
        <v>3</v>
      </c>
      <c r="V312" s="8">
        <f t="shared" si="89"/>
        <v>0</v>
      </c>
      <c r="W312" s="8">
        <f>IFERROR(VLOOKUP(B312,Write_Bytes_ps!B:F,4,FALSE)/1024/1024,"")</f>
        <v>0.19082622038847596</v>
      </c>
      <c r="X312" s="8">
        <f>IFERROR(VLOOKUP(B312,Read_Bytes_ps!B:F,4,FALSE)/1024/1024,"")</f>
        <v>0.40842668824603989</v>
      </c>
      <c r="Y312" s="8">
        <f>IFERROR(VLOOKUP(B312,Writes_ps!B:F,5,FALSE),"")</f>
        <v>231.59793090820301</v>
      </c>
      <c r="Z312" s="8">
        <f>IFERROR(VLOOKUP(B312,Reads_ps!B:F,5,FALSE),"")</f>
        <v>952.65588378906295</v>
      </c>
      <c r="AA312" s="120">
        <f t="shared" si="103"/>
        <v>0.59925290863451586</v>
      </c>
      <c r="AB312" s="122">
        <f t="shared" si="106"/>
        <v>1185</v>
      </c>
      <c r="AC312" s="122" t="str">
        <f t="shared" si="90"/>
        <v>F2s</v>
      </c>
      <c r="AD312" s="8" t="s">
        <v>290</v>
      </c>
      <c r="AE312" s="8">
        <f>IFERROR(VLOOKUP(AD312,'Web-SKUS'!A:E,2,FALSE),"")</f>
        <v>2</v>
      </c>
      <c r="AF312" s="8">
        <f>_xlfn.NUMBERVALUE(IFERROR(VLOOKUP(AD312,'Web-SKUS'!A:E,4,FALSE),""))</f>
        <v>4</v>
      </c>
      <c r="AG312" s="8">
        <f>IFERROR(VLOOKUP(AD312,VM_Performance_Stats!A:G,7,FALSE),0)</f>
        <v>4</v>
      </c>
      <c r="AH312" s="8">
        <f>IFERROR(VLOOKUP(AD312,VM_Performance_Stats!A:I,8,FALSE),"")</f>
        <v>3200</v>
      </c>
      <c r="AI312" s="8">
        <f t="shared" si="91"/>
        <v>1</v>
      </c>
      <c r="AJ312" s="8">
        <f t="shared" si="92"/>
        <v>1</v>
      </c>
      <c r="AK312" s="8">
        <f>IFERROR(IF(VLOOKUP(AD312,VM_Performance_Stats!A:I,8,FALSE)&gt;AB312,1,0),0)</f>
        <v>1</v>
      </c>
      <c r="AL312" t="str">
        <f>IFERROR(VLOOKUP(AD312,'Web-SKUS'!A:G,7,FALSE),"")</f>
        <v>£31.2409/month</v>
      </c>
      <c r="AM312" s="116">
        <f t="shared" si="93"/>
        <v>31.2409</v>
      </c>
      <c r="AN312" t="str">
        <f>IFERROR(IF(C312=1,VLOOKUP(K312,'Web-SKUS'!A:G,7,FALSE),VLOOKUP(K312,'Web-SKUS'!A:G,6,FALSE)),"")</f>
        <v>£44.9679/month</v>
      </c>
      <c r="AO312" s="116">
        <f t="shared" si="94"/>
        <v>44.9679</v>
      </c>
      <c r="AP312" s="116">
        <f t="shared" si="95"/>
        <v>31.2409</v>
      </c>
      <c r="AQ312" s="115">
        <f t="shared" si="96"/>
        <v>13.727</v>
      </c>
      <c r="AR312" s="115">
        <f t="shared" si="98"/>
        <v>164.72399999999999</v>
      </c>
      <c r="AS312" s="115" t="str">
        <f>VLOOKUP(B312,'Willie List'!B:M,12,FALSE)</f>
        <v>YES</v>
      </c>
      <c r="AT312" s="115" t="str">
        <f t="shared" si="99"/>
        <v>Standard_F2s</v>
      </c>
      <c r="AU312" s="115" t="str">
        <f t="shared" si="100"/>
        <v>F2s</v>
      </c>
      <c r="AV312" t="str">
        <f t="shared" si="101"/>
        <v>F2s v2</v>
      </c>
      <c r="AW312" s="8">
        <f t="shared" si="102"/>
        <v>0</v>
      </c>
    </row>
    <row r="313" spans="1:49">
      <c r="B313" t="s">
        <v>855</v>
      </c>
      <c r="C313" s="8">
        <f>IFERROR(IF(VLOOKUP(B313,'Willie List'!B:B,1,FALSE) &lt;&gt; "",1,0),0)</f>
        <v>1</v>
      </c>
      <c r="D313" s="8"/>
      <c r="E313" t="s">
        <v>99</v>
      </c>
      <c r="F313" t="s">
        <v>854</v>
      </c>
      <c r="G313" t="s">
        <v>152</v>
      </c>
      <c r="H313" t="s">
        <v>153</v>
      </c>
      <c r="I313" t="s">
        <v>276</v>
      </c>
      <c r="J313" t="s">
        <v>85</v>
      </c>
      <c r="K313" s="8" t="str">
        <f t="shared" si="105"/>
        <v>F2s</v>
      </c>
      <c r="L313" s="8">
        <f>VLOOKUP(K313,'Web-SKUS'!A:E,2,FALSE)</f>
        <v>2</v>
      </c>
      <c r="M313" s="8" t="str">
        <f>VLOOKUP(K313,'Web-SKUS'!A:E,4,FALSE)</f>
        <v>4</v>
      </c>
      <c r="N313" t="s">
        <v>277</v>
      </c>
      <c r="O313" s="8">
        <v>2</v>
      </c>
      <c r="P313" t="s">
        <v>157</v>
      </c>
      <c r="Q313">
        <f>IFERROR(VLOOKUP(B313,PercentCPU!B:F,4,FALSE),"")</f>
        <v>4.6378981758003759</v>
      </c>
      <c r="R313">
        <f>IFERROR(VLOOKUP(B313,MemoryAvailable!B:F,3,FALSE),"")</f>
        <v>1590.761536283854</v>
      </c>
      <c r="S313" s="2">
        <f t="shared" si="86"/>
        <v>0.61163048430569966</v>
      </c>
      <c r="T313">
        <f t="shared" si="87"/>
        <v>1</v>
      </c>
      <c r="U313" s="8">
        <f t="shared" si="88"/>
        <v>2</v>
      </c>
      <c r="V313" s="8" t="str">
        <f t="shared" si="89"/>
        <v>F Series</v>
      </c>
      <c r="W313" s="8">
        <f>IFERROR(VLOOKUP(B313,Write_Bytes_ps!B:F,4,FALSE)/1024/1024,"")</f>
        <v>0.18457135839834699</v>
      </c>
      <c r="X313" s="8">
        <f>IFERROR(VLOOKUP(B313,Read_Bytes_ps!B:F,4,FALSE)/1024/1024,"")</f>
        <v>0.39689135417603416</v>
      </c>
      <c r="Y313" s="8">
        <f>IFERROR(VLOOKUP(B313,Writes_ps!B:F,5,FALSE),"")</f>
        <v>169.56988525390599</v>
      </c>
      <c r="Z313" s="8">
        <f>IFERROR(VLOOKUP(B313,Reads_ps!B:F,5,FALSE),"")</f>
        <v>878.18518066406295</v>
      </c>
      <c r="AA313" s="120">
        <f t="shared" si="103"/>
        <v>0.5814627125743812</v>
      </c>
      <c r="AB313" s="122">
        <f t="shared" si="106"/>
        <v>1048</v>
      </c>
      <c r="AC313" s="122" t="str">
        <f t="shared" si="90"/>
        <v>F2s</v>
      </c>
      <c r="AD313" s="8" t="s">
        <v>290</v>
      </c>
      <c r="AE313" s="8">
        <f>IFERROR(VLOOKUP(AD313,'Web-SKUS'!A:E,2,FALSE),"")</f>
        <v>2</v>
      </c>
      <c r="AF313" s="8">
        <f>_xlfn.NUMBERVALUE(IFERROR(VLOOKUP(AD313,'Web-SKUS'!A:E,4,FALSE),""))</f>
        <v>4</v>
      </c>
      <c r="AG313" s="8">
        <f>IFERROR(VLOOKUP(AD313,VM_Performance_Stats!A:G,7,FALSE),0)</f>
        <v>4</v>
      </c>
      <c r="AH313" s="8">
        <f>IFERROR(VLOOKUP(AD313,VM_Performance_Stats!A:I,8,FALSE),"")</f>
        <v>3200</v>
      </c>
      <c r="AI313" s="8">
        <f t="shared" si="91"/>
        <v>1</v>
      </c>
      <c r="AJ313" s="8">
        <f t="shared" si="92"/>
        <v>1</v>
      </c>
      <c r="AK313" s="8">
        <f>IFERROR(IF(VLOOKUP(AD313,VM_Performance_Stats!A:I,8,FALSE)&gt;AB313,1,0),0)</f>
        <v>1</v>
      </c>
      <c r="AL313" t="str">
        <f>IFERROR(VLOOKUP(AD313,'Web-SKUS'!A:G,7,FALSE),"")</f>
        <v>£31.2409/month</v>
      </c>
      <c r="AM313" s="116">
        <f t="shared" si="93"/>
        <v>31.2409</v>
      </c>
      <c r="AN313" t="str">
        <f>IFERROR(IF(C313=1,VLOOKUP(K313,'Web-SKUS'!A:G,7,FALSE),VLOOKUP(K313,'Web-SKUS'!A:G,6,FALSE)),"")</f>
        <v>£44.9679/month</v>
      </c>
      <c r="AO313" s="116">
        <f t="shared" si="94"/>
        <v>44.9679</v>
      </c>
      <c r="AP313" s="116">
        <f t="shared" si="95"/>
        <v>31.2409</v>
      </c>
      <c r="AQ313" s="115">
        <f t="shared" si="96"/>
        <v>13.727</v>
      </c>
      <c r="AR313" s="115">
        <f t="shared" si="98"/>
        <v>164.72399999999999</v>
      </c>
      <c r="AS313" s="115" t="str">
        <f>VLOOKUP(B313,'Willie List'!B:M,12,FALSE)</f>
        <v>YES</v>
      </c>
      <c r="AT313" s="115" t="str">
        <f t="shared" si="99"/>
        <v>Standard_F2s</v>
      </c>
      <c r="AU313" s="115" t="str">
        <f t="shared" si="100"/>
        <v>F2s</v>
      </c>
      <c r="AV313" t="str">
        <f t="shared" si="101"/>
        <v>F2s v2</v>
      </c>
      <c r="AW313" s="8">
        <f t="shared" si="102"/>
        <v>0</v>
      </c>
    </row>
    <row r="314" spans="1:49">
      <c r="B314" t="s">
        <v>856</v>
      </c>
      <c r="C314" s="8">
        <f>IFERROR(IF(VLOOKUP(B314,'Willie List'!B:B,1,FALSE) &lt;&gt; "",1,0),0)</f>
        <v>0</v>
      </c>
      <c r="D314" s="8"/>
      <c r="E314" t="s">
        <v>454</v>
      </c>
      <c r="F314" t="s">
        <v>857</v>
      </c>
      <c r="G314" t="s">
        <v>295</v>
      </c>
      <c r="H314" t="s">
        <v>275</v>
      </c>
      <c r="I314" t="s">
        <v>154</v>
      </c>
      <c r="J314" t="s">
        <v>22</v>
      </c>
      <c r="K314" s="8" t="str">
        <f t="shared" ref="K314" si="107">IFERROR(REPLACE(REPLACE(J314,FIND("Standard_",J314,1),9,""),FIND("_",REPLACE(J314,FIND("Standard_",J314,1),9,""),1),1," "),REPLACE(J314,FIND("Standard_",J314,1),9,""))</f>
        <v>B2ms</v>
      </c>
      <c r="L314" s="8">
        <f>VLOOKUP(K314,'Web-SKUS'!A:E,2,FALSE)</f>
        <v>2</v>
      </c>
      <c r="M314" s="8" t="str">
        <f>VLOOKUP(K314,'Web-SKUS'!A:E,4,FALSE)</f>
        <v>8</v>
      </c>
      <c r="N314" t="s">
        <v>858</v>
      </c>
      <c r="O314">
        <v>2</v>
      </c>
      <c r="P314" t="s">
        <v>157</v>
      </c>
      <c r="Q314" t="str">
        <f>IFERROR(VLOOKUP(B314,PercentCPU!B:F,4,FALSE),"")</f>
        <v/>
      </c>
      <c r="R314" t="str">
        <f>IFERROR(VLOOKUP(B314,MemoryAvailable!B:F,3,FALSE),"")</f>
        <v/>
      </c>
      <c r="S314" s="2" t="str">
        <f t="shared" ref="S314" si="108">IFERROR(100%-(R314/(M314*1024)),"")</f>
        <v/>
      </c>
      <c r="T314" t="str">
        <f t="shared" ref="T314" si="109">IFERROR(ROUNDUP(Q314/100*L314,0),"")</f>
        <v/>
      </c>
      <c r="U314" s="8">
        <f t="shared" ref="U314" si="110">IFERROR(ROUND(S314*M314,0),0)</f>
        <v>0</v>
      </c>
      <c r="V314" s="8" t="str">
        <f t="shared" ref="V314" si="111">IFERROR(IF(T314/U314 = 0.25, "D Series",IF(T314/U314 = 0.5, "F Series",IF(T314/U314 = 0.125, "E Series", ) ) ),"")</f>
        <v/>
      </c>
      <c r="W314" s="8" t="str">
        <f>IFERROR(VLOOKUP(B314,Write_Bytes_ps!B:F,4,FALSE)/1024/1024,"")</f>
        <v/>
      </c>
      <c r="X314" s="8" t="str">
        <f>IFERROR(VLOOKUP(B314,Read_Bytes_ps!B:F,4,FALSE)/1024/1024,"")</f>
        <v/>
      </c>
      <c r="Y314" s="8" t="str">
        <f>IFERROR(VLOOKUP(B314,Writes_ps!B:F,5,FALSE),"")</f>
        <v/>
      </c>
      <c r="Z314" s="8" t="str">
        <f>IFERROR(VLOOKUP(B314,Reads_ps!B:F,5,FALSE),"")</f>
        <v/>
      </c>
      <c r="AA314" s="8">
        <f t="shared" ref="AA314" si="112">SUM(W314,X314)</f>
        <v>0</v>
      </c>
      <c r="AB314" s="122">
        <f t="shared" ref="AB314" si="113">ROUNDUP(SUM(Y314:Z314),0)</f>
        <v>0</v>
      </c>
      <c r="AC314" s="122" t="str">
        <f t="shared" ref="AC314" si="114">K314</f>
        <v>B2ms</v>
      </c>
      <c r="AD314" s="8" t="s">
        <v>325</v>
      </c>
      <c r="AE314" s="8">
        <f>IFERROR(VLOOKUP(AD314,'Web-SKUS'!A:E,2,FALSE),"")</f>
        <v>2</v>
      </c>
      <c r="AF314" s="8">
        <f>_xlfn.NUMBERVALUE(IFERROR(VLOOKUP(AD314,'Web-SKUS'!A:E,4,FALSE),""))</f>
        <v>8</v>
      </c>
      <c r="AG314" s="8">
        <f>IFERROR(VLOOKUP(AD314,VM_Performance_Stats!A:G,7,FALSE),0)</f>
        <v>4</v>
      </c>
      <c r="AH314" s="8">
        <f>IFERROR(VLOOKUP(AD314,VM_Performance_Stats!A:I,8,FALSE),"")</f>
        <v>1920</v>
      </c>
      <c r="AI314" s="8">
        <f t="shared" ref="AI314" si="115">IFERROR(IF(AF314&lt;U314,0,1),0)</f>
        <v>1</v>
      </c>
      <c r="AJ314" s="8">
        <f t="shared" ref="AJ314" si="116">IF(AG314&lt;O314,0,1)</f>
        <v>1</v>
      </c>
      <c r="AK314" s="8">
        <f>IFERROR(IF(VLOOKUP(AD314,VM_Performance_Stats!A:I,8,FALSE)&gt;AB314,1,0),0)</f>
        <v>1</v>
      </c>
      <c r="AL314" t="str">
        <f>IFERROR(VLOOKUP(AD314,'Web-SKUS'!A:G,7,FALSE),"")</f>
        <v>£30.5553/month</v>
      </c>
      <c r="AM314" s="116">
        <f t="shared" ref="AM314" si="117">IFERROR(_xlfn.NUMBERVALUE(REPLACE(REPLACE(AL314,FIND("/month",AL314,1),6,),FIND("£",REPLACE(AL314,FIND("/month",AL314,1),6,),1),1,),".",","),"")</f>
        <v>30.555299999999999</v>
      </c>
      <c r="AN314" t="str">
        <f>IFERROR(IF(C314=1,VLOOKUP(K314,'Web-SKUS'!A:G,7,FALSE),VLOOKUP(K314,'Web-SKUS'!A:G,6,FALSE)),"")</f>
        <v>£52.2313/month</v>
      </c>
      <c r="AO314" s="116">
        <f t="shared" ref="AO314" si="118">IFERROR(_xlfn.NUMBERVALUE(REPLACE(REPLACE(AN314,FIND("/month",AN314,1),6,),FIND("£",REPLACE(AN314,FIND("/month",AN314,1),6,),1),1,),".",","),"")</f>
        <v>52.231299999999997</v>
      </c>
      <c r="AP314" s="116">
        <f t="shared" ref="AP314" si="119">IF(_xlfn.NUMBERVALUE(AM314,".",",")&gt;0,AM314,AO314)</f>
        <v>30.555299999999999</v>
      </c>
      <c r="AQ314" s="115">
        <f t="shared" ref="AQ314" si="120">IFERROR(IF(AM314&gt;0,AO314-AM314,0),0)</f>
        <v>21.675999999999998</v>
      </c>
      <c r="AR314" s="115">
        <f t="shared" si="98"/>
        <v>260.11199999999997</v>
      </c>
      <c r="AS314" s="115" t="e">
        <f>VLOOKUP(B314,'Willie List'!B:M,12,FALSE)</f>
        <v>#N/A</v>
      </c>
      <c r="AT314" s="115" t="str">
        <f t="shared" si="99"/>
        <v>Standard_B2ms</v>
      </c>
      <c r="AU314" s="115" t="str">
        <f t="shared" si="100"/>
        <v>B2ms</v>
      </c>
      <c r="AV314" t="str">
        <f t="shared" si="101"/>
        <v>B2ms</v>
      </c>
      <c r="AW314" s="8">
        <f t="shared" si="102"/>
        <v>1</v>
      </c>
    </row>
    <row r="315" spans="1:49">
      <c r="D315" s="8"/>
    </row>
  </sheetData>
  <autoFilter ref="B1:AQ314" xr:uid="{485E4668-5823-4FBB-B98A-8C1E07B24FFC}">
    <sortState xmlns:xlrd2="http://schemas.microsoft.com/office/spreadsheetml/2017/richdata2" ref="B71:AQ197">
      <sortCondition sortBy="cellColor" ref="B1:B314" dxfId="7"/>
    </sortState>
  </autoFilter>
  <phoneticPr fontId="18" type="noConversion"/>
  <conditionalFormatting sqref="C2:D314 D315">
    <cfRule type="iconSet" priority="11">
      <iconSet iconSet="3Symbols2" showValue="0">
        <cfvo type="percent" val="0"/>
        <cfvo type="num" val="0.3"/>
        <cfvo type="num" val="0.7"/>
      </iconSet>
    </cfRule>
  </conditionalFormatting>
  <conditionalFormatting sqref="AJ1:AJ1048576">
    <cfRule type="iconSet" priority="10">
      <iconSet iconSet="3Symbols2" showValue="0">
        <cfvo type="percent" val="0"/>
        <cfvo type="num" val="0.3"/>
        <cfvo type="num" val="0.7"/>
      </iconSet>
    </cfRule>
  </conditionalFormatting>
  <conditionalFormatting sqref="AK1:AK1048576">
    <cfRule type="iconSet" priority="9">
      <iconSet iconSet="3Symbols2" showValue="0">
        <cfvo type="percent" val="0"/>
        <cfvo type="num" val="0.3"/>
        <cfvo type="num" val="0.7"/>
      </iconSet>
    </cfRule>
  </conditionalFormatting>
  <conditionalFormatting sqref="AI1">
    <cfRule type="iconSet" priority="8">
      <iconSet iconSet="3Symbols2" showValue="0">
        <cfvo type="percent" val="0"/>
        <cfvo type="num" val="0.3"/>
        <cfvo type="num" val="0.7"/>
      </iconSet>
    </cfRule>
  </conditionalFormatting>
  <conditionalFormatting sqref="AI2:AI314">
    <cfRule type="iconSet" priority="7">
      <iconSet iconSet="3Symbols2" showValue="0">
        <cfvo type="percent" val="0"/>
        <cfvo type="num" val="0.3"/>
        <cfvo type="num" val="0.7"/>
      </iconSet>
    </cfRule>
  </conditionalFormatting>
  <conditionalFormatting sqref="U1:U1048576">
    <cfRule type="cellIs" dxfId="6" priority="6" operator="equal">
      <formula>0</formula>
    </cfRule>
  </conditionalFormatting>
  <conditionalFormatting sqref="AQ1:AW1048576">
    <cfRule type="cellIs" dxfId="5" priority="5" operator="lessThan">
      <formula>0</formula>
    </cfRule>
  </conditionalFormatting>
  <conditionalFormatting sqref="AW1:AW1048576">
    <cfRule type="iconSet" priority="4">
      <iconSet iconSet="3Symbols2" showValue="0">
        <cfvo type="percent" val="0"/>
        <cfvo type="num" val="0.3"/>
        <cfvo type="num" val="0.7"/>
      </iconSet>
    </cfRule>
  </conditionalFormatting>
  <conditionalFormatting sqref="AS1:AS1048576">
    <cfRule type="cellIs" dxfId="4" priority="2" operator="equal">
      <formula>"YES"</formula>
    </cfRule>
    <cfRule type="cellIs" dxfId="3" priority="3" operator="equal">
      <formula>"NO"</formula>
    </cfRule>
  </conditionalFormatting>
  <conditionalFormatting sqref="AR1:AR1048576">
    <cfRule type="cellIs" dxfId="2" priority="1" operator="between">
      <formula>100</formula>
      <formula>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868A3E9F-97EC-4678-B5ED-E801B66F2200}">
          <x14:formula1>
            <xm:f>'FlexGroups and Costing'!$C$4:$C$50</xm:f>
          </x14:formula1>
          <xm:sqref>AD2:AD58 AD60:AD314</xm:sqref>
        </x14:dataValidation>
        <x14:dataValidation type="list" allowBlank="1" showInputMessage="1" showErrorMessage="1" xr:uid="{995559A3-339A-4980-B47D-2B94AF4369AF}">
          <x14:formula1>
            <xm:f>'FlexGroups and Costing'!$C$2:$C$50</xm:f>
          </x14:formula1>
          <xm:sqref>AD59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7E411-3B3A-4F77-816E-7A07BAC63C8D}">
  <sheetPr codeName="Sheet6"/>
  <dimension ref="A1:Q187"/>
  <sheetViews>
    <sheetView topLeftCell="A120" workbookViewId="0">
      <selection activeCell="O102" sqref="O102"/>
    </sheetView>
  </sheetViews>
  <sheetFormatPr defaultRowHeight="14.5"/>
  <cols>
    <col min="1" max="1" width="22.453125" bestFit="1" customWidth="1"/>
    <col min="2" max="3" width="16.54296875" customWidth="1"/>
    <col min="5" max="5" width="37.1796875" bestFit="1" customWidth="1"/>
    <col min="6" max="6" width="16.54296875" customWidth="1"/>
    <col min="8" max="8" width="18.26953125" bestFit="1" customWidth="1"/>
    <col min="11" max="11" width="16.26953125" bestFit="1" customWidth="1"/>
    <col min="12" max="12" width="15.453125" customWidth="1"/>
    <col min="13" max="13" width="10.54296875" customWidth="1"/>
  </cols>
  <sheetData>
    <row r="1" spans="1:13">
      <c r="A1" t="s">
        <v>859</v>
      </c>
      <c r="B1" t="s">
        <v>860</v>
      </c>
      <c r="C1" t="s">
        <v>861</v>
      </c>
      <c r="E1" t="s">
        <v>859</v>
      </c>
      <c r="F1" t="s">
        <v>860</v>
      </c>
      <c r="H1" t="s">
        <v>1</v>
      </c>
      <c r="I1" t="s">
        <v>12</v>
      </c>
      <c r="K1" t="s">
        <v>12</v>
      </c>
      <c r="L1" t="s">
        <v>862</v>
      </c>
      <c r="M1" t="s">
        <v>863</v>
      </c>
    </row>
    <row r="2" spans="1:13">
      <c r="A2" s="83" t="s">
        <v>353</v>
      </c>
      <c r="B2">
        <v>1</v>
      </c>
      <c r="E2" s="100" t="s">
        <v>353</v>
      </c>
      <c r="F2" s="100">
        <v>1</v>
      </c>
      <c r="H2" t="s">
        <v>19</v>
      </c>
      <c r="I2">
        <v>1</v>
      </c>
      <c r="K2" s="101" t="s">
        <v>864</v>
      </c>
      <c r="L2" s="101">
        <v>24</v>
      </c>
      <c r="M2" s="101">
        <v>14</v>
      </c>
    </row>
    <row r="3" spans="1:13">
      <c r="A3" s="83" t="s">
        <v>553</v>
      </c>
      <c r="B3">
        <v>2</v>
      </c>
      <c r="E3" s="83" t="s">
        <v>350</v>
      </c>
      <c r="F3">
        <v>1</v>
      </c>
      <c r="H3" t="s">
        <v>22</v>
      </c>
      <c r="I3">
        <v>10</v>
      </c>
      <c r="K3" t="s">
        <v>865</v>
      </c>
      <c r="L3">
        <v>6</v>
      </c>
      <c r="M3">
        <v>1</v>
      </c>
    </row>
    <row r="4" spans="1:13">
      <c r="A4" s="83" t="s">
        <v>572</v>
      </c>
      <c r="B4">
        <v>2</v>
      </c>
      <c r="E4" s="100" t="s">
        <v>553</v>
      </c>
      <c r="F4" s="100">
        <v>2</v>
      </c>
      <c r="H4" t="s">
        <v>25</v>
      </c>
      <c r="I4">
        <v>3</v>
      </c>
      <c r="K4" s="101" t="s">
        <v>866</v>
      </c>
      <c r="L4" s="101">
        <v>75</v>
      </c>
      <c r="M4" s="101">
        <v>61</v>
      </c>
    </row>
    <row r="5" spans="1:13">
      <c r="A5" s="83" t="s">
        <v>383</v>
      </c>
      <c r="B5">
        <v>1</v>
      </c>
      <c r="E5" s="83" t="s">
        <v>552</v>
      </c>
      <c r="F5">
        <v>1</v>
      </c>
      <c r="H5" t="s">
        <v>39</v>
      </c>
      <c r="I5">
        <v>1</v>
      </c>
      <c r="K5" t="s">
        <v>867</v>
      </c>
      <c r="L5">
        <v>13</v>
      </c>
      <c r="M5">
        <v>0</v>
      </c>
    </row>
    <row r="6" spans="1:13">
      <c r="A6" s="101" t="s">
        <v>19</v>
      </c>
      <c r="B6">
        <v>1</v>
      </c>
      <c r="E6" s="83" t="s">
        <v>577</v>
      </c>
      <c r="F6">
        <v>1</v>
      </c>
      <c r="H6" t="s">
        <v>51</v>
      </c>
      <c r="I6">
        <v>1</v>
      </c>
      <c r="K6" t="s">
        <v>868</v>
      </c>
      <c r="L6">
        <v>10</v>
      </c>
      <c r="M6">
        <v>2</v>
      </c>
    </row>
    <row r="7" spans="1:13">
      <c r="A7" s="101" t="s">
        <v>22</v>
      </c>
      <c r="B7">
        <v>16</v>
      </c>
      <c r="E7" s="100" t="s">
        <v>572</v>
      </c>
      <c r="F7" s="100">
        <v>2</v>
      </c>
      <c r="H7" t="s">
        <v>41</v>
      </c>
      <c r="I7">
        <v>1</v>
      </c>
      <c r="K7" t="s">
        <v>869</v>
      </c>
      <c r="L7">
        <v>12</v>
      </c>
      <c r="M7">
        <v>0</v>
      </c>
    </row>
    <row r="8" spans="1:13">
      <c r="A8" s="83" t="s">
        <v>345</v>
      </c>
      <c r="B8">
        <v>2</v>
      </c>
      <c r="E8" s="83" t="s">
        <v>375</v>
      </c>
      <c r="F8">
        <v>2</v>
      </c>
      <c r="H8" t="s">
        <v>56</v>
      </c>
      <c r="I8">
        <v>17</v>
      </c>
      <c r="K8" t="s">
        <v>870</v>
      </c>
      <c r="L8">
        <v>6</v>
      </c>
      <c r="M8">
        <v>1</v>
      </c>
    </row>
    <row r="9" spans="1:13">
      <c r="A9" s="101" t="s">
        <v>431</v>
      </c>
      <c r="B9">
        <v>7</v>
      </c>
      <c r="E9" s="100" t="s">
        <v>383</v>
      </c>
      <c r="F9" s="100">
        <v>1</v>
      </c>
      <c r="H9" t="s">
        <v>43</v>
      </c>
      <c r="I9">
        <v>1</v>
      </c>
      <c r="K9" s="101" t="s">
        <v>871</v>
      </c>
      <c r="L9" s="101">
        <v>4</v>
      </c>
      <c r="M9" s="101">
        <v>4</v>
      </c>
    </row>
    <row r="10" spans="1:13">
      <c r="A10" s="83" t="s">
        <v>830</v>
      </c>
      <c r="B10">
        <v>2</v>
      </c>
      <c r="E10" s="83" t="s">
        <v>382</v>
      </c>
      <c r="F10">
        <v>1</v>
      </c>
      <c r="H10" t="s">
        <v>57</v>
      </c>
      <c r="I10">
        <v>35</v>
      </c>
      <c r="K10" t="s">
        <v>872</v>
      </c>
      <c r="L10">
        <v>15</v>
      </c>
      <c r="M10">
        <v>0</v>
      </c>
    </row>
    <row r="11" spans="1:13">
      <c r="A11" t="s">
        <v>51</v>
      </c>
      <c r="B11">
        <v>1</v>
      </c>
      <c r="E11" s="100" t="s">
        <v>19</v>
      </c>
      <c r="F11" s="100">
        <v>1</v>
      </c>
      <c r="H11" t="s">
        <v>58</v>
      </c>
      <c r="I11">
        <v>9</v>
      </c>
      <c r="K11" t="s">
        <v>873</v>
      </c>
      <c r="L11">
        <v>1</v>
      </c>
      <c r="M11">
        <v>0</v>
      </c>
    </row>
    <row r="12" spans="1:13">
      <c r="A12" s="101" t="s">
        <v>59</v>
      </c>
      <c r="B12" s="101">
        <v>1</v>
      </c>
      <c r="C12" s="101">
        <v>0</v>
      </c>
      <c r="E12" t="s">
        <v>344</v>
      </c>
      <c r="F12">
        <v>1</v>
      </c>
      <c r="H12" t="s">
        <v>45</v>
      </c>
      <c r="I12">
        <v>1</v>
      </c>
      <c r="K12" s="101" t="s">
        <v>874</v>
      </c>
      <c r="L12" s="101">
        <v>17</v>
      </c>
      <c r="M12" s="101">
        <v>14</v>
      </c>
    </row>
    <row r="13" spans="1:13">
      <c r="A13" t="s">
        <v>335</v>
      </c>
      <c r="B13">
        <v>1</v>
      </c>
      <c r="E13" s="100" t="s">
        <v>22</v>
      </c>
      <c r="F13" s="100">
        <v>16</v>
      </c>
      <c r="H13" t="s">
        <v>71</v>
      </c>
      <c r="I13">
        <v>1</v>
      </c>
      <c r="K13" t="s">
        <v>875</v>
      </c>
      <c r="L13">
        <v>2</v>
      </c>
      <c r="M13">
        <v>0</v>
      </c>
    </row>
    <row r="14" spans="1:13">
      <c r="A14" t="s">
        <v>41</v>
      </c>
      <c r="B14">
        <v>3</v>
      </c>
      <c r="E14" t="s">
        <v>821</v>
      </c>
      <c r="F14">
        <v>1</v>
      </c>
      <c r="H14" t="s">
        <v>74</v>
      </c>
      <c r="I14">
        <v>1</v>
      </c>
      <c r="K14" t="s">
        <v>876</v>
      </c>
      <c r="L14">
        <v>3</v>
      </c>
      <c r="M14">
        <v>3</v>
      </c>
    </row>
    <row r="15" spans="1:13">
      <c r="A15" t="s">
        <v>47</v>
      </c>
      <c r="B15">
        <v>1</v>
      </c>
      <c r="E15" t="s">
        <v>350</v>
      </c>
      <c r="F15">
        <v>3</v>
      </c>
      <c r="H15" t="s">
        <v>68</v>
      </c>
      <c r="I15">
        <v>2</v>
      </c>
    </row>
    <row r="16" spans="1:13">
      <c r="A16" s="101" t="s">
        <v>56</v>
      </c>
      <c r="B16">
        <v>23</v>
      </c>
      <c r="E16" t="s">
        <v>324</v>
      </c>
      <c r="F16">
        <v>3</v>
      </c>
      <c r="H16" t="s">
        <v>80</v>
      </c>
      <c r="I16">
        <v>2</v>
      </c>
    </row>
    <row r="17" spans="1:9">
      <c r="A17" t="s">
        <v>514</v>
      </c>
      <c r="B17">
        <v>1</v>
      </c>
      <c r="E17" t="s">
        <v>414</v>
      </c>
      <c r="F17">
        <v>1</v>
      </c>
      <c r="H17" t="s">
        <v>85</v>
      </c>
      <c r="I17">
        <v>3</v>
      </c>
    </row>
    <row r="18" spans="1:9">
      <c r="A18" t="s">
        <v>304</v>
      </c>
      <c r="B18">
        <v>7</v>
      </c>
      <c r="E18" t="s">
        <v>417</v>
      </c>
      <c r="F18">
        <v>1</v>
      </c>
      <c r="H18" t="s">
        <v>77</v>
      </c>
      <c r="I18">
        <v>2</v>
      </c>
    </row>
    <row r="19" spans="1:9">
      <c r="A19" s="83" t="s">
        <v>567</v>
      </c>
      <c r="B19">
        <v>1</v>
      </c>
      <c r="E19" t="s">
        <v>385</v>
      </c>
      <c r="F19">
        <v>1</v>
      </c>
      <c r="H19" t="s">
        <v>81</v>
      </c>
      <c r="I19">
        <v>1</v>
      </c>
    </row>
    <row r="20" spans="1:9">
      <c r="A20" t="s">
        <v>52</v>
      </c>
      <c r="B20">
        <v>1</v>
      </c>
      <c r="E20" t="s">
        <v>387</v>
      </c>
      <c r="F20">
        <v>1</v>
      </c>
      <c r="H20" t="s">
        <v>78</v>
      </c>
      <c r="I20">
        <v>2</v>
      </c>
    </row>
    <row r="21" spans="1:9">
      <c r="A21" s="101" t="s">
        <v>60</v>
      </c>
      <c r="B21">
        <v>1</v>
      </c>
      <c r="C21">
        <v>1</v>
      </c>
      <c r="E21" t="s">
        <v>328</v>
      </c>
      <c r="F21">
        <v>1</v>
      </c>
      <c r="H21" t="s">
        <v>79</v>
      </c>
      <c r="I21">
        <v>7</v>
      </c>
    </row>
    <row r="22" spans="1:9">
      <c r="A22" t="s">
        <v>43</v>
      </c>
      <c r="B22">
        <v>7</v>
      </c>
      <c r="E22" t="s">
        <v>367</v>
      </c>
      <c r="F22">
        <v>1</v>
      </c>
      <c r="H22" t="s">
        <v>877</v>
      </c>
    </row>
    <row r="23" spans="1:9">
      <c r="A23" t="s">
        <v>49</v>
      </c>
      <c r="B23">
        <v>1</v>
      </c>
      <c r="E23" t="s">
        <v>400</v>
      </c>
      <c r="F23">
        <v>1</v>
      </c>
    </row>
    <row r="24" spans="1:9">
      <c r="A24" s="101" t="s">
        <v>57</v>
      </c>
      <c r="B24">
        <v>40</v>
      </c>
      <c r="E24" t="s">
        <v>375</v>
      </c>
      <c r="F24">
        <v>1</v>
      </c>
    </row>
    <row r="25" spans="1:9">
      <c r="A25" t="s">
        <v>466</v>
      </c>
      <c r="B25">
        <v>7</v>
      </c>
      <c r="E25" t="s">
        <v>791</v>
      </c>
      <c r="F25">
        <v>1</v>
      </c>
    </row>
    <row r="26" spans="1:9">
      <c r="A26" t="s">
        <v>289</v>
      </c>
      <c r="B26">
        <v>5</v>
      </c>
      <c r="E26" s="100" t="s">
        <v>345</v>
      </c>
      <c r="F26" s="100">
        <v>2</v>
      </c>
    </row>
    <row r="27" spans="1:9">
      <c r="A27" t="s">
        <v>50</v>
      </c>
      <c r="B27">
        <v>2</v>
      </c>
      <c r="E27" s="83" t="s">
        <v>407</v>
      </c>
      <c r="F27">
        <v>1</v>
      </c>
    </row>
    <row r="28" spans="1:9">
      <c r="A28" s="101" t="s">
        <v>58</v>
      </c>
      <c r="B28">
        <v>10</v>
      </c>
      <c r="C28">
        <v>3</v>
      </c>
      <c r="E28" s="83" t="s">
        <v>347</v>
      </c>
      <c r="F28">
        <v>1</v>
      </c>
    </row>
    <row r="29" spans="1:9">
      <c r="A29" t="s">
        <v>340</v>
      </c>
      <c r="B29">
        <v>4</v>
      </c>
      <c r="E29" s="100" t="s">
        <v>431</v>
      </c>
      <c r="F29" s="100">
        <v>7</v>
      </c>
    </row>
    <row r="30" spans="1:9">
      <c r="A30" t="s">
        <v>379</v>
      </c>
      <c r="B30">
        <v>1</v>
      </c>
      <c r="E30" t="s">
        <v>422</v>
      </c>
      <c r="F30">
        <v>1</v>
      </c>
    </row>
    <row r="31" spans="1:9">
      <c r="A31" t="s">
        <v>852</v>
      </c>
      <c r="B31">
        <v>1</v>
      </c>
      <c r="E31" t="s">
        <v>809</v>
      </c>
      <c r="F31">
        <v>1</v>
      </c>
    </row>
    <row r="32" spans="1:9">
      <c r="A32" t="s">
        <v>155</v>
      </c>
      <c r="B32">
        <v>4</v>
      </c>
      <c r="E32" t="s">
        <v>430</v>
      </c>
      <c r="F32">
        <v>1</v>
      </c>
    </row>
    <row r="33" spans="1:6">
      <c r="A33" t="s">
        <v>71</v>
      </c>
      <c r="B33">
        <v>1</v>
      </c>
      <c r="E33" t="s">
        <v>313</v>
      </c>
      <c r="F33">
        <v>2</v>
      </c>
    </row>
    <row r="34" spans="1:6">
      <c r="A34" t="s">
        <v>624</v>
      </c>
      <c r="B34">
        <v>1</v>
      </c>
      <c r="E34" t="s">
        <v>316</v>
      </c>
      <c r="F34">
        <v>1</v>
      </c>
    </row>
    <row r="35" spans="1:6">
      <c r="A35" t="s">
        <v>649</v>
      </c>
      <c r="B35">
        <v>6</v>
      </c>
      <c r="E35" t="s">
        <v>375</v>
      </c>
      <c r="F35">
        <v>1</v>
      </c>
    </row>
    <row r="36" spans="1:6">
      <c r="A36" t="s">
        <v>74</v>
      </c>
      <c r="B36">
        <v>1</v>
      </c>
      <c r="E36" s="100" t="s">
        <v>830</v>
      </c>
      <c r="F36" s="100">
        <v>2</v>
      </c>
    </row>
    <row r="37" spans="1:6">
      <c r="A37" t="s">
        <v>639</v>
      </c>
      <c r="B37">
        <v>3</v>
      </c>
      <c r="E37" s="83" t="s">
        <v>829</v>
      </c>
      <c r="F37">
        <v>2</v>
      </c>
    </row>
    <row r="38" spans="1:6">
      <c r="A38" t="s">
        <v>655</v>
      </c>
      <c r="B38">
        <v>1</v>
      </c>
      <c r="E38" s="100" t="s">
        <v>51</v>
      </c>
      <c r="F38" s="100">
        <v>1</v>
      </c>
    </row>
    <row r="39" spans="1:6">
      <c r="A39" t="s">
        <v>675</v>
      </c>
      <c r="B39">
        <v>1</v>
      </c>
      <c r="E39" s="83" t="s">
        <v>484</v>
      </c>
      <c r="F39">
        <v>1</v>
      </c>
    </row>
    <row r="40" spans="1:6">
      <c r="A40" t="s">
        <v>68</v>
      </c>
      <c r="B40">
        <v>2</v>
      </c>
      <c r="E40" s="100" t="s">
        <v>59</v>
      </c>
      <c r="F40" s="100">
        <v>1</v>
      </c>
    </row>
    <row r="41" spans="1:6">
      <c r="A41" t="s">
        <v>500</v>
      </c>
      <c r="B41">
        <v>4</v>
      </c>
      <c r="E41" t="s">
        <v>316</v>
      </c>
      <c r="F41">
        <v>1</v>
      </c>
    </row>
    <row r="42" spans="1:6">
      <c r="A42" t="s">
        <v>80</v>
      </c>
      <c r="B42">
        <v>2</v>
      </c>
      <c r="E42" s="100" t="s">
        <v>335</v>
      </c>
      <c r="F42" s="100">
        <v>1</v>
      </c>
    </row>
    <row r="43" spans="1:6">
      <c r="A43" t="s">
        <v>824</v>
      </c>
      <c r="B43">
        <v>2</v>
      </c>
      <c r="E43" s="83" t="s">
        <v>334</v>
      </c>
      <c r="F43">
        <v>1</v>
      </c>
    </row>
    <row r="44" spans="1:6">
      <c r="A44" t="s">
        <v>85</v>
      </c>
      <c r="B44">
        <v>3</v>
      </c>
      <c r="E44" s="100" t="s">
        <v>41</v>
      </c>
      <c r="F44" s="100">
        <v>3</v>
      </c>
    </row>
    <row r="45" spans="1:6">
      <c r="A45" t="s">
        <v>77</v>
      </c>
      <c r="B45">
        <v>2</v>
      </c>
      <c r="E45" s="83" t="s">
        <v>527</v>
      </c>
      <c r="F45">
        <v>3</v>
      </c>
    </row>
    <row r="46" spans="1:6">
      <c r="A46" t="s">
        <v>81</v>
      </c>
      <c r="B46">
        <v>3</v>
      </c>
      <c r="E46" s="100" t="s">
        <v>47</v>
      </c>
      <c r="F46" s="100">
        <v>1</v>
      </c>
    </row>
    <row r="47" spans="1:6">
      <c r="A47" t="s">
        <v>78</v>
      </c>
      <c r="B47">
        <v>2</v>
      </c>
      <c r="E47" s="83" t="s">
        <v>283</v>
      </c>
      <c r="F47">
        <v>1</v>
      </c>
    </row>
    <row r="48" spans="1:6">
      <c r="A48" t="s">
        <v>79</v>
      </c>
      <c r="B48">
        <v>8</v>
      </c>
      <c r="E48" s="100" t="s">
        <v>56</v>
      </c>
      <c r="F48" s="100">
        <v>23</v>
      </c>
    </row>
    <row r="49" spans="1:6">
      <c r="A49" t="s">
        <v>877</v>
      </c>
      <c r="B49">
        <v>199</v>
      </c>
      <c r="E49" t="s">
        <v>434</v>
      </c>
      <c r="F49">
        <v>2</v>
      </c>
    </row>
    <row r="50" spans="1:6">
      <c r="E50" t="s">
        <v>463</v>
      </c>
      <c r="F50">
        <v>1</v>
      </c>
    </row>
    <row r="51" spans="1:6">
      <c r="E51" t="s">
        <v>461</v>
      </c>
      <c r="F51">
        <v>1</v>
      </c>
    </row>
    <row r="52" spans="1:6">
      <c r="E52" t="s">
        <v>556</v>
      </c>
      <c r="F52">
        <v>1</v>
      </c>
    </row>
    <row r="53" spans="1:6">
      <c r="E53" t="s">
        <v>468</v>
      </c>
      <c r="F53">
        <v>1</v>
      </c>
    </row>
    <row r="54" spans="1:6">
      <c r="E54" t="s">
        <v>668</v>
      </c>
      <c r="F54">
        <v>1</v>
      </c>
    </row>
    <row r="55" spans="1:6">
      <c r="E55" t="s">
        <v>477</v>
      </c>
      <c r="F55">
        <v>5</v>
      </c>
    </row>
    <row r="56" spans="1:6">
      <c r="E56" t="s">
        <v>803</v>
      </c>
      <c r="F56">
        <v>1</v>
      </c>
    </row>
    <row r="57" spans="1:6">
      <c r="E57" t="s">
        <v>480</v>
      </c>
      <c r="F57">
        <v>5</v>
      </c>
    </row>
    <row r="58" spans="1:6">
      <c r="E58" t="s">
        <v>482</v>
      </c>
      <c r="F58">
        <v>1</v>
      </c>
    </row>
    <row r="59" spans="1:6">
      <c r="E59" t="s">
        <v>503</v>
      </c>
      <c r="F59">
        <v>1</v>
      </c>
    </row>
    <row r="60" spans="1:6">
      <c r="E60" t="s">
        <v>313</v>
      </c>
      <c r="F60">
        <v>1</v>
      </c>
    </row>
    <row r="61" spans="1:6">
      <c r="E61" t="s">
        <v>678</v>
      </c>
      <c r="F61">
        <v>1</v>
      </c>
    </row>
    <row r="62" spans="1:6">
      <c r="E62" t="s">
        <v>330</v>
      </c>
      <c r="F62">
        <v>1</v>
      </c>
    </row>
    <row r="63" spans="1:6">
      <c r="E63" s="100" t="s">
        <v>514</v>
      </c>
      <c r="F63" s="100">
        <v>1</v>
      </c>
    </row>
    <row r="64" spans="1:6">
      <c r="E64" s="83" t="s">
        <v>482</v>
      </c>
      <c r="F64">
        <v>1</v>
      </c>
    </row>
    <row r="65" spans="5:6">
      <c r="E65" s="100" t="s">
        <v>304</v>
      </c>
      <c r="F65" s="100">
        <v>7</v>
      </c>
    </row>
    <row r="66" spans="5:6">
      <c r="E66" s="83" t="s">
        <v>422</v>
      </c>
      <c r="F66">
        <v>1</v>
      </c>
    </row>
    <row r="67" spans="5:6">
      <c r="E67" s="83" t="s">
        <v>303</v>
      </c>
      <c r="F67">
        <v>2</v>
      </c>
    </row>
    <row r="68" spans="5:6">
      <c r="E68" s="83" t="s">
        <v>306</v>
      </c>
      <c r="F68">
        <v>2</v>
      </c>
    </row>
    <row r="69" spans="5:6">
      <c r="E69" s="83" t="s">
        <v>407</v>
      </c>
      <c r="F69">
        <v>1</v>
      </c>
    </row>
    <row r="70" spans="5:6">
      <c r="E70" s="83" t="s">
        <v>441</v>
      </c>
      <c r="F70">
        <v>1</v>
      </c>
    </row>
    <row r="71" spans="5:6">
      <c r="E71" s="100" t="s">
        <v>567</v>
      </c>
      <c r="F71" s="100">
        <v>1</v>
      </c>
    </row>
    <row r="72" spans="5:6">
      <c r="E72" s="83" t="s">
        <v>566</v>
      </c>
      <c r="F72">
        <v>1</v>
      </c>
    </row>
    <row r="73" spans="5:6">
      <c r="E73" s="100" t="s">
        <v>52</v>
      </c>
      <c r="F73" s="100">
        <v>1</v>
      </c>
    </row>
    <row r="74" spans="5:6">
      <c r="E74" s="83" t="s">
        <v>484</v>
      </c>
      <c r="F74">
        <v>1</v>
      </c>
    </row>
    <row r="75" spans="5:6">
      <c r="E75" s="100" t="s">
        <v>60</v>
      </c>
      <c r="F75" s="100">
        <v>1</v>
      </c>
    </row>
    <row r="76" spans="5:6">
      <c r="E76" t="s">
        <v>673</v>
      </c>
      <c r="F76">
        <v>1</v>
      </c>
    </row>
    <row r="77" spans="5:6">
      <c r="E77" s="100" t="s">
        <v>43</v>
      </c>
      <c r="F77" s="100">
        <v>7</v>
      </c>
    </row>
    <row r="78" spans="5:6">
      <c r="E78" s="83" t="s">
        <v>285</v>
      </c>
      <c r="F78">
        <v>2</v>
      </c>
    </row>
    <row r="79" spans="5:6">
      <c r="E79" s="83" t="s">
        <v>486</v>
      </c>
      <c r="F79">
        <v>1</v>
      </c>
    </row>
    <row r="80" spans="5:6">
      <c r="E80" s="83" t="s">
        <v>496</v>
      </c>
      <c r="F80">
        <v>3</v>
      </c>
    </row>
    <row r="81" spans="5:17">
      <c r="E81" s="83" t="s">
        <v>308</v>
      </c>
      <c r="F81">
        <v>1</v>
      </c>
    </row>
    <row r="82" spans="5:17">
      <c r="E82" s="100" t="s">
        <v>49</v>
      </c>
      <c r="F82" s="100">
        <v>1</v>
      </c>
    </row>
    <row r="83" spans="5:17">
      <c r="E83" s="83" t="s">
        <v>283</v>
      </c>
      <c r="F83">
        <v>1</v>
      </c>
    </row>
    <row r="84" spans="5:17">
      <c r="E84" s="100" t="s">
        <v>57</v>
      </c>
      <c r="F84" s="100">
        <v>40</v>
      </c>
    </row>
    <row r="85" spans="5:17">
      <c r="E85" t="s">
        <v>550</v>
      </c>
      <c r="F85">
        <v>1</v>
      </c>
    </row>
    <row r="86" spans="5:17">
      <c r="E86" t="s">
        <v>350</v>
      </c>
      <c r="F86">
        <v>1</v>
      </c>
    </row>
    <row r="87" spans="5:17">
      <c r="E87" t="s">
        <v>575</v>
      </c>
      <c r="F87">
        <v>1</v>
      </c>
    </row>
    <row r="88" spans="5:17">
      <c r="E88" t="s">
        <v>419</v>
      </c>
      <c r="F88">
        <v>1</v>
      </c>
    </row>
    <row r="89" spans="5:17">
      <c r="E89" t="s">
        <v>448</v>
      </c>
      <c r="F89">
        <v>1</v>
      </c>
    </row>
    <row r="90" spans="5:17">
      <c r="E90" t="s">
        <v>426</v>
      </c>
      <c r="F90">
        <v>1</v>
      </c>
    </row>
    <row r="91" spans="5:17">
      <c r="E91" t="s">
        <v>428</v>
      </c>
      <c r="F91">
        <v>1</v>
      </c>
      <c r="Q91">
        <v>420</v>
      </c>
    </row>
    <row r="92" spans="5:17">
      <c r="E92" t="s">
        <v>414</v>
      </c>
      <c r="F92">
        <v>1</v>
      </c>
    </row>
    <row r="93" spans="5:17">
      <c r="E93" t="s">
        <v>417</v>
      </c>
      <c r="F93">
        <v>1</v>
      </c>
    </row>
    <row r="94" spans="5:17">
      <c r="E94" t="s">
        <v>450</v>
      </c>
      <c r="F94">
        <v>2</v>
      </c>
    </row>
    <row r="95" spans="5:17">
      <c r="E95" t="s">
        <v>430</v>
      </c>
      <c r="F95">
        <v>1</v>
      </c>
    </row>
    <row r="96" spans="5:17">
      <c r="E96" t="s">
        <v>470</v>
      </c>
      <c r="F96">
        <v>1</v>
      </c>
    </row>
    <row r="97" spans="5:6">
      <c r="E97" t="s">
        <v>489</v>
      </c>
      <c r="F97">
        <v>1</v>
      </c>
    </row>
    <row r="98" spans="5:6">
      <c r="E98" t="s">
        <v>493</v>
      </c>
      <c r="F98">
        <v>1</v>
      </c>
    </row>
    <row r="99" spans="5:6">
      <c r="E99" t="s">
        <v>292</v>
      </c>
      <c r="F99">
        <v>1</v>
      </c>
    </row>
    <row r="100" spans="5:6">
      <c r="E100" t="s">
        <v>301</v>
      </c>
      <c r="F100">
        <v>1</v>
      </c>
    </row>
    <row r="101" spans="5:6">
      <c r="E101" t="s">
        <v>436</v>
      </c>
      <c r="F101">
        <v>1</v>
      </c>
    </row>
    <row r="102" spans="5:6">
      <c r="E102" t="s">
        <v>579</v>
      </c>
      <c r="F102">
        <v>6</v>
      </c>
    </row>
    <row r="103" spans="5:6">
      <c r="E103" t="s">
        <v>459</v>
      </c>
      <c r="F103">
        <v>1</v>
      </c>
    </row>
    <row r="104" spans="5:6">
      <c r="E104" t="s">
        <v>560</v>
      </c>
      <c r="F104">
        <v>2</v>
      </c>
    </row>
    <row r="105" spans="5:6">
      <c r="E105" t="s">
        <v>330</v>
      </c>
      <c r="F105">
        <v>1</v>
      </c>
    </row>
    <row r="106" spans="5:6">
      <c r="E106" t="s">
        <v>547</v>
      </c>
      <c r="F106">
        <v>1</v>
      </c>
    </row>
    <row r="107" spans="5:6">
      <c r="E107" t="s">
        <v>319</v>
      </c>
      <c r="F107">
        <v>3</v>
      </c>
    </row>
    <row r="108" spans="5:6">
      <c r="E108" t="s">
        <v>389</v>
      </c>
      <c r="F108">
        <v>5</v>
      </c>
    </row>
    <row r="109" spans="5:6">
      <c r="E109" t="s">
        <v>791</v>
      </c>
      <c r="F109">
        <v>1</v>
      </c>
    </row>
    <row r="110" spans="5:6">
      <c r="E110" t="s">
        <v>294</v>
      </c>
      <c r="F110">
        <v>2</v>
      </c>
    </row>
    <row r="111" spans="5:6">
      <c r="E111" s="100" t="s">
        <v>466</v>
      </c>
      <c r="F111" s="100">
        <v>7</v>
      </c>
    </row>
    <row r="112" spans="5:6">
      <c r="E112" s="83" t="s">
        <v>616</v>
      </c>
      <c r="F112">
        <v>1</v>
      </c>
    </row>
    <row r="113" spans="5:6">
      <c r="E113" s="83" t="s">
        <v>465</v>
      </c>
      <c r="F113">
        <v>1</v>
      </c>
    </row>
    <row r="114" spans="5:6">
      <c r="E114" s="83" t="s">
        <v>538</v>
      </c>
      <c r="F114">
        <v>5</v>
      </c>
    </row>
    <row r="115" spans="5:6">
      <c r="E115" s="100" t="s">
        <v>289</v>
      </c>
      <c r="F115" s="100">
        <v>5</v>
      </c>
    </row>
    <row r="116" spans="5:6">
      <c r="E116" s="83" t="s">
        <v>407</v>
      </c>
      <c r="F116">
        <v>1</v>
      </c>
    </row>
    <row r="117" spans="5:6">
      <c r="E117" s="83" t="s">
        <v>660</v>
      </c>
      <c r="F117">
        <v>1</v>
      </c>
    </row>
    <row r="118" spans="5:6">
      <c r="E118" s="83" t="s">
        <v>287</v>
      </c>
      <c r="F118">
        <v>3</v>
      </c>
    </row>
    <row r="119" spans="5:6">
      <c r="E119" s="100" t="s">
        <v>50</v>
      </c>
      <c r="F119" s="100">
        <v>2</v>
      </c>
    </row>
    <row r="120" spans="5:6">
      <c r="E120" s="83" t="s">
        <v>332</v>
      </c>
      <c r="F120">
        <v>1</v>
      </c>
    </row>
    <row r="121" spans="5:6">
      <c r="E121" s="83" t="s">
        <v>337</v>
      </c>
      <c r="F121">
        <v>1</v>
      </c>
    </row>
    <row r="122" spans="5:6">
      <c r="E122" s="100" t="s">
        <v>58</v>
      </c>
      <c r="F122" s="100">
        <v>10</v>
      </c>
    </row>
    <row r="123" spans="5:6">
      <c r="E123" t="s">
        <v>473</v>
      </c>
      <c r="F123">
        <v>1</v>
      </c>
    </row>
    <row r="124" spans="5:6">
      <c r="E124" t="s">
        <v>424</v>
      </c>
      <c r="F124">
        <v>1</v>
      </c>
    </row>
    <row r="125" spans="5:6">
      <c r="E125" t="s">
        <v>438</v>
      </c>
      <c r="F125">
        <v>1</v>
      </c>
    </row>
    <row r="126" spans="5:6">
      <c r="E126" t="s">
        <v>369</v>
      </c>
      <c r="F126">
        <v>1</v>
      </c>
    </row>
    <row r="127" spans="5:6">
      <c r="E127" t="s">
        <v>404</v>
      </c>
      <c r="F127">
        <v>1</v>
      </c>
    </row>
    <row r="128" spans="5:6">
      <c r="E128" t="s">
        <v>781</v>
      </c>
      <c r="F128">
        <v>2</v>
      </c>
    </row>
    <row r="129" spans="5:6">
      <c r="E129" t="s">
        <v>786</v>
      </c>
      <c r="F129">
        <v>2</v>
      </c>
    </row>
    <row r="130" spans="5:6">
      <c r="E130" t="s">
        <v>791</v>
      </c>
      <c r="F130">
        <v>1</v>
      </c>
    </row>
    <row r="131" spans="5:6">
      <c r="E131" s="100" t="s">
        <v>340</v>
      </c>
      <c r="F131" s="100">
        <v>4</v>
      </c>
    </row>
    <row r="132" spans="5:6">
      <c r="E132" s="83" t="s">
        <v>339</v>
      </c>
      <c r="F132">
        <v>1</v>
      </c>
    </row>
    <row r="133" spans="5:6">
      <c r="E133" s="83" t="s">
        <v>475</v>
      </c>
      <c r="F133">
        <v>1</v>
      </c>
    </row>
    <row r="134" spans="5:6">
      <c r="E134" s="83" t="s">
        <v>835</v>
      </c>
      <c r="F134">
        <v>2</v>
      </c>
    </row>
    <row r="135" spans="5:6">
      <c r="E135" s="100" t="s">
        <v>379</v>
      </c>
      <c r="F135" s="100">
        <v>1</v>
      </c>
    </row>
    <row r="136" spans="5:6">
      <c r="E136" s="83" t="s">
        <v>375</v>
      </c>
      <c r="F136">
        <v>1</v>
      </c>
    </row>
    <row r="137" spans="5:6">
      <c r="E137" s="100" t="s">
        <v>852</v>
      </c>
      <c r="F137" s="100">
        <v>1</v>
      </c>
    </row>
    <row r="138" spans="5:6">
      <c r="E138" s="83" t="s">
        <v>851</v>
      </c>
      <c r="F138">
        <v>1</v>
      </c>
    </row>
    <row r="139" spans="5:6">
      <c r="E139" s="100" t="s">
        <v>155</v>
      </c>
      <c r="F139" s="100">
        <v>4</v>
      </c>
    </row>
    <row r="140" spans="5:6">
      <c r="E140" s="83" t="s">
        <v>419</v>
      </c>
      <c r="F140">
        <v>2</v>
      </c>
    </row>
    <row r="141" spans="5:6">
      <c r="E141" s="83" t="s">
        <v>448</v>
      </c>
      <c r="F141">
        <v>2</v>
      </c>
    </row>
    <row r="142" spans="5:6">
      <c r="E142" s="100" t="s">
        <v>71</v>
      </c>
      <c r="F142" s="100">
        <v>1</v>
      </c>
    </row>
    <row r="143" spans="5:6">
      <c r="E143" t="s">
        <v>452</v>
      </c>
      <c r="F143">
        <v>1</v>
      </c>
    </row>
    <row r="144" spans="5:6">
      <c r="E144" s="100" t="s">
        <v>624</v>
      </c>
      <c r="F144" s="100">
        <v>1</v>
      </c>
    </row>
    <row r="145" spans="5:6">
      <c r="E145" s="83" t="s">
        <v>623</v>
      </c>
      <c r="F145">
        <v>1</v>
      </c>
    </row>
    <row r="146" spans="5:6">
      <c r="E146" s="100" t="s">
        <v>649</v>
      </c>
      <c r="F146" s="100">
        <v>6</v>
      </c>
    </row>
    <row r="147" spans="5:6">
      <c r="E147" s="83" t="s">
        <v>629</v>
      </c>
      <c r="F147">
        <v>2</v>
      </c>
    </row>
    <row r="148" spans="5:6">
      <c r="E148" s="83" t="s">
        <v>620</v>
      </c>
      <c r="F148">
        <v>2</v>
      </c>
    </row>
    <row r="149" spans="5:6">
      <c r="E149" s="83" t="s">
        <v>658</v>
      </c>
      <c r="F149">
        <v>2</v>
      </c>
    </row>
    <row r="150" spans="5:6">
      <c r="E150" s="100" t="s">
        <v>74</v>
      </c>
      <c r="F150" s="100">
        <v>1</v>
      </c>
    </row>
    <row r="151" spans="5:6">
      <c r="E151" t="s">
        <v>632</v>
      </c>
      <c r="F151">
        <v>1</v>
      </c>
    </row>
    <row r="152" spans="5:6">
      <c r="E152" s="100" t="s">
        <v>639</v>
      </c>
      <c r="F152" s="100">
        <v>3</v>
      </c>
    </row>
    <row r="153" spans="5:6">
      <c r="E153" s="83" t="s">
        <v>638</v>
      </c>
      <c r="F153">
        <v>2</v>
      </c>
    </row>
    <row r="154" spans="5:6">
      <c r="E154" s="83" t="s">
        <v>632</v>
      </c>
      <c r="F154">
        <v>1</v>
      </c>
    </row>
    <row r="155" spans="5:6">
      <c r="E155" s="100" t="s">
        <v>655</v>
      </c>
      <c r="F155" s="100">
        <v>1</v>
      </c>
    </row>
    <row r="156" spans="5:6">
      <c r="E156" s="83" t="s">
        <v>632</v>
      </c>
      <c r="F156">
        <v>1</v>
      </c>
    </row>
    <row r="157" spans="5:6">
      <c r="E157" s="100" t="s">
        <v>675</v>
      </c>
      <c r="F157" s="100">
        <v>1</v>
      </c>
    </row>
    <row r="158" spans="5:6">
      <c r="E158" s="83" t="s">
        <v>638</v>
      </c>
      <c r="F158">
        <v>1</v>
      </c>
    </row>
    <row r="159" spans="5:6">
      <c r="E159" s="100" t="s">
        <v>68</v>
      </c>
      <c r="F159" s="100">
        <v>2</v>
      </c>
    </row>
    <row r="160" spans="5:6">
      <c r="E160" t="s">
        <v>414</v>
      </c>
      <c r="F160">
        <v>1</v>
      </c>
    </row>
    <row r="161" spans="5:6">
      <c r="E161" t="s">
        <v>645</v>
      </c>
      <c r="F161">
        <v>1</v>
      </c>
    </row>
    <row r="162" spans="5:6">
      <c r="E162" s="100" t="s">
        <v>500</v>
      </c>
      <c r="F162" s="100">
        <v>4</v>
      </c>
    </row>
    <row r="163" spans="5:6">
      <c r="E163" s="83" t="s">
        <v>499</v>
      </c>
      <c r="F163">
        <v>2</v>
      </c>
    </row>
    <row r="164" spans="5:6">
      <c r="E164" s="83" t="s">
        <v>629</v>
      </c>
      <c r="F164">
        <v>1</v>
      </c>
    </row>
    <row r="165" spans="5:6">
      <c r="E165" s="83" t="s">
        <v>620</v>
      </c>
      <c r="F165">
        <v>1</v>
      </c>
    </row>
    <row r="166" spans="5:6">
      <c r="E166" s="100" t="s">
        <v>80</v>
      </c>
      <c r="F166" s="100">
        <v>2</v>
      </c>
    </row>
    <row r="167" spans="5:6">
      <c r="E167" t="s">
        <v>274</v>
      </c>
      <c r="F167">
        <v>1</v>
      </c>
    </row>
    <row r="168" spans="5:6">
      <c r="E168" t="s">
        <v>626</v>
      </c>
      <c r="F168">
        <v>1</v>
      </c>
    </row>
    <row r="169" spans="5:6">
      <c r="E169" s="100" t="s">
        <v>824</v>
      </c>
      <c r="F169" s="100">
        <v>2</v>
      </c>
    </row>
    <row r="170" spans="5:6">
      <c r="E170" s="83" t="s">
        <v>823</v>
      </c>
      <c r="F170">
        <v>2</v>
      </c>
    </row>
    <row r="171" spans="5:6">
      <c r="E171" s="100" t="s">
        <v>85</v>
      </c>
      <c r="F171" s="100">
        <v>3</v>
      </c>
    </row>
    <row r="172" spans="5:6">
      <c r="E172" s="83" t="s">
        <v>350</v>
      </c>
      <c r="F172">
        <v>1</v>
      </c>
    </row>
    <row r="173" spans="5:6">
      <c r="E173" s="83" t="s">
        <v>854</v>
      </c>
      <c r="F173">
        <v>2</v>
      </c>
    </row>
    <row r="174" spans="5:6">
      <c r="E174" s="100" t="s">
        <v>77</v>
      </c>
      <c r="F174" s="100">
        <v>2</v>
      </c>
    </row>
    <row r="175" spans="5:6">
      <c r="E175" t="s">
        <v>446</v>
      </c>
      <c r="F175">
        <v>1</v>
      </c>
    </row>
    <row r="176" spans="5:6">
      <c r="E176" t="s">
        <v>330</v>
      </c>
      <c r="F176">
        <v>1</v>
      </c>
    </row>
    <row r="177" spans="5:6">
      <c r="E177" s="100" t="s">
        <v>81</v>
      </c>
      <c r="F177" s="100">
        <v>3</v>
      </c>
    </row>
    <row r="178" spans="5:6">
      <c r="E178" t="s">
        <v>274</v>
      </c>
      <c r="F178">
        <v>1</v>
      </c>
    </row>
    <row r="179" spans="5:6">
      <c r="E179" t="s">
        <v>626</v>
      </c>
      <c r="F179">
        <v>2</v>
      </c>
    </row>
    <row r="180" spans="5:6">
      <c r="E180" s="100" t="s">
        <v>78</v>
      </c>
      <c r="F180" s="100">
        <v>2</v>
      </c>
    </row>
    <row r="181" spans="5:6">
      <c r="E181" t="s">
        <v>342</v>
      </c>
      <c r="F181">
        <v>1</v>
      </c>
    </row>
    <row r="182" spans="5:6">
      <c r="E182" t="s">
        <v>372</v>
      </c>
      <c r="F182">
        <v>1</v>
      </c>
    </row>
    <row r="183" spans="5:6">
      <c r="E183" s="100" t="s">
        <v>79</v>
      </c>
      <c r="F183" s="100">
        <v>8</v>
      </c>
    </row>
    <row r="184" spans="5:6">
      <c r="E184" t="s">
        <v>535</v>
      </c>
      <c r="F184">
        <v>1</v>
      </c>
    </row>
    <row r="185" spans="5:6">
      <c r="E185" t="s">
        <v>316</v>
      </c>
      <c r="F185">
        <v>6</v>
      </c>
    </row>
    <row r="186" spans="5:6">
      <c r="E186" t="s">
        <v>372</v>
      </c>
      <c r="F186">
        <v>1</v>
      </c>
    </row>
    <row r="187" spans="5:6">
      <c r="E187" s="100" t="s">
        <v>877</v>
      </c>
      <c r="F187" s="100">
        <v>199</v>
      </c>
    </row>
  </sheetData>
  <pageMargins left="0.7" right="0.7" top="0.75" bottom="0.75" header="0.3" footer="0.3"/>
  <pageSetup paperSize="9" orientation="portrait"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AE27D-FEB5-4958-818D-57E2E2CA62B7}">
  <sheetPr codeName="Sheet7"/>
  <dimension ref="A1"/>
  <sheetViews>
    <sheetView workbookViewId="0">
      <selection activeCell="E12" sqref="E12"/>
    </sheetView>
  </sheetViews>
  <sheetFormatPr defaultRowHeight="14.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64D5B-E060-473C-B265-BE8D2236595B}">
  <sheetPr codeName="Sheet8"/>
  <dimension ref="A1:K144"/>
  <sheetViews>
    <sheetView workbookViewId="0">
      <pane ySplit="1" topLeftCell="A14" activePane="bottomLeft" state="frozen"/>
      <selection pane="bottomLeft" sqref="A1:A1048576"/>
    </sheetView>
  </sheetViews>
  <sheetFormatPr defaultRowHeight="14.5"/>
  <cols>
    <col min="1" max="1" width="15" bestFit="1" customWidth="1"/>
    <col min="2" max="2" width="47.54296875" bestFit="1" customWidth="1"/>
    <col min="3" max="3" width="6.1796875" bestFit="1" customWidth="1"/>
    <col min="4" max="4" width="12.7265625" bestFit="1" customWidth="1"/>
    <col min="5" max="5" width="22.1796875" bestFit="1" customWidth="1"/>
    <col min="6" max="6" width="56.26953125" bestFit="1" customWidth="1"/>
    <col min="7" max="7" width="30.7265625" bestFit="1" customWidth="1"/>
    <col min="8" max="9" width="34.453125" customWidth="1"/>
    <col min="10" max="10" width="34.7265625" bestFit="1" customWidth="1"/>
  </cols>
  <sheetData>
    <row r="1" spans="1:11" s="10" customFormat="1" ht="15" thickBot="1">
      <c r="A1" s="10" t="s">
        <v>878</v>
      </c>
      <c r="B1" s="154" t="s">
        <v>879</v>
      </c>
      <c r="C1" s="155" t="s">
        <v>880</v>
      </c>
      <c r="D1" s="155" t="s">
        <v>881</v>
      </c>
      <c r="E1" s="155" t="s">
        <v>882</v>
      </c>
      <c r="F1" s="155" t="s">
        <v>883</v>
      </c>
      <c r="G1" s="155" t="s">
        <v>884</v>
      </c>
      <c r="H1" s="155" t="s">
        <v>885</v>
      </c>
      <c r="I1" s="155" t="s">
        <v>886</v>
      </c>
      <c r="J1" s="155" t="s">
        <v>887</v>
      </c>
      <c r="K1" s="156" t="s">
        <v>888</v>
      </c>
    </row>
    <row r="2" spans="1:11">
      <c r="A2" t="str">
        <f>IFERROR(REPLACE(REPLACE(B2,FIND("Standard_",B2,1),9,""),FIND("_",REPLACE(B2,FIND("Standard_",B2,1),9,""),1),1," "),REPLACE(B2,FIND("Standard_",B2,1),9,""))</f>
        <v>A1 v2</v>
      </c>
      <c r="B2" s="126" t="s">
        <v>889</v>
      </c>
      <c r="C2" s="15">
        <v>1</v>
      </c>
      <c r="D2" s="15">
        <v>2</v>
      </c>
      <c r="E2" s="15">
        <v>10</v>
      </c>
      <c r="F2" s="15" t="s">
        <v>890</v>
      </c>
      <c r="G2" s="136">
        <v>2</v>
      </c>
      <c r="H2" s="15"/>
      <c r="I2" s="15">
        <v>1000</v>
      </c>
      <c r="J2" s="15">
        <v>2</v>
      </c>
      <c r="K2" s="16">
        <v>250</v>
      </c>
    </row>
    <row r="3" spans="1:11">
      <c r="A3" t="str">
        <f t="shared" ref="A3:A66" si="0">IFERROR(REPLACE(REPLACE(B3,FIND("Standard_",B3,1),9,""),FIND("_",REPLACE(B3,FIND("Standard_",B3,1),9,""),1),1," "),REPLACE(B3,FIND("Standard_",B3,1),9,""))</f>
        <v>A2 v2</v>
      </c>
      <c r="B3" s="127" t="s">
        <v>553</v>
      </c>
      <c r="C3" s="18">
        <v>2</v>
      </c>
      <c r="D3" s="18">
        <v>4</v>
      </c>
      <c r="E3" s="18">
        <v>20</v>
      </c>
      <c r="F3" s="18" t="s">
        <v>891</v>
      </c>
      <c r="G3" s="136">
        <v>4</v>
      </c>
      <c r="H3" s="18"/>
      <c r="I3" s="18">
        <v>2000</v>
      </c>
      <c r="J3" s="18">
        <v>2</v>
      </c>
      <c r="K3" s="19">
        <v>500</v>
      </c>
    </row>
    <row r="4" spans="1:11">
      <c r="A4" t="str">
        <f t="shared" si="0"/>
        <v>A4 v2</v>
      </c>
      <c r="B4" s="127" t="s">
        <v>892</v>
      </c>
      <c r="C4" s="18">
        <v>4</v>
      </c>
      <c r="D4" s="18">
        <v>8</v>
      </c>
      <c r="E4" s="18">
        <v>40</v>
      </c>
      <c r="F4" s="18" t="s">
        <v>893</v>
      </c>
      <c r="G4" s="136">
        <v>8</v>
      </c>
      <c r="H4" s="18"/>
      <c r="I4" s="18">
        <v>4000</v>
      </c>
      <c r="J4" s="18">
        <v>4</v>
      </c>
      <c r="K4" s="19">
        <v>1000</v>
      </c>
    </row>
    <row r="5" spans="1:11">
      <c r="A5" t="str">
        <f t="shared" si="0"/>
        <v>A8 v2</v>
      </c>
      <c r="B5" s="127" t="s">
        <v>894</v>
      </c>
      <c r="C5" s="18">
        <v>8</v>
      </c>
      <c r="D5" s="18">
        <v>16</v>
      </c>
      <c r="E5" s="18">
        <v>80</v>
      </c>
      <c r="F5" s="18" t="s">
        <v>895</v>
      </c>
      <c r="G5" s="136">
        <v>16</v>
      </c>
      <c r="H5" s="18"/>
      <c r="I5" s="18">
        <v>8000</v>
      </c>
      <c r="J5" s="18">
        <v>8</v>
      </c>
      <c r="K5" s="19">
        <v>2000</v>
      </c>
    </row>
    <row r="6" spans="1:11">
      <c r="A6" t="str">
        <f t="shared" si="0"/>
        <v>A2m v2</v>
      </c>
      <c r="B6" s="127" t="s">
        <v>572</v>
      </c>
      <c r="C6" s="18">
        <v>2</v>
      </c>
      <c r="D6" s="18">
        <v>16</v>
      </c>
      <c r="E6" s="18">
        <v>20</v>
      </c>
      <c r="F6" s="18" t="s">
        <v>891</v>
      </c>
      <c r="G6" s="136">
        <v>4</v>
      </c>
      <c r="H6" s="18"/>
      <c r="I6" s="18">
        <v>2000</v>
      </c>
      <c r="J6" s="18">
        <v>2</v>
      </c>
      <c r="K6" s="19">
        <v>500</v>
      </c>
    </row>
    <row r="7" spans="1:11">
      <c r="A7" t="str">
        <f t="shared" si="0"/>
        <v>A4m v2</v>
      </c>
      <c r="B7" s="127" t="s">
        <v>383</v>
      </c>
      <c r="C7" s="18">
        <v>4</v>
      </c>
      <c r="D7" s="18">
        <v>32</v>
      </c>
      <c r="E7" s="18">
        <v>40</v>
      </c>
      <c r="F7" s="18" t="s">
        <v>893</v>
      </c>
      <c r="G7" s="136">
        <v>8</v>
      </c>
      <c r="H7" s="18"/>
      <c r="I7" s="18">
        <v>4000</v>
      </c>
      <c r="J7" s="18">
        <v>4</v>
      </c>
      <c r="K7" s="19">
        <v>1000</v>
      </c>
    </row>
    <row r="8" spans="1:11" ht="15" thickBot="1">
      <c r="A8" t="str">
        <f t="shared" si="0"/>
        <v>A8m v2</v>
      </c>
      <c r="B8" s="128" t="s">
        <v>896</v>
      </c>
      <c r="C8" s="65">
        <v>8</v>
      </c>
      <c r="D8" s="65">
        <v>64</v>
      </c>
      <c r="E8" s="65">
        <v>80</v>
      </c>
      <c r="F8" s="65" t="s">
        <v>895</v>
      </c>
      <c r="G8" s="136">
        <v>16</v>
      </c>
      <c r="H8" s="65"/>
      <c r="I8" s="65">
        <v>8000</v>
      </c>
      <c r="J8" s="65">
        <v>8</v>
      </c>
      <c r="K8" s="66">
        <v>2000</v>
      </c>
    </row>
    <row r="9" spans="1:11">
      <c r="A9" t="str">
        <f t="shared" si="0"/>
        <v>B1ls1</v>
      </c>
      <c r="B9" s="129" t="s">
        <v>897</v>
      </c>
      <c r="C9" s="70">
        <v>1</v>
      </c>
      <c r="D9" s="70" t="s">
        <v>898</v>
      </c>
      <c r="E9" s="70">
        <v>4</v>
      </c>
      <c r="F9" s="70" t="s">
        <v>899</v>
      </c>
      <c r="G9" s="136">
        <v>2</v>
      </c>
      <c r="H9" s="70">
        <v>160</v>
      </c>
      <c r="I9" s="164">
        <v>10</v>
      </c>
      <c r="J9" s="71">
        <v>2</v>
      </c>
    </row>
    <row r="10" spans="1:11">
      <c r="A10" t="str">
        <f t="shared" si="0"/>
        <v>B1s</v>
      </c>
      <c r="B10" s="130" t="s">
        <v>900</v>
      </c>
      <c r="C10" s="24">
        <v>1</v>
      </c>
      <c r="D10" s="24">
        <v>1</v>
      </c>
      <c r="E10" s="24">
        <v>4</v>
      </c>
      <c r="F10" s="24" t="s">
        <v>901</v>
      </c>
      <c r="G10" s="136">
        <v>2</v>
      </c>
      <c r="H10" s="24">
        <v>320</v>
      </c>
      <c r="I10" s="165">
        <v>10</v>
      </c>
      <c r="J10" s="25">
        <v>2</v>
      </c>
    </row>
    <row r="11" spans="1:11">
      <c r="A11" t="str">
        <f t="shared" si="0"/>
        <v>B1ms</v>
      </c>
      <c r="B11" s="130" t="s">
        <v>19</v>
      </c>
      <c r="C11" s="24">
        <v>1</v>
      </c>
      <c r="D11" s="24">
        <v>2</v>
      </c>
      <c r="E11" s="24">
        <v>4</v>
      </c>
      <c r="F11" s="24" t="s">
        <v>902</v>
      </c>
      <c r="G11" s="136">
        <v>2</v>
      </c>
      <c r="H11" s="24">
        <v>640</v>
      </c>
      <c r="I11" s="165">
        <v>10</v>
      </c>
      <c r="J11" s="25">
        <v>2</v>
      </c>
    </row>
    <row r="12" spans="1:11">
      <c r="A12" t="str">
        <f t="shared" si="0"/>
        <v>B2s</v>
      </c>
      <c r="B12" s="130" t="s">
        <v>345</v>
      </c>
      <c r="C12" s="24">
        <v>2</v>
      </c>
      <c r="D12" s="24">
        <v>4</v>
      </c>
      <c r="E12" s="24">
        <v>8</v>
      </c>
      <c r="F12" s="24" t="s">
        <v>903</v>
      </c>
      <c r="G12" s="136">
        <v>4</v>
      </c>
      <c r="H12" s="24">
        <v>1280</v>
      </c>
      <c r="I12" s="165">
        <v>15</v>
      </c>
      <c r="J12" s="25">
        <v>3</v>
      </c>
    </row>
    <row r="13" spans="1:11">
      <c r="A13" t="str">
        <f t="shared" si="0"/>
        <v>B2ms</v>
      </c>
      <c r="B13" s="130" t="s">
        <v>22</v>
      </c>
      <c r="C13" s="24">
        <v>2</v>
      </c>
      <c r="D13" s="24">
        <v>8</v>
      </c>
      <c r="E13" s="24">
        <v>16</v>
      </c>
      <c r="F13" s="24" t="s">
        <v>904</v>
      </c>
      <c r="G13" s="136">
        <v>4</v>
      </c>
      <c r="H13" s="24">
        <v>1920</v>
      </c>
      <c r="I13" s="165" t="s">
        <v>905</v>
      </c>
      <c r="J13" s="25">
        <v>3</v>
      </c>
    </row>
    <row r="14" spans="1:11">
      <c r="A14" t="str">
        <f t="shared" si="0"/>
        <v>B4ms</v>
      </c>
      <c r="B14" s="130" t="s">
        <v>25</v>
      </c>
      <c r="C14" s="24">
        <v>4</v>
      </c>
      <c r="D14" s="24">
        <v>16</v>
      </c>
      <c r="E14" s="24">
        <v>32</v>
      </c>
      <c r="F14" s="24" t="s">
        <v>906</v>
      </c>
      <c r="G14" s="136">
        <v>8</v>
      </c>
      <c r="H14" s="24">
        <v>2880</v>
      </c>
      <c r="I14" s="165">
        <v>35</v>
      </c>
      <c r="J14" s="25">
        <v>4</v>
      </c>
    </row>
    <row r="15" spans="1:11">
      <c r="A15" t="str">
        <f t="shared" si="0"/>
        <v>B8ms</v>
      </c>
      <c r="B15" s="130" t="s">
        <v>28</v>
      </c>
      <c r="C15" s="24">
        <v>8</v>
      </c>
      <c r="D15" s="24">
        <v>32</v>
      </c>
      <c r="E15" s="24">
        <v>64</v>
      </c>
      <c r="F15" s="24" t="s">
        <v>907</v>
      </c>
      <c r="G15" s="136">
        <v>16</v>
      </c>
      <c r="H15" s="24">
        <v>4320</v>
      </c>
      <c r="I15" s="165">
        <v>50</v>
      </c>
      <c r="J15" s="25">
        <v>4</v>
      </c>
    </row>
    <row r="16" spans="1:11">
      <c r="A16" t="str">
        <f t="shared" si="0"/>
        <v>B12ms</v>
      </c>
      <c r="B16" s="130" t="s">
        <v>31</v>
      </c>
      <c r="C16" s="24">
        <v>12</v>
      </c>
      <c r="D16" s="24">
        <v>48</v>
      </c>
      <c r="E16" s="24">
        <v>96</v>
      </c>
      <c r="F16" s="24" t="s">
        <v>908</v>
      </c>
      <c r="G16" s="136">
        <v>16</v>
      </c>
      <c r="H16" s="24">
        <v>4320</v>
      </c>
      <c r="I16" s="165">
        <v>50</v>
      </c>
      <c r="J16" s="25">
        <v>6</v>
      </c>
    </row>
    <row r="17" spans="1:11">
      <c r="A17" t="str">
        <f t="shared" si="0"/>
        <v>B16ms</v>
      </c>
      <c r="B17" s="130" t="s">
        <v>34</v>
      </c>
      <c r="C17" s="24">
        <v>16</v>
      </c>
      <c r="D17" s="24">
        <v>64</v>
      </c>
      <c r="E17" s="24">
        <v>128</v>
      </c>
      <c r="F17" s="24" t="s">
        <v>909</v>
      </c>
      <c r="G17" s="136">
        <v>32</v>
      </c>
      <c r="H17" s="24">
        <v>4320</v>
      </c>
      <c r="I17" s="165">
        <v>50</v>
      </c>
      <c r="J17" s="25">
        <v>8</v>
      </c>
    </row>
    <row r="18" spans="1:11" ht="15" thickBot="1">
      <c r="A18" t="str">
        <f t="shared" si="0"/>
        <v>B20ms</v>
      </c>
      <c r="B18" s="131" t="s">
        <v>37</v>
      </c>
      <c r="C18" s="28">
        <v>20</v>
      </c>
      <c r="D18" s="28">
        <v>80</v>
      </c>
      <c r="E18" s="28">
        <v>160</v>
      </c>
      <c r="F18" s="28" t="s">
        <v>910</v>
      </c>
      <c r="G18" s="136">
        <v>32</v>
      </c>
      <c r="H18" s="28">
        <v>4320</v>
      </c>
      <c r="I18" s="166">
        <v>50</v>
      </c>
      <c r="J18" s="30">
        <v>8</v>
      </c>
    </row>
    <row r="19" spans="1:11" ht="15" thickBot="1">
      <c r="A19" t="e">
        <f t="shared" si="0"/>
        <v>#VALUE!</v>
      </c>
      <c r="B19" s="132" t="s">
        <v>911</v>
      </c>
      <c r="C19" s="124" t="s">
        <v>912</v>
      </c>
      <c r="D19" s="124" t="s">
        <v>881</v>
      </c>
      <c r="E19" s="124" t="s">
        <v>913</v>
      </c>
      <c r="J19" s="125" t="s">
        <v>914</v>
      </c>
    </row>
    <row r="20" spans="1:11">
      <c r="A20" t="str">
        <f t="shared" si="0"/>
        <v>D1</v>
      </c>
      <c r="B20" s="133" t="s">
        <v>915</v>
      </c>
      <c r="C20" s="15">
        <v>1</v>
      </c>
      <c r="D20" s="15" t="s">
        <v>916</v>
      </c>
      <c r="E20" s="15">
        <v>50</v>
      </c>
      <c r="J20" s="16" t="s">
        <v>917</v>
      </c>
    </row>
    <row r="21" spans="1:11">
      <c r="A21" t="str">
        <f t="shared" si="0"/>
        <v>D2</v>
      </c>
      <c r="B21" s="134" t="s">
        <v>918</v>
      </c>
      <c r="C21" s="18">
        <v>2</v>
      </c>
      <c r="D21" s="18">
        <v>7</v>
      </c>
      <c r="E21" s="18">
        <v>100</v>
      </c>
      <c r="J21" s="19" t="s">
        <v>919</v>
      </c>
    </row>
    <row r="22" spans="1:11">
      <c r="A22" t="str">
        <f t="shared" si="0"/>
        <v>D3</v>
      </c>
      <c r="B22" s="134" t="s">
        <v>920</v>
      </c>
      <c r="C22" s="18">
        <v>4</v>
      </c>
      <c r="D22" s="18">
        <v>14</v>
      </c>
      <c r="E22" s="18">
        <v>200</v>
      </c>
      <c r="J22" s="19" t="s">
        <v>921</v>
      </c>
    </row>
    <row r="23" spans="1:11">
      <c r="A23" t="str">
        <f t="shared" si="0"/>
        <v>D4</v>
      </c>
      <c r="B23" s="134" t="s">
        <v>922</v>
      </c>
      <c r="C23" s="18">
        <v>8</v>
      </c>
      <c r="D23" s="18">
        <v>28</v>
      </c>
      <c r="E23" s="18">
        <v>400</v>
      </c>
      <c r="J23" s="19" t="s">
        <v>923</v>
      </c>
    </row>
    <row r="24" spans="1:11">
      <c r="A24" t="str">
        <f t="shared" si="0"/>
        <v>D11</v>
      </c>
      <c r="B24" s="134" t="s">
        <v>924</v>
      </c>
      <c r="C24" s="18">
        <v>2</v>
      </c>
      <c r="D24" s="18">
        <v>14</v>
      </c>
      <c r="E24" s="18">
        <v>100</v>
      </c>
      <c r="J24" s="19" t="s">
        <v>919</v>
      </c>
    </row>
    <row r="25" spans="1:11">
      <c r="A25" t="str">
        <f t="shared" si="0"/>
        <v>D12</v>
      </c>
      <c r="B25" s="134" t="s">
        <v>700</v>
      </c>
      <c r="C25" s="18">
        <v>4</v>
      </c>
      <c r="D25" s="18">
        <v>28</v>
      </c>
      <c r="E25" s="18">
        <v>200</v>
      </c>
      <c r="J25" s="19" t="s">
        <v>921</v>
      </c>
    </row>
    <row r="26" spans="1:11">
      <c r="A26" t="str">
        <f t="shared" si="0"/>
        <v>D13</v>
      </c>
      <c r="B26" s="134" t="s">
        <v>39</v>
      </c>
      <c r="C26" s="18">
        <v>8</v>
      </c>
      <c r="D26" s="18">
        <v>56</v>
      </c>
      <c r="E26" s="18">
        <v>400</v>
      </c>
      <c r="J26" s="19" t="s">
        <v>923</v>
      </c>
    </row>
    <row r="27" spans="1:11" ht="15" thickBot="1">
      <c r="A27" t="str">
        <f t="shared" si="0"/>
        <v>D14</v>
      </c>
      <c r="B27" s="135" t="s">
        <v>925</v>
      </c>
      <c r="C27" s="65">
        <v>16</v>
      </c>
      <c r="D27" s="65">
        <v>112</v>
      </c>
      <c r="E27" s="65">
        <v>800</v>
      </c>
      <c r="J27" s="66" t="s">
        <v>926</v>
      </c>
    </row>
    <row r="28" spans="1:11" ht="15" thickBot="1">
      <c r="A28" t="e">
        <f t="shared" si="0"/>
        <v>#VALUE!</v>
      </c>
      <c r="B28" s="132" t="s">
        <v>911</v>
      </c>
      <c r="C28" s="124" t="s">
        <v>927</v>
      </c>
      <c r="D28" s="124" t="s">
        <v>881</v>
      </c>
      <c r="E28" s="124" t="s">
        <v>882</v>
      </c>
      <c r="F28" s="124" t="s">
        <v>928</v>
      </c>
      <c r="G28" s="124" t="s">
        <v>884</v>
      </c>
      <c r="H28" s="124" t="s">
        <v>929</v>
      </c>
      <c r="I28" s="124"/>
      <c r="J28" s="124" t="s">
        <v>887</v>
      </c>
      <c r="K28" s="124" t="s">
        <v>888</v>
      </c>
    </row>
    <row r="29" spans="1:11">
      <c r="A29" t="str">
        <f t="shared" si="0"/>
        <v>DS1 v2</v>
      </c>
      <c r="B29" s="133" t="s">
        <v>930</v>
      </c>
      <c r="C29" s="15">
        <v>1</v>
      </c>
      <c r="D29" s="15" t="s">
        <v>916</v>
      </c>
      <c r="E29" s="15">
        <v>7</v>
      </c>
      <c r="F29" s="15" t="s">
        <v>931</v>
      </c>
      <c r="G29" s="15">
        <v>4</v>
      </c>
      <c r="H29" s="15">
        <v>3200</v>
      </c>
      <c r="I29" s="15">
        <v>48</v>
      </c>
      <c r="J29" s="15">
        <v>2</v>
      </c>
      <c r="K29" s="15">
        <v>750</v>
      </c>
    </row>
    <row r="30" spans="1:11">
      <c r="A30" t="str">
        <f t="shared" si="0"/>
        <v>DS2 v2</v>
      </c>
      <c r="B30" s="134" t="s">
        <v>852</v>
      </c>
      <c r="C30" s="18">
        <v>2</v>
      </c>
      <c r="D30" s="18">
        <v>7</v>
      </c>
      <c r="E30" s="18">
        <v>14</v>
      </c>
      <c r="F30" s="18" t="s">
        <v>932</v>
      </c>
      <c r="G30" s="18">
        <v>8</v>
      </c>
      <c r="H30" s="18">
        <v>6400</v>
      </c>
      <c r="I30" s="18">
        <v>96</v>
      </c>
      <c r="J30" s="18">
        <v>2</v>
      </c>
      <c r="K30" s="18">
        <v>1500</v>
      </c>
    </row>
    <row r="31" spans="1:11">
      <c r="A31" t="str">
        <f t="shared" si="0"/>
        <v>DS3 v2</v>
      </c>
      <c r="B31" s="134" t="s">
        <v>155</v>
      </c>
      <c r="C31" s="18">
        <v>4</v>
      </c>
      <c r="D31" s="18">
        <v>14</v>
      </c>
      <c r="E31" s="18">
        <v>28</v>
      </c>
      <c r="F31" s="18" t="s">
        <v>933</v>
      </c>
      <c r="G31" s="18">
        <v>16</v>
      </c>
      <c r="H31" s="18">
        <v>12800</v>
      </c>
      <c r="I31" s="18">
        <v>192</v>
      </c>
      <c r="J31" s="18">
        <v>4</v>
      </c>
      <c r="K31" s="18">
        <v>3000</v>
      </c>
    </row>
    <row r="32" spans="1:11">
      <c r="A32" t="str">
        <f t="shared" si="0"/>
        <v>DS4 v2</v>
      </c>
      <c r="B32" s="134" t="s">
        <v>934</v>
      </c>
      <c r="C32" s="18">
        <v>8</v>
      </c>
      <c r="D32" s="18">
        <v>28</v>
      </c>
      <c r="E32" s="18">
        <v>56</v>
      </c>
      <c r="F32" s="18" t="s">
        <v>935</v>
      </c>
      <c r="G32" s="18">
        <v>32</v>
      </c>
      <c r="H32" s="18">
        <v>25600</v>
      </c>
      <c r="I32" s="18">
        <v>384</v>
      </c>
      <c r="J32" s="18">
        <v>8</v>
      </c>
      <c r="K32" s="18">
        <v>6000</v>
      </c>
    </row>
    <row r="33" spans="1:11" ht="15" thickBot="1">
      <c r="A33" t="str">
        <f t="shared" si="0"/>
        <v>DS5 v2</v>
      </c>
      <c r="B33" s="135" t="s">
        <v>936</v>
      </c>
      <c r="C33" s="65">
        <v>16</v>
      </c>
      <c r="D33" s="65">
        <v>56</v>
      </c>
      <c r="E33" s="65">
        <v>112</v>
      </c>
      <c r="F33" s="65" t="s">
        <v>937</v>
      </c>
      <c r="G33" s="65">
        <v>64</v>
      </c>
      <c r="H33" s="65">
        <v>51200</v>
      </c>
      <c r="I33" s="65">
        <v>768</v>
      </c>
      <c r="J33" s="65">
        <v>8</v>
      </c>
      <c r="K33" s="65">
        <v>12000</v>
      </c>
    </row>
    <row r="34" spans="1:11">
      <c r="A34" t="str">
        <f t="shared" si="0"/>
        <v>DS11 v2 3</v>
      </c>
      <c r="B34" s="133" t="s">
        <v>938</v>
      </c>
      <c r="C34" s="15">
        <v>2</v>
      </c>
      <c r="D34" s="15">
        <v>14</v>
      </c>
      <c r="E34" s="15">
        <v>28</v>
      </c>
      <c r="F34" s="15" t="s">
        <v>939</v>
      </c>
      <c r="G34" s="15">
        <v>8</v>
      </c>
      <c r="H34" s="15">
        <v>6400</v>
      </c>
      <c r="I34" s="15">
        <v>96</v>
      </c>
      <c r="J34" s="15">
        <v>2</v>
      </c>
      <c r="K34" s="16">
        <v>1500</v>
      </c>
    </row>
    <row r="35" spans="1:11">
      <c r="A35" t="str">
        <f t="shared" si="0"/>
        <v>DS12 v2 3</v>
      </c>
      <c r="B35" s="134" t="s">
        <v>940</v>
      </c>
      <c r="C35" s="18">
        <v>4</v>
      </c>
      <c r="D35" s="18">
        <v>28</v>
      </c>
      <c r="E35" s="18">
        <v>56</v>
      </c>
      <c r="F35" s="18" t="s">
        <v>941</v>
      </c>
      <c r="G35" s="18">
        <v>16</v>
      </c>
      <c r="H35" s="18">
        <v>12800</v>
      </c>
      <c r="I35" s="18">
        <v>192</v>
      </c>
      <c r="J35" s="18">
        <v>4</v>
      </c>
      <c r="K35" s="19">
        <v>3000</v>
      </c>
    </row>
    <row r="36" spans="1:11">
      <c r="A36" t="str">
        <f t="shared" si="0"/>
        <v>DS13 v2 3</v>
      </c>
      <c r="B36" s="134" t="s">
        <v>942</v>
      </c>
      <c r="C36" s="18">
        <v>8</v>
      </c>
      <c r="D36" s="18">
        <v>56</v>
      </c>
      <c r="E36" s="18">
        <v>112</v>
      </c>
      <c r="F36" s="18" t="s">
        <v>943</v>
      </c>
      <c r="G36" s="18">
        <v>32</v>
      </c>
      <c r="H36" s="18">
        <v>25600</v>
      </c>
      <c r="I36" s="18">
        <v>384</v>
      </c>
      <c r="J36" s="18">
        <v>8</v>
      </c>
      <c r="K36" s="19">
        <v>6000</v>
      </c>
    </row>
    <row r="37" spans="1:11">
      <c r="A37" t="str">
        <f t="shared" si="0"/>
        <v>DS14 v2 3</v>
      </c>
      <c r="B37" s="134" t="s">
        <v>944</v>
      </c>
      <c r="C37" s="18">
        <v>16</v>
      </c>
      <c r="D37" s="18">
        <v>112</v>
      </c>
      <c r="E37" s="18">
        <v>224</v>
      </c>
      <c r="F37" s="18" t="s">
        <v>945</v>
      </c>
      <c r="G37" s="18">
        <v>64</v>
      </c>
      <c r="H37" s="18">
        <v>51200</v>
      </c>
      <c r="I37" s="18">
        <v>768</v>
      </c>
      <c r="J37" s="18">
        <v>8</v>
      </c>
      <c r="K37" s="19">
        <v>12000</v>
      </c>
    </row>
    <row r="38" spans="1:11" ht="15" thickBot="1">
      <c r="A38" t="str">
        <f t="shared" si="0"/>
        <v>DS15 v2 2</v>
      </c>
      <c r="B38" s="135" t="s">
        <v>946</v>
      </c>
      <c r="C38" s="65">
        <v>20</v>
      </c>
      <c r="D38" s="65">
        <v>140</v>
      </c>
      <c r="E38" s="65">
        <v>280</v>
      </c>
      <c r="F38" s="65" t="s">
        <v>947</v>
      </c>
      <c r="G38" s="65">
        <v>64</v>
      </c>
      <c r="H38" s="65">
        <v>64000</v>
      </c>
      <c r="I38" s="65">
        <v>960</v>
      </c>
      <c r="J38" s="65">
        <v>8</v>
      </c>
      <c r="K38" s="66" t="s">
        <v>948</v>
      </c>
    </row>
    <row r="39" spans="1:11">
      <c r="A39" t="str">
        <f t="shared" si="0"/>
        <v>D2s v3</v>
      </c>
      <c r="B39" s="134" t="s">
        <v>514</v>
      </c>
      <c r="C39" s="18">
        <v>2</v>
      </c>
      <c r="D39" s="18">
        <v>8</v>
      </c>
      <c r="E39" s="18">
        <v>16</v>
      </c>
      <c r="F39" s="18" t="s">
        <v>949</v>
      </c>
      <c r="G39" s="18">
        <v>4</v>
      </c>
      <c r="H39" s="18">
        <v>3200</v>
      </c>
      <c r="I39" s="18">
        <v>48</v>
      </c>
      <c r="J39" s="18">
        <v>2</v>
      </c>
      <c r="K39" s="138">
        <v>1000</v>
      </c>
    </row>
    <row r="40" spans="1:11">
      <c r="A40" t="str">
        <f t="shared" si="0"/>
        <v>D4s v3</v>
      </c>
      <c r="B40" s="137" t="s">
        <v>466</v>
      </c>
      <c r="C40" s="18">
        <v>4</v>
      </c>
      <c r="D40" s="18">
        <v>16</v>
      </c>
      <c r="E40" s="18">
        <v>32</v>
      </c>
      <c r="F40" s="18" t="s">
        <v>950</v>
      </c>
      <c r="G40" s="18">
        <v>8</v>
      </c>
      <c r="H40" s="18">
        <v>6400</v>
      </c>
      <c r="I40" s="18">
        <v>96</v>
      </c>
      <c r="J40" s="18">
        <v>2</v>
      </c>
      <c r="K40" s="138">
        <v>2000</v>
      </c>
    </row>
    <row r="41" spans="1:11">
      <c r="A41" t="str">
        <f t="shared" si="0"/>
        <v>D8s v3</v>
      </c>
      <c r="B41" s="134" t="s">
        <v>340</v>
      </c>
      <c r="C41" s="18">
        <v>8</v>
      </c>
      <c r="D41" s="18">
        <v>32</v>
      </c>
      <c r="E41" s="18">
        <v>64</v>
      </c>
      <c r="F41" s="18" t="s">
        <v>951</v>
      </c>
      <c r="G41" s="18">
        <v>16</v>
      </c>
      <c r="H41" s="18">
        <v>12800</v>
      </c>
      <c r="I41" s="18">
        <v>192</v>
      </c>
      <c r="J41" s="18">
        <v>4</v>
      </c>
      <c r="K41" s="138">
        <v>4000</v>
      </c>
    </row>
    <row r="42" spans="1:11">
      <c r="A42" t="str">
        <f t="shared" si="0"/>
        <v>D16s v3</v>
      </c>
      <c r="B42" s="134" t="s">
        <v>952</v>
      </c>
      <c r="C42" s="18">
        <v>16</v>
      </c>
      <c r="D42" s="18">
        <v>64</v>
      </c>
      <c r="E42" s="18">
        <v>128</v>
      </c>
      <c r="F42" s="18" t="s">
        <v>953</v>
      </c>
      <c r="G42" s="18">
        <v>32</v>
      </c>
      <c r="H42" s="18">
        <v>25600</v>
      </c>
      <c r="I42" s="18">
        <v>384</v>
      </c>
      <c r="J42" s="18">
        <v>8</v>
      </c>
      <c r="K42" s="138">
        <v>8000</v>
      </c>
    </row>
    <row r="43" spans="1:11">
      <c r="A43" t="str">
        <f t="shared" si="0"/>
        <v>D32s v3</v>
      </c>
      <c r="B43" s="134" t="s">
        <v>954</v>
      </c>
      <c r="C43" s="18">
        <v>32</v>
      </c>
      <c r="D43" s="18">
        <v>128</v>
      </c>
      <c r="E43" s="18">
        <v>256</v>
      </c>
      <c r="F43" s="18" t="s">
        <v>955</v>
      </c>
      <c r="G43" s="18">
        <v>32</v>
      </c>
      <c r="H43" s="18">
        <v>51200</v>
      </c>
      <c r="I43" s="18">
        <v>768</v>
      </c>
      <c r="J43" s="18">
        <v>8</v>
      </c>
      <c r="K43" s="138">
        <v>16000</v>
      </c>
    </row>
    <row r="44" spans="1:11">
      <c r="A44" t="str">
        <f t="shared" si="0"/>
        <v>D48s v3</v>
      </c>
      <c r="B44" s="134" t="s">
        <v>956</v>
      </c>
      <c r="C44" s="18">
        <v>48</v>
      </c>
      <c r="D44" s="18">
        <v>192</v>
      </c>
      <c r="E44" s="18">
        <v>384</v>
      </c>
      <c r="F44" s="18" t="s">
        <v>957</v>
      </c>
      <c r="G44" s="18">
        <v>32</v>
      </c>
      <c r="H44" s="18">
        <v>76800</v>
      </c>
      <c r="I44" s="18">
        <v>1152</v>
      </c>
      <c r="J44" s="18">
        <v>8</v>
      </c>
      <c r="K44" s="138">
        <v>24000</v>
      </c>
    </row>
    <row r="45" spans="1:11" ht="15" thickBot="1">
      <c r="A45" t="str">
        <f t="shared" si="0"/>
        <v>D64s v3</v>
      </c>
      <c r="B45" s="135" t="s">
        <v>958</v>
      </c>
      <c r="C45" s="65">
        <v>64</v>
      </c>
      <c r="D45" s="65">
        <v>256</v>
      </c>
      <c r="E45" s="65">
        <v>512</v>
      </c>
      <c r="F45" s="65" t="s">
        <v>959</v>
      </c>
      <c r="G45" s="65">
        <v>32</v>
      </c>
      <c r="H45" s="65">
        <v>80000</v>
      </c>
      <c r="I45" s="65">
        <v>1200</v>
      </c>
      <c r="J45" s="65">
        <v>8</v>
      </c>
      <c r="K45" s="138">
        <v>30000</v>
      </c>
    </row>
    <row r="46" spans="1:11">
      <c r="A46" t="str">
        <f t="shared" si="0"/>
        <v>D2as v4</v>
      </c>
      <c r="B46" s="133" t="s">
        <v>47</v>
      </c>
      <c r="C46" s="15">
        <v>2</v>
      </c>
      <c r="D46" s="15">
        <v>8</v>
      </c>
      <c r="E46" s="15">
        <v>16</v>
      </c>
      <c r="F46" s="15" t="s">
        <v>960</v>
      </c>
      <c r="G46" s="15">
        <v>4</v>
      </c>
      <c r="H46" s="15">
        <v>3200</v>
      </c>
      <c r="I46" s="15">
        <v>48</v>
      </c>
      <c r="J46" s="15">
        <v>2</v>
      </c>
      <c r="K46" s="16">
        <v>800</v>
      </c>
    </row>
    <row r="47" spans="1:11">
      <c r="A47" t="str">
        <f t="shared" si="0"/>
        <v>D4as v4</v>
      </c>
      <c r="B47" s="134" t="s">
        <v>49</v>
      </c>
      <c r="C47" s="18">
        <v>4</v>
      </c>
      <c r="D47" s="18">
        <v>16</v>
      </c>
      <c r="E47" s="18">
        <v>32</v>
      </c>
      <c r="F47" s="18" t="s">
        <v>961</v>
      </c>
      <c r="G47" s="18">
        <v>8</v>
      </c>
      <c r="H47" s="18">
        <v>6400</v>
      </c>
      <c r="I47" s="18">
        <v>96</v>
      </c>
      <c r="J47" s="18">
        <v>2</v>
      </c>
      <c r="K47" s="19">
        <v>1600</v>
      </c>
    </row>
    <row r="48" spans="1:11">
      <c r="A48" t="str">
        <f t="shared" si="0"/>
        <v>D8as v4</v>
      </c>
      <c r="B48" s="134" t="s">
        <v>50</v>
      </c>
      <c r="C48" s="18">
        <v>8</v>
      </c>
      <c r="D48" s="18">
        <v>32</v>
      </c>
      <c r="E48" s="18">
        <v>64</v>
      </c>
      <c r="F48" s="18" t="s">
        <v>962</v>
      </c>
      <c r="G48" s="18">
        <v>16</v>
      </c>
      <c r="H48" s="18">
        <v>12800</v>
      </c>
      <c r="I48" s="18">
        <v>192</v>
      </c>
      <c r="J48" s="18">
        <v>4</v>
      </c>
      <c r="K48" s="19">
        <v>3200</v>
      </c>
    </row>
    <row r="49" spans="1:11">
      <c r="A49" t="str">
        <f t="shared" si="0"/>
        <v>D16as v4</v>
      </c>
      <c r="B49" s="134" t="s">
        <v>51</v>
      </c>
      <c r="C49" s="18">
        <v>16</v>
      </c>
      <c r="D49" s="18">
        <v>64</v>
      </c>
      <c r="E49" s="18">
        <v>128</v>
      </c>
      <c r="F49" s="18" t="s">
        <v>963</v>
      </c>
      <c r="G49" s="18">
        <v>32</v>
      </c>
      <c r="H49" s="18">
        <v>25600</v>
      </c>
      <c r="I49" s="18">
        <v>384</v>
      </c>
      <c r="J49" s="18">
        <v>8</v>
      </c>
      <c r="K49" s="19">
        <v>6400</v>
      </c>
    </row>
    <row r="50" spans="1:11">
      <c r="A50" t="str">
        <f t="shared" si="0"/>
        <v>D32as v4</v>
      </c>
      <c r="B50" s="134" t="s">
        <v>52</v>
      </c>
      <c r="C50" s="18">
        <v>32</v>
      </c>
      <c r="D50" s="18">
        <v>128</v>
      </c>
      <c r="E50" s="18">
        <v>256</v>
      </c>
      <c r="F50" s="18" t="s">
        <v>964</v>
      </c>
      <c r="G50" s="18">
        <v>32</v>
      </c>
      <c r="H50" s="18">
        <v>51200</v>
      </c>
      <c r="I50" s="18">
        <v>768</v>
      </c>
      <c r="J50" s="18">
        <v>8</v>
      </c>
      <c r="K50" s="19">
        <v>12800</v>
      </c>
    </row>
    <row r="51" spans="1:11">
      <c r="A51" t="str">
        <f t="shared" si="0"/>
        <v>D48as v4</v>
      </c>
      <c r="B51" s="134" t="s">
        <v>53</v>
      </c>
      <c r="C51" s="18">
        <v>48</v>
      </c>
      <c r="D51" s="18">
        <v>192</v>
      </c>
      <c r="E51" s="18">
        <v>384</v>
      </c>
      <c r="F51" s="18" t="s">
        <v>965</v>
      </c>
      <c r="G51" s="18">
        <v>32</v>
      </c>
      <c r="H51" s="18">
        <v>76800</v>
      </c>
      <c r="I51" s="18">
        <v>1148</v>
      </c>
      <c r="J51" s="18">
        <v>8</v>
      </c>
      <c r="K51" s="19">
        <v>19200</v>
      </c>
    </row>
    <row r="52" spans="1:11">
      <c r="A52" t="str">
        <f t="shared" si="0"/>
        <v>D64as v4</v>
      </c>
      <c r="B52" s="134" t="s">
        <v>54</v>
      </c>
      <c r="C52" s="18">
        <v>64</v>
      </c>
      <c r="D52" s="18">
        <v>256</v>
      </c>
      <c r="E52" s="18">
        <v>512</v>
      </c>
      <c r="F52" s="18" t="s">
        <v>966</v>
      </c>
      <c r="G52" s="18">
        <v>32</v>
      </c>
      <c r="H52" s="18">
        <v>80000</v>
      </c>
      <c r="I52" s="18">
        <v>1200</v>
      </c>
      <c r="J52" s="18">
        <v>8</v>
      </c>
      <c r="K52" s="19">
        <v>25600</v>
      </c>
    </row>
    <row r="53" spans="1:11" ht="15" thickBot="1">
      <c r="A53" t="str">
        <f t="shared" si="0"/>
        <v>D96as v4</v>
      </c>
      <c r="B53" s="135" t="s">
        <v>55</v>
      </c>
      <c r="C53" s="65">
        <v>96</v>
      </c>
      <c r="D53" s="65">
        <v>384</v>
      </c>
      <c r="E53" s="65">
        <v>768</v>
      </c>
      <c r="F53" s="65" t="s">
        <v>967</v>
      </c>
      <c r="G53" s="65">
        <v>32</v>
      </c>
      <c r="H53" s="65">
        <v>80000</v>
      </c>
      <c r="I53" s="65">
        <v>1200</v>
      </c>
      <c r="J53" s="65">
        <v>8</v>
      </c>
      <c r="K53" s="66">
        <v>32000</v>
      </c>
    </row>
    <row r="54" spans="1:11">
      <c r="A54" t="str">
        <f t="shared" si="0"/>
        <v>D2a v4</v>
      </c>
      <c r="B54" s="133" t="s">
        <v>968</v>
      </c>
      <c r="C54" s="15">
        <v>2</v>
      </c>
      <c r="D54" s="15">
        <v>8</v>
      </c>
      <c r="E54" s="15">
        <v>50</v>
      </c>
      <c r="F54" s="15" t="s">
        <v>969</v>
      </c>
      <c r="G54" s="15">
        <v>4</v>
      </c>
      <c r="H54" s="8"/>
      <c r="I54" s="8"/>
      <c r="J54" s="15">
        <v>2</v>
      </c>
      <c r="K54" s="16">
        <v>800</v>
      </c>
    </row>
    <row r="55" spans="1:11">
      <c r="A55" t="str">
        <f t="shared" si="0"/>
        <v>D4a v4</v>
      </c>
      <c r="B55" s="134" t="s">
        <v>970</v>
      </c>
      <c r="C55" s="18">
        <v>4</v>
      </c>
      <c r="D55" s="18">
        <v>16</v>
      </c>
      <c r="E55" s="18">
        <v>100</v>
      </c>
      <c r="F55" s="18" t="s">
        <v>971</v>
      </c>
      <c r="G55" s="18">
        <v>8</v>
      </c>
      <c r="H55" s="8"/>
      <c r="I55" s="8"/>
      <c r="J55" s="18">
        <v>2</v>
      </c>
      <c r="K55" s="19">
        <v>1600</v>
      </c>
    </row>
    <row r="56" spans="1:11">
      <c r="A56" t="str">
        <f t="shared" si="0"/>
        <v>D8a v4</v>
      </c>
      <c r="B56" s="134" t="s">
        <v>972</v>
      </c>
      <c r="C56" s="18">
        <v>8</v>
      </c>
      <c r="D56" s="18">
        <v>32</v>
      </c>
      <c r="E56" s="18">
        <v>200</v>
      </c>
      <c r="F56" s="18" t="s">
        <v>973</v>
      </c>
      <c r="G56" s="18">
        <v>16</v>
      </c>
      <c r="H56" s="8"/>
      <c r="I56" s="8"/>
      <c r="J56" s="18">
        <v>4</v>
      </c>
      <c r="K56" s="19">
        <v>3200</v>
      </c>
    </row>
    <row r="57" spans="1:11">
      <c r="A57" t="str">
        <f t="shared" si="0"/>
        <v>D16a v4</v>
      </c>
      <c r="B57" s="134" t="s">
        <v>974</v>
      </c>
      <c r="C57" s="18">
        <v>16</v>
      </c>
      <c r="D57" s="18">
        <v>64</v>
      </c>
      <c r="E57" s="18">
        <v>400</v>
      </c>
      <c r="F57" s="18" t="s">
        <v>975</v>
      </c>
      <c r="G57" s="18">
        <v>32</v>
      </c>
      <c r="H57" s="8"/>
      <c r="I57" s="8"/>
      <c r="J57" s="18">
        <v>8</v>
      </c>
      <c r="K57" s="19">
        <v>6400</v>
      </c>
    </row>
    <row r="58" spans="1:11">
      <c r="A58" t="str">
        <f t="shared" si="0"/>
        <v>D32a v4</v>
      </c>
      <c r="B58" s="134" t="s">
        <v>976</v>
      </c>
      <c r="C58" s="18">
        <v>32</v>
      </c>
      <c r="D58" s="18">
        <v>128</v>
      </c>
      <c r="E58" s="18">
        <v>800</v>
      </c>
      <c r="F58" s="18" t="s">
        <v>977</v>
      </c>
      <c r="G58" s="18">
        <v>32</v>
      </c>
      <c r="H58" s="8"/>
      <c r="I58" s="8"/>
      <c r="J58" s="18">
        <v>8</v>
      </c>
      <c r="K58" s="19">
        <v>12800</v>
      </c>
    </row>
    <row r="59" spans="1:11">
      <c r="A59" t="str">
        <f t="shared" si="0"/>
        <v>D48a v4</v>
      </c>
      <c r="B59" s="134" t="s">
        <v>978</v>
      </c>
      <c r="C59" s="18">
        <v>48</v>
      </c>
      <c r="D59" s="18">
        <v>192</v>
      </c>
      <c r="E59" s="18">
        <v>1200</v>
      </c>
      <c r="F59" s="18" t="s">
        <v>979</v>
      </c>
      <c r="G59" s="18">
        <v>32</v>
      </c>
      <c r="H59" s="8"/>
      <c r="I59" s="8"/>
      <c r="J59" s="18">
        <v>8</v>
      </c>
      <c r="K59" s="19">
        <v>19200</v>
      </c>
    </row>
    <row r="60" spans="1:11">
      <c r="A60" t="str">
        <f t="shared" si="0"/>
        <v>D64a v4</v>
      </c>
      <c r="B60" s="134" t="s">
        <v>980</v>
      </c>
      <c r="C60" s="18">
        <v>64</v>
      </c>
      <c r="D60" s="18">
        <v>256</v>
      </c>
      <c r="E60" s="18">
        <v>1600</v>
      </c>
      <c r="F60" s="18" t="s">
        <v>979</v>
      </c>
      <c r="G60" s="18">
        <v>32</v>
      </c>
      <c r="H60" s="8"/>
      <c r="I60" s="8"/>
      <c r="J60" s="18">
        <v>8</v>
      </c>
      <c r="K60" s="19">
        <v>25600</v>
      </c>
    </row>
    <row r="61" spans="1:11" ht="15" thickBot="1">
      <c r="A61" t="str">
        <f t="shared" si="0"/>
        <v>D96a v4</v>
      </c>
      <c r="B61" s="135" t="s">
        <v>981</v>
      </c>
      <c r="C61" s="65">
        <v>96</v>
      </c>
      <c r="D61" s="65">
        <v>384</v>
      </c>
      <c r="E61" s="65">
        <v>2400</v>
      </c>
      <c r="F61" s="65" t="s">
        <v>979</v>
      </c>
      <c r="G61" s="65">
        <v>32</v>
      </c>
      <c r="H61" s="8"/>
      <c r="I61" s="8"/>
      <c r="J61" s="65">
        <v>8</v>
      </c>
      <c r="K61" s="66">
        <v>32000</v>
      </c>
    </row>
    <row r="62" spans="1:11">
      <c r="A62" t="str">
        <f t="shared" si="0"/>
        <v>D2s v4</v>
      </c>
      <c r="B62" s="133" t="s">
        <v>304</v>
      </c>
      <c r="C62" s="15">
        <v>2</v>
      </c>
      <c r="D62" s="15">
        <v>8</v>
      </c>
      <c r="E62" s="15" t="s">
        <v>982</v>
      </c>
      <c r="F62" s="15" t="s">
        <v>983</v>
      </c>
      <c r="G62" s="15">
        <v>4</v>
      </c>
      <c r="H62" s="8"/>
      <c r="I62" s="8"/>
      <c r="J62" s="15">
        <v>2</v>
      </c>
      <c r="K62" s="16">
        <v>1000</v>
      </c>
    </row>
    <row r="63" spans="1:11">
      <c r="A63" t="str">
        <f t="shared" si="0"/>
        <v>D4s v4</v>
      </c>
      <c r="B63" s="134" t="s">
        <v>289</v>
      </c>
      <c r="C63" s="18">
        <v>4</v>
      </c>
      <c r="D63" s="18">
        <v>16</v>
      </c>
      <c r="E63" s="18" t="s">
        <v>982</v>
      </c>
      <c r="F63" s="18" t="s">
        <v>984</v>
      </c>
      <c r="G63" s="18">
        <v>8</v>
      </c>
      <c r="H63" s="8"/>
      <c r="I63" s="8"/>
      <c r="J63" s="18">
        <v>2</v>
      </c>
      <c r="K63" s="19">
        <v>2000</v>
      </c>
    </row>
    <row r="64" spans="1:11">
      <c r="A64" t="str">
        <f t="shared" si="0"/>
        <v>D8s v4</v>
      </c>
      <c r="B64" s="134" t="s">
        <v>985</v>
      </c>
      <c r="C64" s="18">
        <v>8</v>
      </c>
      <c r="D64" s="18">
        <v>32</v>
      </c>
      <c r="E64" s="18" t="s">
        <v>982</v>
      </c>
      <c r="F64" s="18" t="s">
        <v>986</v>
      </c>
      <c r="G64" s="18">
        <v>16</v>
      </c>
      <c r="H64" s="8"/>
      <c r="I64" s="8"/>
      <c r="J64" s="18">
        <v>4</v>
      </c>
      <c r="K64" s="19">
        <v>4000</v>
      </c>
    </row>
    <row r="65" spans="1:11">
      <c r="A65" t="str">
        <f t="shared" si="0"/>
        <v>D16s v4</v>
      </c>
      <c r="B65" s="134" t="s">
        <v>335</v>
      </c>
      <c r="C65" s="18">
        <v>16</v>
      </c>
      <c r="D65" s="18">
        <v>64</v>
      </c>
      <c r="E65" s="18" t="s">
        <v>982</v>
      </c>
      <c r="F65" s="18" t="s">
        <v>987</v>
      </c>
      <c r="G65" s="18">
        <v>32</v>
      </c>
      <c r="H65" s="8"/>
      <c r="I65" s="8"/>
      <c r="J65" s="18">
        <v>8</v>
      </c>
      <c r="K65" s="19">
        <v>8000</v>
      </c>
    </row>
    <row r="66" spans="1:11">
      <c r="A66" t="str">
        <f t="shared" si="0"/>
        <v>D32s v4</v>
      </c>
      <c r="B66" s="134" t="s">
        <v>988</v>
      </c>
      <c r="C66" s="18">
        <v>32</v>
      </c>
      <c r="D66" s="18">
        <v>128</v>
      </c>
      <c r="E66" s="18" t="s">
        <v>982</v>
      </c>
      <c r="F66" s="18" t="s">
        <v>989</v>
      </c>
      <c r="G66" s="18">
        <v>32</v>
      </c>
      <c r="H66" s="8"/>
      <c r="I66" s="8"/>
      <c r="J66" s="18">
        <v>8</v>
      </c>
      <c r="K66" s="19">
        <v>16000</v>
      </c>
    </row>
    <row r="67" spans="1:11">
      <c r="A67" t="str">
        <f t="shared" ref="A67:A138" si="1">IFERROR(REPLACE(REPLACE(B67,FIND("Standard_",B67,1),9,""),FIND("_",REPLACE(B67,FIND("Standard_",B67,1),9,""),1),1," "),REPLACE(B67,FIND("Standard_",B67,1),9,""))</f>
        <v>D48s v4</v>
      </c>
      <c r="B67" s="134" t="s">
        <v>990</v>
      </c>
      <c r="C67" s="18">
        <v>48</v>
      </c>
      <c r="D67" s="18">
        <v>192</v>
      </c>
      <c r="E67" s="18" t="s">
        <v>982</v>
      </c>
      <c r="F67" s="18" t="s">
        <v>991</v>
      </c>
      <c r="G67" s="18">
        <v>32</v>
      </c>
      <c r="H67" s="8"/>
      <c r="I67" s="8"/>
      <c r="J67" s="18">
        <v>8</v>
      </c>
      <c r="K67" s="19">
        <v>24000</v>
      </c>
    </row>
    <row r="68" spans="1:11" ht="15" thickBot="1">
      <c r="A68" t="str">
        <f t="shared" si="1"/>
        <v>D64s v4</v>
      </c>
      <c r="B68" s="135" t="s">
        <v>992</v>
      </c>
      <c r="C68" s="65">
        <v>64</v>
      </c>
      <c r="D68" s="65">
        <v>256</v>
      </c>
      <c r="E68" s="65" t="s">
        <v>982</v>
      </c>
      <c r="F68" s="65" t="s">
        <v>993</v>
      </c>
      <c r="G68" s="65">
        <v>32</v>
      </c>
      <c r="H68" s="8"/>
      <c r="I68" s="8"/>
      <c r="J68" s="65">
        <v>8</v>
      </c>
      <c r="K68" s="66">
        <v>30000</v>
      </c>
    </row>
    <row r="69" spans="1:11">
      <c r="A69" t="str">
        <f t="shared" si="1"/>
        <v>D1 v2</v>
      </c>
      <c r="B69" s="133" t="s">
        <v>994</v>
      </c>
      <c r="C69" s="15">
        <v>1</v>
      </c>
      <c r="D69" s="15" t="s">
        <v>916</v>
      </c>
      <c r="E69" s="15">
        <v>50</v>
      </c>
      <c r="F69" s="15" t="s">
        <v>995</v>
      </c>
      <c r="G69" s="15">
        <v>4</v>
      </c>
      <c r="H69" s="15" t="s">
        <v>996</v>
      </c>
      <c r="I69" s="15">
        <v>2000</v>
      </c>
      <c r="J69" s="15">
        <v>2</v>
      </c>
      <c r="K69" s="16">
        <v>750</v>
      </c>
    </row>
    <row r="70" spans="1:11">
      <c r="A70" t="str">
        <f t="shared" si="1"/>
        <v>D2 v2</v>
      </c>
      <c r="B70" s="134" t="s">
        <v>997</v>
      </c>
      <c r="C70" s="18">
        <v>2</v>
      </c>
      <c r="D70" s="18">
        <v>7</v>
      </c>
      <c r="E70" s="18">
        <v>100</v>
      </c>
      <c r="F70" s="18" t="s">
        <v>998</v>
      </c>
      <c r="G70" s="18">
        <v>8</v>
      </c>
      <c r="H70" s="18" t="s">
        <v>999</v>
      </c>
      <c r="I70" s="18">
        <v>4000</v>
      </c>
      <c r="J70" s="18">
        <v>2</v>
      </c>
      <c r="K70" s="19">
        <v>1500</v>
      </c>
    </row>
    <row r="71" spans="1:11">
      <c r="A71" t="str">
        <f t="shared" si="1"/>
        <v>D3 v2</v>
      </c>
      <c r="B71" s="134" t="s">
        <v>1000</v>
      </c>
      <c r="C71" s="18">
        <v>4</v>
      </c>
      <c r="D71" s="18">
        <v>14</v>
      </c>
      <c r="E71" s="18">
        <v>200</v>
      </c>
      <c r="F71" s="18" t="s">
        <v>1001</v>
      </c>
      <c r="G71" s="18">
        <v>16</v>
      </c>
      <c r="H71" s="18" t="s">
        <v>1002</v>
      </c>
      <c r="I71" s="18">
        <v>8000</v>
      </c>
      <c r="J71" s="18">
        <v>4</v>
      </c>
      <c r="K71" s="19">
        <v>3000</v>
      </c>
    </row>
    <row r="72" spans="1:11">
      <c r="A72" t="str">
        <f t="shared" si="1"/>
        <v>D4 v2</v>
      </c>
      <c r="B72" s="134" t="s">
        <v>1003</v>
      </c>
      <c r="C72" s="18">
        <v>8</v>
      </c>
      <c r="D72" s="18">
        <v>28</v>
      </c>
      <c r="E72" s="18">
        <v>400</v>
      </c>
      <c r="F72" s="18" t="s">
        <v>1004</v>
      </c>
      <c r="G72" s="18">
        <v>32</v>
      </c>
      <c r="H72" s="18" t="s">
        <v>1005</v>
      </c>
      <c r="I72" s="18">
        <v>16000</v>
      </c>
      <c r="J72" s="18">
        <v>8</v>
      </c>
      <c r="K72" s="19">
        <v>6000</v>
      </c>
    </row>
    <row r="73" spans="1:11" ht="15" thickBot="1">
      <c r="A73" t="str">
        <f t="shared" si="1"/>
        <v>D5 v2</v>
      </c>
      <c r="B73" s="135" t="s">
        <v>1006</v>
      </c>
      <c r="C73" s="65">
        <v>16</v>
      </c>
      <c r="D73" s="65">
        <v>56</v>
      </c>
      <c r="E73" s="65">
        <v>800</v>
      </c>
      <c r="F73" s="65" t="s">
        <v>1007</v>
      </c>
      <c r="G73" s="65">
        <v>64</v>
      </c>
      <c r="H73" s="65" t="s">
        <v>1008</v>
      </c>
      <c r="I73" s="65">
        <v>32000</v>
      </c>
      <c r="J73" s="65">
        <v>8</v>
      </c>
      <c r="K73" s="66">
        <v>12000</v>
      </c>
    </row>
    <row r="74" spans="1:11">
      <c r="A74" t="str">
        <f t="shared" si="1"/>
        <v>D11 v2</v>
      </c>
      <c r="B74" s="134" t="s">
        <v>1009</v>
      </c>
      <c r="C74" s="18">
        <v>2</v>
      </c>
      <c r="D74" s="18">
        <v>14</v>
      </c>
      <c r="E74" s="18">
        <v>100</v>
      </c>
      <c r="F74" s="18" t="s">
        <v>998</v>
      </c>
      <c r="G74" s="18">
        <v>8</v>
      </c>
      <c r="H74" s="18" t="s">
        <v>1010</v>
      </c>
      <c r="I74" s="18">
        <v>4000</v>
      </c>
      <c r="J74" s="18">
        <v>2</v>
      </c>
      <c r="K74" s="19">
        <v>1500</v>
      </c>
    </row>
    <row r="75" spans="1:11">
      <c r="A75" t="str">
        <f t="shared" si="1"/>
        <v>D12 v2</v>
      </c>
      <c r="B75" s="134" t="s">
        <v>1011</v>
      </c>
      <c r="C75" s="18">
        <v>4</v>
      </c>
      <c r="D75" s="18">
        <v>28</v>
      </c>
      <c r="E75" s="18">
        <v>200</v>
      </c>
      <c r="F75" s="18" t="s">
        <v>1001</v>
      </c>
      <c r="G75" s="18">
        <v>16</v>
      </c>
      <c r="H75" s="18" t="s">
        <v>1012</v>
      </c>
      <c r="I75" s="18">
        <v>8000</v>
      </c>
      <c r="J75" s="18">
        <v>4</v>
      </c>
      <c r="K75" s="19">
        <v>3000</v>
      </c>
    </row>
    <row r="76" spans="1:11">
      <c r="A76" t="str">
        <f t="shared" si="1"/>
        <v>D13 v2</v>
      </c>
      <c r="B76" s="134" t="s">
        <v>590</v>
      </c>
      <c r="C76" s="18">
        <v>8</v>
      </c>
      <c r="D76" s="18">
        <v>56</v>
      </c>
      <c r="E76" s="18">
        <v>400</v>
      </c>
      <c r="F76" s="18" t="s">
        <v>1004</v>
      </c>
      <c r="G76" s="18">
        <v>32</v>
      </c>
      <c r="H76" s="18" t="s">
        <v>1013</v>
      </c>
      <c r="I76" s="18">
        <v>16000</v>
      </c>
      <c r="J76" s="18">
        <v>8</v>
      </c>
      <c r="K76" s="19">
        <v>6000</v>
      </c>
    </row>
    <row r="77" spans="1:11">
      <c r="A77" t="str">
        <f t="shared" si="1"/>
        <v>D14 v2</v>
      </c>
      <c r="B77" s="134" t="s">
        <v>1014</v>
      </c>
      <c r="C77" s="18">
        <v>16</v>
      </c>
      <c r="D77" s="18">
        <v>112</v>
      </c>
      <c r="E77" s="18">
        <v>800</v>
      </c>
      <c r="F77" s="18" t="s">
        <v>1007</v>
      </c>
      <c r="G77" s="18">
        <v>64</v>
      </c>
      <c r="H77" s="18" t="s">
        <v>1015</v>
      </c>
      <c r="I77" s="18">
        <v>32000</v>
      </c>
      <c r="J77" s="18">
        <v>8</v>
      </c>
      <c r="K77" s="19">
        <v>12000</v>
      </c>
    </row>
    <row r="78" spans="1:11" ht="15" thickBot="1">
      <c r="A78" t="str">
        <f t="shared" si="1"/>
        <v>D15 v2 1</v>
      </c>
      <c r="B78" s="135" t="s">
        <v>1016</v>
      </c>
      <c r="C78" s="65">
        <v>20</v>
      </c>
      <c r="D78" s="65">
        <v>140</v>
      </c>
      <c r="E78" s="65">
        <v>1000</v>
      </c>
      <c r="F78" s="65" t="s">
        <v>1017</v>
      </c>
      <c r="G78" s="65">
        <v>64</v>
      </c>
      <c r="H78" s="65" t="s">
        <v>1015</v>
      </c>
      <c r="I78" s="65">
        <v>32000</v>
      </c>
      <c r="J78" s="65">
        <v>8</v>
      </c>
      <c r="K78" s="66" t="s">
        <v>1018</v>
      </c>
    </row>
    <row r="79" spans="1:11">
      <c r="A79" t="str">
        <f t="shared" si="1"/>
        <v>D2 v3</v>
      </c>
      <c r="B79" s="133" t="s">
        <v>41</v>
      </c>
      <c r="C79" s="15">
        <v>2</v>
      </c>
      <c r="D79" s="15">
        <v>8</v>
      </c>
      <c r="E79" s="15">
        <v>50</v>
      </c>
      <c r="F79" s="15" t="s">
        <v>995</v>
      </c>
      <c r="G79" s="15">
        <v>4</v>
      </c>
      <c r="H79" s="8"/>
      <c r="I79" s="8"/>
      <c r="J79" s="16">
        <v>2</v>
      </c>
      <c r="K79" s="16">
        <v>1000</v>
      </c>
    </row>
    <row r="80" spans="1:11">
      <c r="A80" t="str">
        <f t="shared" si="1"/>
        <v>D4 v3</v>
      </c>
      <c r="B80" s="134" t="s">
        <v>43</v>
      </c>
      <c r="C80" s="18">
        <v>4</v>
      </c>
      <c r="D80" s="18">
        <v>16</v>
      </c>
      <c r="E80" s="18">
        <v>100</v>
      </c>
      <c r="F80" s="18" t="s">
        <v>998</v>
      </c>
      <c r="G80" s="18">
        <v>8</v>
      </c>
      <c r="H80" s="8"/>
      <c r="I80" s="8"/>
      <c r="J80" s="19">
        <v>2</v>
      </c>
      <c r="K80" s="19">
        <v>2000</v>
      </c>
    </row>
    <row r="81" spans="1:11">
      <c r="A81" t="str">
        <f t="shared" si="1"/>
        <v>D8 v3</v>
      </c>
      <c r="B81" s="134" t="s">
        <v>1019</v>
      </c>
      <c r="C81" s="18">
        <v>8</v>
      </c>
      <c r="D81" s="18">
        <v>32</v>
      </c>
      <c r="E81" s="18">
        <v>200</v>
      </c>
      <c r="F81" s="18" t="s">
        <v>1001</v>
      </c>
      <c r="G81" s="18">
        <v>16</v>
      </c>
      <c r="H81" s="8"/>
      <c r="I81" s="8"/>
      <c r="J81" s="19">
        <v>4</v>
      </c>
      <c r="K81" s="19">
        <v>4000</v>
      </c>
    </row>
    <row r="82" spans="1:11">
      <c r="A82" t="str">
        <f t="shared" si="1"/>
        <v>D16 v3</v>
      </c>
      <c r="B82" s="134" t="s">
        <v>1020</v>
      </c>
      <c r="C82" s="18">
        <v>16</v>
      </c>
      <c r="D82" s="18">
        <v>64</v>
      </c>
      <c r="E82" s="18">
        <v>400</v>
      </c>
      <c r="F82" s="18" t="s">
        <v>1004</v>
      </c>
      <c r="G82" s="18">
        <v>32</v>
      </c>
      <c r="H82" s="8"/>
      <c r="I82" s="8"/>
      <c r="J82" s="19">
        <v>8</v>
      </c>
      <c r="K82" s="19">
        <v>8000</v>
      </c>
    </row>
    <row r="83" spans="1:11">
      <c r="A83" t="str">
        <f t="shared" si="1"/>
        <v>D32 v3</v>
      </c>
      <c r="B83" s="134" t="s">
        <v>1021</v>
      </c>
      <c r="C83" s="18">
        <v>32</v>
      </c>
      <c r="D83" s="18">
        <v>128</v>
      </c>
      <c r="E83" s="18">
        <v>800</v>
      </c>
      <c r="F83" s="18" t="s">
        <v>1007</v>
      </c>
      <c r="G83" s="18">
        <v>32</v>
      </c>
      <c r="H83" s="8"/>
      <c r="I83" s="8"/>
      <c r="J83" s="19">
        <v>8</v>
      </c>
      <c r="K83" s="19">
        <v>16000</v>
      </c>
    </row>
    <row r="84" spans="1:11">
      <c r="A84" t="str">
        <f t="shared" si="1"/>
        <v>D48 v3</v>
      </c>
      <c r="B84" s="134" t="s">
        <v>1022</v>
      </c>
      <c r="C84" s="18">
        <v>48</v>
      </c>
      <c r="D84" s="18">
        <v>192</v>
      </c>
      <c r="E84" s="18">
        <v>1200</v>
      </c>
      <c r="F84" s="18" t="s">
        <v>1023</v>
      </c>
      <c r="G84" s="18">
        <v>32</v>
      </c>
      <c r="H84" s="8"/>
      <c r="I84" s="8"/>
      <c r="J84" s="19">
        <v>8</v>
      </c>
      <c r="K84" s="19">
        <v>24000</v>
      </c>
    </row>
    <row r="85" spans="1:11" ht="15" thickBot="1">
      <c r="A85" t="str">
        <f t="shared" si="1"/>
        <v>D64 v3</v>
      </c>
      <c r="B85" s="135" t="s">
        <v>1024</v>
      </c>
      <c r="C85" s="65">
        <v>64</v>
      </c>
      <c r="D85" s="65">
        <v>256</v>
      </c>
      <c r="E85" s="65">
        <v>1600</v>
      </c>
      <c r="F85" s="65" t="s">
        <v>1023</v>
      </c>
      <c r="G85" s="65">
        <v>32</v>
      </c>
      <c r="H85" s="8"/>
      <c r="I85" s="8"/>
      <c r="J85" s="66">
        <v>8</v>
      </c>
      <c r="K85" s="66">
        <v>30000</v>
      </c>
    </row>
    <row r="86" spans="1:11">
      <c r="A86" t="str">
        <f t="shared" si="1"/>
        <v>D2ds v4</v>
      </c>
      <c r="B86" s="139" t="s">
        <v>56</v>
      </c>
      <c r="C86" s="140">
        <v>2</v>
      </c>
      <c r="D86" s="140">
        <v>8</v>
      </c>
      <c r="E86" s="140">
        <v>75</v>
      </c>
      <c r="F86" s="140" t="s">
        <v>1025</v>
      </c>
      <c r="G86" s="140">
        <v>4</v>
      </c>
      <c r="H86" s="140">
        <v>3200</v>
      </c>
      <c r="I86" s="140">
        <v>48</v>
      </c>
      <c r="J86" s="140">
        <v>2</v>
      </c>
      <c r="K86" s="141">
        <v>1000</v>
      </c>
    </row>
    <row r="87" spans="1:11">
      <c r="A87" t="str">
        <f t="shared" si="1"/>
        <v>D4ds v4</v>
      </c>
      <c r="B87" s="142" t="s">
        <v>57</v>
      </c>
      <c r="C87" s="38">
        <v>4</v>
      </c>
      <c r="D87" s="38">
        <v>16</v>
      </c>
      <c r="E87" s="38">
        <v>150</v>
      </c>
      <c r="F87" s="38" t="s">
        <v>1026</v>
      </c>
      <c r="G87" s="38">
        <v>8</v>
      </c>
      <c r="H87" s="38">
        <v>6400</v>
      </c>
      <c r="I87" s="38">
        <v>96</v>
      </c>
      <c r="J87" s="38">
        <v>2</v>
      </c>
      <c r="K87" s="39">
        <v>2000</v>
      </c>
    </row>
    <row r="88" spans="1:11">
      <c r="A88" t="str">
        <f t="shared" si="1"/>
        <v>D8ds v4</v>
      </c>
      <c r="B88" s="142" t="s">
        <v>58</v>
      </c>
      <c r="C88" s="38">
        <v>8</v>
      </c>
      <c r="D88" s="38">
        <v>32</v>
      </c>
      <c r="E88" s="38">
        <v>300</v>
      </c>
      <c r="F88" s="38" t="s">
        <v>1027</v>
      </c>
      <c r="G88" s="38">
        <v>16</v>
      </c>
      <c r="H88" s="38">
        <v>12800</v>
      </c>
      <c r="I88" s="38">
        <v>192</v>
      </c>
      <c r="J88" s="38">
        <v>4</v>
      </c>
      <c r="K88" s="39">
        <v>4000</v>
      </c>
    </row>
    <row r="89" spans="1:11">
      <c r="A89" t="str">
        <f t="shared" si="1"/>
        <v>D16ds v4</v>
      </c>
      <c r="B89" s="142" t="s">
        <v>59</v>
      </c>
      <c r="C89" s="38">
        <v>16</v>
      </c>
      <c r="D89" s="38">
        <v>64</v>
      </c>
      <c r="E89" s="38">
        <v>600</v>
      </c>
      <c r="F89" s="38" t="s">
        <v>1028</v>
      </c>
      <c r="G89" s="38">
        <v>32</v>
      </c>
      <c r="H89" s="38">
        <v>25600</v>
      </c>
      <c r="I89" s="38">
        <v>384</v>
      </c>
      <c r="J89" s="38">
        <v>8</v>
      </c>
      <c r="K89" s="39">
        <v>8000</v>
      </c>
    </row>
    <row r="90" spans="1:11">
      <c r="A90" t="str">
        <f t="shared" si="1"/>
        <v>D32ds v4</v>
      </c>
      <c r="B90" s="142" t="s">
        <v>60</v>
      </c>
      <c r="C90" s="38">
        <v>32</v>
      </c>
      <c r="D90" s="38">
        <v>128</v>
      </c>
      <c r="E90" s="38">
        <v>1200</v>
      </c>
      <c r="F90" s="38" t="s">
        <v>1029</v>
      </c>
      <c r="G90" s="38">
        <v>32</v>
      </c>
      <c r="H90" s="38">
        <v>51200</v>
      </c>
      <c r="I90" s="38">
        <v>768</v>
      </c>
      <c r="J90" s="38">
        <v>8</v>
      </c>
      <c r="K90" s="39">
        <v>16000</v>
      </c>
    </row>
    <row r="91" spans="1:11">
      <c r="A91" t="str">
        <f t="shared" si="1"/>
        <v>D48ds v4</v>
      </c>
      <c r="B91" s="142" t="s">
        <v>61</v>
      </c>
      <c r="C91" s="38">
        <v>48</v>
      </c>
      <c r="D91" s="38">
        <v>192</v>
      </c>
      <c r="E91" s="38">
        <v>1800</v>
      </c>
      <c r="F91" s="38" t="s">
        <v>1030</v>
      </c>
      <c r="G91" s="38">
        <v>32</v>
      </c>
      <c r="H91" s="38">
        <v>76800</v>
      </c>
      <c r="I91" s="38">
        <v>1152</v>
      </c>
      <c r="J91" s="38">
        <v>8</v>
      </c>
      <c r="K91" s="39">
        <v>24000</v>
      </c>
    </row>
    <row r="92" spans="1:11" ht="15" thickBot="1">
      <c r="A92" t="str">
        <f t="shared" si="1"/>
        <v>D64ds v4</v>
      </c>
      <c r="B92" s="143" t="s">
        <v>62</v>
      </c>
      <c r="C92" s="41">
        <v>64</v>
      </c>
      <c r="D92" s="41">
        <v>256</v>
      </c>
      <c r="E92" s="41">
        <v>2400</v>
      </c>
      <c r="F92" s="41" t="s">
        <v>1031</v>
      </c>
      <c r="G92" s="41">
        <v>32</v>
      </c>
      <c r="H92" s="41">
        <v>80000</v>
      </c>
      <c r="I92" s="41">
        <v>1200</v>
      </c>
      <c r="J92" s="41">
        <v>8</v>
      </c>
      <c r="K92" s="42">
        <v>30000</v>
      </c>
    </row>
    <row r="93" spans="1:11">
      <c r="A93" t="str">
        <f t="shared" si="1"/>
        <v>D2as v4</v>
      </c>
      <c r="B93" s="144" t="s">
        <v>47</v>
      </c>
      <c r="C93" s="145">
        <v>2</v>
      </c>
      <c r="D93" s="145">
        <v>8</v>
      </c>
      <c r="E93" s="145">
        <v>16</v>
      </c>
      <c r="F93" s="145" t="s">
        <v>960</v>
      </c>
      <c r="G93" s="145">
        <v>4</v>
      </c>
      <c r="H93" s="145">
        <v>3200</v>
      </c>
      <c r="I93" s="145">
        <v>48</v>
      </c>
      <c r="J93" s="145">
        <v>2</v>
      </c>
      <c r="K93" s="146">
        <v>800</v>
      </c>
    </row>
    <row r="94" spans="1:11">
      <c r="A94" t="str">
        <f t="shared" si="1"/>
        <v>D4as v4</v>
      </c>
      <c r="B94" s="147" t="s">
        <v>49</v>
      </c>
      <c r="C94" s="32">
        <v>4</v>
      </c>
      <c r="D94" s="32">
        <v>16</v>
      </c>
      <c r="E94" s="32">
        <v>32</v>
      </c>
      <c r="F94" s="32" t="s">
        <v>961</v>
      </c>
      <c r="G94" s="32">
        <v>8</v>
      </c>
      <c r="H94" s="32">
        <v>6400</v>
      </c>
      <c r="I94" s="32">
        <v>96</v>
      </c>
      <c r="J94" s="32">
        <v>2</v>
      </c>
      <c r="K94" s="148">
        <v>1600</v>
      </c>
    </row>
    <row r="95" spans="1:11">
      <c r="A95" t="str">
        <f t="shared" si="1"/>
        <v>D8as v4</v>
      </c>
      <c r="B95" s="147" t="s">
        <v>50</v>
      </c>
      <c r="C95" s="32">
        <v>8</v>
      </c>
      <c r="D95" s="32">
        <v>32</v>
      </c>
      <c r="E95" s="32">
        <v>64</v>
      </c>
      <c r="F95" s="32" t="s">
        <v>962</v>
      </c>
      <c r="G95" s="32">
        <v>16</v>
      </c>
      <c r="H95" s="32">
        <v>12800</v>
      </c>
      <c r="I95" s="32">
        <v>192</v>
      </c>
      <c r="J95" s="32">
        <v>4</v>
      </c>
      <c r="K95" s="148">
        <v>3200</v>
      </c>
    </row>
    <row r="96" spans="1:11">
      <c r="A96" t="str">
        <f t="shared" si="1"/>
        <v>D16as v4</v>
      </c>
      <c r="B96" s="147" t="s">
        <v>51</v>
      </c>
      <c r="C96" s="32">
        <v>16</v>
      </c>
      <c r="D96" s="32">
        <v>64</v>
      </c>
      <c r="E96" s="32">
        <v>128</v>
      </c>
      <c r="F96" s="32" t="s">
        <v>963</v>
      </c>
      <c r="G96" s="32">
        <v>32</v>
      </c>
      <c r="H96" s="32">
        <v>25600</v>
      </c>
      <c r="I96" s="32">
        <v>384</v>
      </c>
      <c r="J96" s="32">
        <v>8</v>
      </c>
      <c r="K96" s="148">
        <v>6400</v>
      </c>
    </row>
    <row r="97" spans="1:11">
      <c r="A97" t="str">
        <f t="shared" si="1"/>
        <v>D32as v4</v>
      </c>
      <c r="B97" s="147" t="s">
        <v>52</v>
      </c>
      <c r="C97" s="32">
        <v>32</v>
      </c>
      <c r="D97" s="32">
        <v>128</v>
      </c>
      <c r="E97" s="32">
        <v>256</v>
      </c>
      <c r="F97" s="32" t="s">
        <v>964</v>
      </c>
      <c r="G97" s="32">
        <v>32</v>
      </c>
      <c r="H97" s="32">
        <v>51200</v>
      </c>
      <c r="I97" s="32">
        <v>768</v>
      </c>
      <c r="J97" s="32">
        <v>8</v>
      </c>
      <c r="K97" s="148">
        <v>12800</v>
      </c>
    </row>
    <row r="98" spans="1:11">
      <c r="A98" t="str">
        <f t="shared" si="1"/>
        <v>D48as v4</v>
      </c>
      <c r="B98" s="147" t="s">
        <v>53</v>
      </c>
      <c r="C98" s="32">
        <v>48</v>
      </c>
      <c r="D98" s="32">
        <v>192</v>
      </c>
      <c r="E98" s="32">
        <v>384</v>
      </c>
      <c r="F98" s="32" t="s">
        <v>965</v>
      </c>
      <c r="G98" s="32">
        <v>32</v>
      </c>
      <c r="H98" s="32">
        <v>76800</v>
      </c>
      <c r="I98" s="32">
        <v>1148</v>
      </c>
      <c r="J98" s="32">
        <v>8</v>
      </c>
      <c r="K98" s="148">
        <v>19200</v>
      </c>
    </row>
    <row r="99" spans="1:11">
      <c r="A99" t="str">
        <f t="shared" si="1"/>
        <v>D64as v4</v>
      </c>
      <c r="B99" s="147" t="s">
        <v>54</v>
      </c>
      <c r="C99" s="32">
        <v>64</v>
      </c>
      <c r="D99" s="32">
        <v>256</v>
      </c>
      <c r="E99" s="32">
        <v>512</v>
      </c>
      <c r="F99" s="32" t="s">
        <v>966</v>
      </c>
      <c r="G99" s="32">
        <v>32</v>
      </c>
      <c r="H99" s="32">
        <v>80000</v>
      </c>
      <c r="I99" s="32">
        <v>1200</v>
      </c>
      <c r="J99" s="32">
        <v>8</v>
      </c>
      <c r="K99" s="148">
        <v>25600</v>
      </c>
    </row>
    <row r="100" spans="1:11" ht="15" thickBot="1">
      <c r="A100" t="str">
        <f t="shared" si="1"/>
        <v>D96as v4</v>
      </c>
      <c r="B100" s="149" t="s">
        <v>55</v>
      </c>
      <c r="C100" s="150">
        <v>96</v>
      </c>
      <c r="D100" s="150">
        <v>384</v>
      </c>
      <c r="E100" s="150">
        <v>768</v>
      </c>
      <c r="F100" s="150" t="s">
        <v>967</v>
      </c>
      <c r="G100" s="150">
        <v>32</v>
      </c>
      <c r="H100" s="150">
        <v>80000</v>
      </c>
      <c r="I100" s="150">
        <v>1200</v>
      </c>
      <c r="J100" s="150">
        <v>8</v>
      </c>
      <c r="K100" s="33">
        <v>32000</v>
      </c>
    </row>
    <row r="101" spans="1:11">
      <c r="A101" t="str">
        <f t="shared" si="1"/>
        <v>E2s v3</v>
      </c>
      <c r="B101" s="133" t="s">
        <v>1032</v>
      </c>
      <c r="C101" s="15">
        <v>2</v>
      </c>
      <c r="D101" s="15">
        <v>16</v>
      </c>
      <c r="E101" s="15">
        <v>32</v>
      </c>
      <c r="F101" s="15" t="s">
        <v>949</v>
      </c>
      <c r="G101" s="15">
        <v>4</v>
      </c>
      <c r="H101" s="15">
        <v>3200</v>
      </c>
      <c r="I101" s="67">
        <v>48</v>
      </c>
      <c r="J101" s="16">
        <v>2</v>
      </c>
      <c r="K101" s="16">
        <v>1000</v>
      </c>
    </row>
    <row r="102" spans="1:11">
      <c r="A102" t="str">
        <f t="shared" si="1"/>
        <v>E4s v3</v>
      </c>
      <c r="B102" s="134" t="s">
        <v>1033</v>
      </c>
      <c r="C102" s="18">
        <v>4</v>
      </c>
      <c r="D102" s="18">
        <v>32</v>
      </c>
      <c r="E102" s="18">
        <v>64</v>
      </c>
      <c r="F102" s="18" t="s">
        <v>950</v>
      </c>
      <c r="G102" s="18">
        <v>8</v>
      </c>
      <c r="H102" s="18">
        <v>6400</v>
      </c>
      <c r="I102" s="68">
        <v>96</v>
      </c>
      <c r="J102" s="19">
        <v>2</v>
      </c>
      <c r="K102" s="19">
        <v>2000</v>
      </c>
    </row>
    <row r="103" spans="1:11">
      <c r="A103" t="str">
        <f t="shared" si="1"/>
        <v>E8s v3</v>
      </c>
      <c r="B103" s="134" t="s">
        <v>500</v>
      </c>
      <c r="C103" s="18">
        <v>8</v>
      </c>
      <c r="D103" s="18">
        <v>64</v>
      </c>
      <c r="E103" s="18">
        <v>128</v>
      </c>
      <c r="F103" s="18" t="s">
        <v>951</v>
      </c>
      <c r="G103" s="18">
        <v>16</v>
      </c>
      <c r="H103" s="18">
        <v>12800</v>
      </c>
      <c r="I103" s="68">
        <v>192</v>
      </c>
      <c r="J103" s="19">
        <v>4</v>
      </c>
      <c r="K103" s="19">
        <v>4000</v>
      </c>
    </row>
    <row r="104" spans="1:11">
      <c r="A104" t="str">
        <f t="shared" si="1"/>
        <v>E16s v3</v>
      </c>
      <c r="B104" s="134" t="s">
        <v>624</v>
      </c>
      <c r="C104" s="18">
        <v>16</v>
      </c>
      <c r="D104" s="18">
        <v>128</v>
      </c>
      <c r="E104" s="18">
        <v>256</v>
      </c>
      <c r="F104" s="18" t="s">
        <v>953</v>
      </c>
      <c r="G104" s="18">
        <v>32</v>
      </c>
      <c r="H104" s="18">
        <v>25600</v>
      </c>
      <c r="I104" s="68">
        <v>384</v>
      </c>
      <c r="J104" s="19">
        <v>8</v>
      </c>
      <c r="K104" s="19">
        <v>8000</v>
      </c>
    </row>
    <row r="105" spans="1:11">
      <c r="A105" t="str">
        <f t="shared" si="1"/>
        <v>E20s v3</v>
      </c>
      <c r="B105" s="134" t="s">
        <v>649</v>
      </c>
      <c r="C105" s="18">
        <v>20</v>
      </c>
      <c r="D105" s="18">
        <v>160</v>
      </c>
      <c r="E105" s="18">
        <v>320</v>
      </c>
      <c r="F105" s="18" t="s">
        <v>1034</v>
      </c>
      <c r="G105" s="18">
        <v>32</v>
      </c>
      <c r="H105" s="18">
        <v>32000</v>
      </c>
      <c r="I105" s="68">
        <v>480</v>
      </c>
      <c r="J105" s="19">
        <v>8</v>
      </c>
      <c r="K105" s="19">
        <v>10000</v>
      </c>
    </row>
    <row r="106" spans="1:11">
      <c r="A106" t="str">
        <f t="shared" si="1"/>
        <v>E32s v3</v>
      </c>
      <c r="B106" s="134" t="s">
        <v>639</v>
      </c>
      <c r="C106" s="18">
        <v>32</v>
      </c>
      <c r="D106" s="18">
        <v>256</v>
      </c>
      <c r="E106" s="18">
        <v>512</v>
      </c>
      <c r="F106" s="18" t="s">
        <v>955</v>
      </c>
      <c r="G106" s="18">
        <v>32</v>
      </c>
      <c r="H106" s="18">
        <v>51200</v>
      </c>
      <c r="I106" s="68">
        <v>768</v>
      </c>
      <c r="J106" s="19">
        <v>8</v>
      </c>
      <c r="K106" s="19">
        <v>16000</v>
      </c>
    </row>
    <row r="107" spans="1:11">
      <c r="A107" t="str">
        <f t="shared" si="1"/>
        <v>E48s v3</v>
      </c>
      <c r="B107" s="134" t="s">
        <v>1035</v>
      </c>
      <c r="C107" s="18">
        <v>48</v>
      </c>
      <c r="D107" s="18">
        <v>384</v>
      </c>
      <c r="E107" s="18">
        <v>768</v>
      </c>
      <c r="F107" s="18" t="s">
        <v>957</v>
      </c>
      <c r="G107" s="18">
        <v>32</v>
      </c>
      <c r="H107" s="18">
        <v>76800</v>
      </c>
      <c r="I107" s="68">
        <v>1152</v>
      </c>
      <c r="J107" s="19">
        <v>8</v>
      </c>
      <c r="K107" s="19">
        <v>24000</v>
      </c>
    </row>
    <row r="108" spans="1:11">
      <c r="A108" t="str">
        <f t="shared" si="1"/>
        <v>E64s v3</v>
      </c>
      <c r="B108" s="134" t="s">
        <v>1036</v>
      </c>
      <c r="C108" s="18">
        <v>64</v>
      </c>
      <c r="D108" s="18">
        <v>432</v>
      </c>
      <c r="E108" s="18">
        <v>864</v>
      </c>
      <c r="F108" s="18" t="s">
        <v>959</v>
      </c>
      <c r="G108" s="18">
        <v>32</v>
      </c>
      <c r="H108" s="18">
        <v>80000</v>
      </c>
      <c r="I108" s="68">
        <v>1200</v>
      </c>
      <c r="J108" s="19">
        <v>8</v>
      </c>
      <c r="K108" s="19">
        <v>30000</v>
      </c>
    </row>
    <row r="109" spans="1:11" ht="15" thickBot="1">
      <c r="A109" t="str">
        <f t="shared" si="1"/>
        <v>E64is v3</v>
      </c>
      <c r="B109" s="135" t="s">
        <v>1037</v>
      </c>
      <c r="C109" s="65">
        <v>64</v>
      </c>
      <c r="D109" s="65">
        <v>432</v>
      </c>
      <c r="E109" s="65">
        <v>864</v>
      </c>
      <c r="F109" s="65" t="s">
        <v>959</v>
      </c>
      <c r="G109" s="65">
        <v>32</v>
      </c>
      <c r="H109" s="65">
        <v>80000</v>
      </c>
      <c r="I109" s="69">
        <v>1200</v>
      </c>
      <c r="J109" s="66">
        <v>8</v>
      </c>
      <c r="K109" s="66">
        <v>30000</v>
      </c>
    </row>
    <row r="110" spans="1:11">
      <c r="A110" t="str">
        <f t="shared" si="1"/>
        <v>E2ds v4</v>
      </c>
      <c r="B110" s="151" t="s">
        <v>63</v>
      </c>
      <c r="C110" s="152">
        <v>2</v>
      </c>
      <c r="D110" s="152">
        <v>16</v>
      </c>
      <c r="E110" s="152">
        <v>75</v>
      </c>
      <c r="F110" s="152" t="s">
        <v>1025</v>
      </c>
      <c r="G110" s="152">
        <v>4</v>
      </c>
      <c r="H110" s="152">
        <v>3200</v>
      </c>
      <c r="I110" s="152">
        <v>48</v>
      </c>
      <c r="J110" s="152">
        <v>2</v>
      </c>
      <c r="K110" s="157">
        <v>1000</v>
      </c>
    </row>
    <row r="111" spans="1:11">
      <c r="A111" t="str">
        <f t="shared" si="1"/>
        <v>E4ds v4</v>
      </c>
      <c r="B111" s="153" t="s">
        <v>64</v>
      </c>
      <c r="C111" s="48">
        <v>4</v>
      </c>
      <c r="D111" s="48">
        <v>32</v>
      </c>
      <c r="E111" s="48">
        <v>150</v>
      </c>
      <c r="F111" s="48" t="s">
        <v>1026</v>
      </c>
      <c r="G111" s="48">
        <v>8</v>
      </c>
      <c r="H111" s="48">
        <v>6400</v>
      </c>
      <c r="I111" s="48">
        <v>96</v>
      </c>
      <c r="J111" s="48">
        <v>2</v>
      </c>
      <c r="K111" s="50">
        <v>2000</v>
      </c>
    </row>
    <row r="112" spans="1:11">
      <c r="A112" t="str">
        <f t="shared" si="1"/>
        <v>E8ds v4</v>
      </c>
      <c r="B112" s="153" t="s">
        <v>68</v>
      </c>
      <c r="C112" s="48">
        <v>8</v>
      </c>
      <c r="D112" s="48">
        <v>64</v>
      </c>
      <c r="E112" s="48">
        <v>300</v>
      </c>
      <c r="F112" s="48" t="s">
        <v>1027</v>
      </c>
      <c r="G112" s="48">
        <v>16</v>
      </c>
      <c r="H112" s="48">
        <v>12800</v>
      </c>
      <c r="I112" s="48">
        <v>192</v>
      </c>
      <c r="J112" s="48">
        <v>4</v>
      </c>
      <c r="K112" s="50">
        <v>4000</v>
      </c>
    </row>
    <row r="113" spans="1:11">
      <c r="A113" t="str">
        <f t="shared" si="1"/>
        <v>E16ds v4</v>
      </c>
      <c r="B113" s="153" t="s">
        <v>71</v>
      </c>
      <c r="C113" s="48">
        <v>16</v>
      </c>
      <c r="D113" s="48">
        <v>128</v>
      </c>
      <c r="E113" s="48">
        <v>600</v>
      </c>
      <c r="F113" s="48" t="s">
        <v>1028</v>
      </c>
      <c r="G113" s="48">
        <v>32</v>
      </c>
      <c r="H113" s="48">
        <v>25600</v>
      </c>
      <c r="I113" s="48">
        <v>384</v>
      </c>
      <c r="J113" s="48">
        <v>8</v>
      </c>
      <c r="K113" s="50">
        <v>8000</v>
      </c>
    </row>
    <row r="114" spans="1:11">
      <c r="A114" t="str">
        <f t="shared" si="1"/>
        <v>E20ds v4</v>
      </c>
      <c r="B114" s="153" t="s">
        <v>72</v>
      </c>
      <c r="C114" s="48">
        <v>20</v>
      </c>
      <c r="D114" s="48">
        <v>160</v>
      </c>
      <c r="E114" s="48">
        <v>750</v>
      </c>
      <c r="F114" s="48" t="s">
        <v>1038</v>
      </c>
      <c r="G114" s="48">
        <v>32</v>
      </c>
      <c r="H114" s="48">
        <v>32000</v>
      </c>
      <c r="I114" s="48">
        <v>480</v>
      </c>
      <c r="J114" s="48">
        <v>8</v>
      </c>
      <c r="K114" s="50">
        <v>10000</v>
      </c>
    </row>
    <row r="115" spans="1:11">
      <c r="A115" t="str">
        <f t="shared" si="1"/>
        <v>E32ds v4</v>
      </c>
      <c r="B115" s="153" t="s">
        <v>74</v>
      </c>
      <c r="C115" s="48">
        <v>32</v>
      </c>
      <c r="D115" s="48">
        <v>256</v>
      </c>
      <c r="E115" s="48">
        <v>1200</v>
      </c>
      <c r="F115" s="48" t="s">
        <v>1029</v>
      </c>
      <c r="G115" s="48">
        <v>32</v>
      </c>
      <c r="H115" s="48">
        <v>51200</v>
      </c>
      <c r="I115" s="48">
        <v>768</v>
      </c>
      <c r="J115" s="48">
        <v>8</v>
      </c>
      <c r="K115" s="50">
        <v>16000</v>
      </c>
    </row>
    <row r="116" spans="1:11">
      <c r="A116" t="str">
        <f t="shared" si="1"/>
        <v>E48ds v4</v>
      </c>
      <c r="B116" s="153" t="s">
        <v>76</v>
      </c>
      <c r="C116" s="48">
        <v>48</v>
      </c>
      <c r="D116" s="48">
        <v>384</v>
      </c>
      <c r="E116" s="48">
        <v>1800</v>
      </c>
      <c r="F116" s="48" t="s">
        <v>1030</v>
      </c>
      <c r="G116" s="48">
        <v>32</v>
      </c>
      <c r="H116" s="48">
        <v>76800</v>
      </c>
      <c r="I116" s="48">
        <v>1152</v>
      </c>
      <c r="J116" s="48">
        <v>8</v>
      </c>
      <c r="K116" s="50">
        <v>24000</v>
      </c>
    </row>
    <row r="117" spans="1:11">
      <c r="A117" t="str">
        <f t="shared" si="1"/>
        <v>E64ds v4</v>
      </c>
      <c r="B117" s="153" t="s">
        <v>1039</v>
      </c>
      <c r="C117" s="48">
        <v>64</v>
      </c>
      <c r="D117" s="48">
        <v>504</v>
      </c>
      <c r="E117" s="48">
        <v>2400</v>
      </c>
      <c r="F117" s="48" t="s">
        <v>1031</v>
      </c>
      <c r="G117" s="48">
        <v>32</v>
      </c>
      <c r="H117" s="48">
        <v>80000</v>
      </c>
      <c r="I117" s="48">
        <v>1200</v>
      </c>
      <c r="J117" s="48">
        <v>8</v>
      </c>
      <c r="K117" s="50">
        <v>30000</v>
      </c>
    </row>
    <row r="118" spans="1:11" ht="15" thickBot="1">
      <c r="A118" t="str">
        <f t="shared" si="1"/>
        <v>E80ids v4</v>
      </c>
      <c r="B118" s="158" t="s">
        <v>1040</v>
      </c>
      <c r="C118" s="52">
        <v>80</v>
      </c>
      <c r="D118" s="52">
        <v>504</v>
      </c>
      <c r="E118" s="52">
        <v>2400</v>
      </c>
      <c r="F118" s="52" t="s">
        <v>1031</v>
      </c>
      <c r="G118" s="52">
        <v>32</v>
      </c>
      <c r="H118" s="52">
        <v>80000</v>
      </c>
      <c r="I118" s="52">
        <v>1500</v>
      </c>
      <c r="J118" s="52">
        <v>8</v>
      </c>
      <c r="K118" s="54">
        <v>30000</v>
      </c>
    </row>
    <row r="119" spans="1:11">
      <c r="A119" t="str">
        <f t="shared" si="1"/>
        <v>E64-32ds v4</v>
      </c>
      <c r="B119" s="168" t="s">
        <v>1041</v>
      </c>
      <c r="C119" s="48">
        <v>32</v>
      </c>
      <c r="D119" s="48">
        <v>504</v>
      </c>
      <c r="E119" s="48">
        <v>2400</v>
      </c>
      <c r="F119" s="48" t="s">
        <v>1031</v>
      </c>
      <c r="G119" s="48">
        <v>32</v>
      </c>
      <c r="H119" s="48">
        <v>80000</v>
      </c>
      <c r="I119" s="48">
        <v>1200</v>
      </c>
      <c r="J119" s="48">
        <v>8</v>
      </c>
      <c r="K119" s="50">
        <v>30000</v>
      </c>
    </row>
    <row r="120" spans="1:11">
      <c r="A120" t="str">
        <f t="shared" si="1"/>
        <v>E16-8ds v4</v>
      </c>
      <c r="B120" s="168" t="s">
        <v>69</v>
      </c>
      <c r="C120" s="48">
        <v>8</v>
      </c>
      <c r="D120" s="48">
        <v>128</v>
      </c>
      <c r="E120" s="48">
        <v>600</v>
      </c>
      <c r="F120" s="48" t="s">
        <v>1028</v>
      </c>
      <c r="G120" s="48">
        <v>32</v>
      </c>
      <c r="H120" s="48">
        <v>25600</v>
      </c>
      <c r="I120" s="48">
        <v>384</v>
      </c>
      <c r="J120" s="48">
        <v>8</v>
      </c>
      <c r="K120" s="50">
        <v>8000</v>
      </c>
    </row>
    <row r="121" spans="1:11">
      <c r="A121" t="str">
        <f t="shared" si="1"/>
        <v>E16-4ds v4</v>
      </c>
      <c r="B121" s="168" t="s">
        <v>70</v>
      </c>
      <c r="C121" s="48">
        <v>4</v>
      </c>
      <c r="D121" s="48">
        <v>128</v>
      </c>
      <c r="E121" s="48">
        <v>600</v>
      </c>
      <c r="F121" s="48" t="s">
        <v>1028</v>
      </c>
      <c r="G121" s="48">
        <v>32</v>
      </c>
      <c r="H121" s="48">
        <v>25600</v>
      </c>
      <c r="I121" s="48">
        <v>384</v>
      </c>
      <c r="J121" s="48">
        <v>8</v>
      </c>
      <c r="K121" s="50">
        <v>8000</v>
      </c>
    </row>
    <row r="122" spans="1:11">
      <c r="A122" t="str">
        <f t="shared" si="1"/>
        <v>E8-4ds v4</v>
      </c>
      <c r="B122" s="168" t="s">
        <v>67</v>
      </c>
      <c r="C122" s="48">
        <v>4</v>
      </c>
      <c r="D122" s="48">
        <v>64</v>
      </c>
      <c r="E122" s="48">
        <v>300</v>
      </c>
      <c r="F122" s="48" t="s">
        <v>1027</v>
      </c>
      <c r="G122" s="48">
        <v>16</v>
      </c>
      <c r="H122" s="48">
        <v>12800</v>
      </c>
      <c r="I122" s="48">
        <v>192</v>
      </c>
      <c r="J122" s="48">
        <v>4</v>
      </c>
      <c r="K122" s="50">
        <v>4000</v>
      </c>
    </row>
    <row r="123" spans="1:11">
      <c r="A123" t="str">
        <f t="shared" si="1"/>
        <v>E8-2ds v4</v>
      </c>
      <c r="B123" s="168" t="s">
        <v>66</v>
      </c>
      <c r="C123" s="48">
        <v>2</v>
      </c>
      <c r="D123" s="48">
        <v>64</v>
      </c>
      <c r="E123" s="48">
        <v>300</v>
      </c>
      <c r="F123" s="48" t="s">
        <v>1027</v>
      </c>
      <c r="G123" s="48">
        <v>16</v>
      </c>
      <c r="H123" s="48">
        <v>12800</v>
      </c>
      <c r="I123" s="48">
        <v>192</v>
      </c>
      <c r="J123" s="48">
        <v>4</v>
      </c>
      <c r="K123" s="50">
        <v>4000</v>
      </c>
    </row>
    <row r="124" spans="1:11">
      <c r="A124" t="str">
        <f t="shared" si="1"/>
        <v>E32-16ds v4</v>
      </c>
      <c r="B124" s="153" t="s">
        <v>73</v>
      </c>
      <c r="C124" s="48">
        <v>16</v>
      </c>
      <c r="D124" s="48">
        <v>256</v>
      </c>
      <c r="E124" s="48">
        <v>1200</v>
      </c>
      <c r="F124" s="48" t="s">
        <v>1029</v>
      </c>
      <c r="G124" s="48">
        <v>32</v>
      </c>
      <c r="H124" s="48">
        <v>51200</v>
      </c>
      <c r="I124" s="48">
        <v>768</v>
      </c>
      <c r="J124" s="48">
        <v>8</v>
      </c>
      <c r="K124" s="50">
        <v>16000</v>
      </c>
    </row>
    <row r="125" spans="1:11">
      <c r="A125" t="str">
        <f t="shared" si="1"/>
        <v>E32-8ds v4</v>
      </c>
      <c r="B125" s="153" t="s">
        <v>75</v>
      </c>
      <c r="C125" s="48">
        <v>8</v>
      </c>
      <c r="D125" s="48">
        <v>256</v>
      </c>
      <c r="E125" s="48">
        <v>1200</v>
      </c>
      <c r="F125" s="48" t="s">
        <v>1029</v>
      </c>
      <c r="G125" s="48">
        <v>32</v>
      </c>
      <c r="H125" s="48">
        <v>51200</v>
      </c>
      <c r="I125" s="48">
        <v>768</v>
      </c>
      <c r="J125" s="48">
        <v>8</v>
      </c>
      <c r="K125" s="50">
        <v>16000</v>
      </c>
    </row>
    <row r="126" spans="1:11">
      <c r="A126" t="str">
        <f t="shared" si="1"/>
        <v>E4-2ds v4</v>
      </c>
      <c r="B126" s="168" t="s">
        <v>65</v>
      </c>
      <c r="C126" s="48">
        <v>2</v>
      </c>
      <c r="D126" s="48">
        <v>32</v>
      </c>
      <c r="E126" s="48">
        <v>150</v>
      </c>
      <c r="F126" s="48" t="s">
        <v>1026</v>
      </c>
      <c r="G126" s="48">
        <v>8</v>
      </c>
      <c r="H126" s="48">
        <v>6400</v>
      </c>
      <c r="I126" s="48">
        <v>96</v>
      </c>
      <c r="J126" s="48">
        <v>2</v>
      </c>
      <c r="K126" s="50">
        <v>2000</v>
      </c>
    </row>
    <row r="127" spans="1:11">
      <c r="A127" t="str">
        <f t="shared" si="1"/>
        <v>F1</v>
      </c>
      <c r="B127" s="133" t="s">
        <v>1042</v>
      </c>
      <c r="C127" s="15">
        <v>1</v>
      </c>
      <c r="D127" s="15" t="s">
        <v>1043</v>
      </c>
      <c r="E127" s="15" t="s">
        <v>1044</v>
      </c>
    </row>
    <row r="128" spans="1:11">
      <c r="A128" t="str">
        <f t="shared" si="1"/>
        <v>F2</v>
      </c>
      <c r="B128" s="134" t="s">
        <v>824</v>
      </c>
      <c r="C128" s="18">
        <v>2</v>
      </c>
      <c r="D128" s="18" t="s">
        <v>1045</v>
      </c>
      <c r="E128" s="18" t="s">
        <v>1046</v>
      </c>
    </row>
    <row r="129" spans="1:11">
      <c r="A129" t="str">
        <f t="shared" si="1"/>
        <v>F4</v>
      </c>
      <c r="B129" s="134" t="s">
        <v>1047</v>
      </c>
      <c r="C129" s="18">
        <v>4</v>
      </c>
      <c r="D129" s="18" t="s">
        <v>1048</v>
      </c>
      <c r="E129" s="18" t="s">
        <v>1049</v>
      </c>
    </row>
    <row r="130" spans="1:11">
      <c r="A130" t="str">
        <f t="shared" si="1"/>
        <v>F8</v>
      </c>
      <c r="B130" s="134" t="s">
        <v>1050</v>
      </c>
      <c r="C130" s="18">
        <v>8</v>
      </c>
      <c r="D130" s="18" t="s">
        <v>1044</v>
      </c>
      <c r="E130" s="18" t="s">
        <v>1051</v>
      </c>
    </row>
    <row r="131" spans="1:11" ht="15" thickBot="1">
      <c r="A131" t="str">
        <f t="shared" si="1"/>
        <v>F16</v>
      </c>
      <c r="B131" s="135" t="s">
        <v>1052</v>
      </c>
      <c r="C131" s="65">
        <v>16</v>
      </c>
      <c r="D131" s="65" t="s">
        <v>1046</v>
      </c>
      <c r="E131" s="65" t="s">
        <v>1053</v>
      </c>
    </row>
    <row r="132" spans="1:11">
      <c r="A132" t="str">
        <f t="shared" si="1"/>
        <v>F1s</v>
      </c>
      <c r="B132" s="133" t="s">
        <v>1054</v>
      </c>
      <c r="C132" s="15">
        <v>1</v>
      </c>
      <c r="D132" s="15" t="s">
        <v>1043</v>
      </c>
      <c r="E132" s="15" t="s">
        <v>1045</v>
      </c>
    </row>
    <row r="133" spans="1:11">
      <c r="A133" t="str">
        <f t="shared" si="1"/>
        <v>F2s</v>
      </c>
      <c r="B133" s="134" t="s">
        <v>85</v>
      </c>
      <c r="C133" s="18">
        <v>2</v>
      </c>
      <c r="D133" s="18" t="s">
        <v>1045</v>
      </c>
      <c r="E133" s="18" t="s">
        <v>1048</v>
      </c>
    </row>
    <row r="134" spans="1:11">
      <c r="A134" t="str">
        <f t="shared" si="1"/>
        <v>F4s</v>
      </c>
      <c r="B134" s="134" t="s">
        <v>1055</v>
      </c>
      <c r="C134" s="18">
        <v>4</v>
      </c>
      <c r="D134" s="18" t="s">
        <v>1048</v>
      </c>
      <c r="E134" s="18" t="s">
        <v>1044</v>
      </c>
    </row>
    <row r="135" spans="1:11">
      <c r="A135" t="str">
        <f t="shared" si="1"/>
        <v>F8s</v>
      </c>
      <c r="B135" s="134" t="s">
        <v>1056</v>
      </c>
      <c r="C135" s="18">
        <v>8</v>
      </c>
      <c r="D135" s="18" t="s">
        <v>1044</v>
      </c>
      <c r="E135" s="18" t="s">
        <v>1046</v>
      </c>
    </row>
    <row r="136" spans="1:11" ht="15" thickBot="1">
      <c r="A136" t="str">
        <f t="shared" si="1"/>
        <v>F16s</v>
      </c>
      <c r="B136" s="135" t="s">
        <v>1057</v>
      </c>
      <c r="C136" s="65">
        <v>16</v>
      </c>
      <c r="D136" s="65" t="s">
        <v>1046</v>
      </c>
      <c r="E136" s="65" t="s">
        <v>1049</v>
      </c>
    </row>
    <row r="137" spans="1:11">
      <c r="A137" t="str">
        <f t="shared" si="1"/>
        <v>F2s v2</v>
      </c>
      <c r="B137" s="159" t="s">
        <v>77</v>
      </c>
      <c r="C137" s="160">
        <v>2</v>
      </c>
      <c r="D137" s="160">
        <v>4</v>
      </c>
      <c r="E137" s="160">
        <v>16</v>
      </c>
      <c r="F137" s="160" t="s">
        <v>1058</v>
      </c>
      <c r="G137" s="160">
        <v>4</v>
      </c>
      <c r="H137" s="160">
        <v>3200</v>
      </c>
      <c r="I137" s="160">
        <v>47</v>
      </c>
      <c r="J137" s="160">
        <v>2</v>
      </c>
      <c r="K137" s="163">
        <v>875</v>
      </c>
    </row>
    <row r="138" spans="1:11">
      <c r="A138" t="str">
        <f t="shared" si="1"/>
        <v>F4s v2</v>
      </c>
      <c r="B138" s="161" t="s">
        <v>78</v>
      </c>
      <c r="C138" s="59">
        <v>4</v>
      </c>
      <c r="D138" s="59">
        <v>8</v>
      </c>
      <c r="E138" s="59">
        <v>32</v>
      </c>
      <c r="F138" s="59" t="s">
        <v>1059</v>
      </c>
      <c r="G138" s="59">
        <v>8</v>
      </c>
      <c r="H138" s="59">
        <v>6400</v>
      </c>
      <c r="I138" s="59">
        <v>95</v>
      </c>
      <c r="J138" s="59">
        <v>2</v>
      </c>
      <c r="K138" s="60">
        <v>1750</v>
      </c>
    </row>
    <row r="139" spans="1:11">
      <c r="A139" t="str">
        <f t="shared" ref="A139:A144" si="2">IFERROR(REPLACE(REPLACE(B139,FIND("Standard_",B139,1),9,""),FIND("_",REPLACE(B139,FIND("Standard_",B139,1),9,""),1),1," "),REPLACE(B139,FIND("Standard_",B139,1),9,""))</f>
        <v>F8s v2</v>
      </c>
      <c r="B139" s="161" t="s">
        <v>79</v>
      </c>
      <c r="C139" s="59">
        <v>8</v>
      </c>
      <c r="D139" s="59">
        <v>16</v>
      </c>
      <c r="E139" s="59">
        <v>64</v>
      </c>
      <c r="F139" s="59" t="s">
        <v>1060</v>
      </c>
      <c r="G139" s="59">
        <v>16</v>
      </c>
      <c r="H139" s="59">
        <v>12800</v>
      </c>
      <c r="I139" s="59">
        <v>190</v>
      </c>
      <c r="J139" s="59">
        <v>4</v>
      </c>
      <c r="K139" s="60">
        <v>3500</v>
      </c>
    </row>
    <row r="140" spans="1:11">
      <c r="A140" t="str">
        <f t="shared" si="2"/>
        <v>F16s v2</v>
      </c>
      <c r="B140" s="161" t="s">
        <v>80</v>
      </c>
      <c r="C140" s="59">
        <v>16</v>
      </c>
      <c r="D140" s="59">
        <v>32</v>
      </c>
      <c r="E140" s="59">
        <v>128</v>
      </c>
      <c r="F140" s="59" t="s">
        <v>1061</v>
      </c>
      <c r="G140" s="59">
        <v>32</v>
      </c>
      <c r="H140" s="59">
        <v>25600</v>
      </c>
      <c r="I140" s="59">
        <v>380</v>
      </c>
      <c r="J140" s="59">
        <v>4</v>
      </c>
      <c r="K140" s="60">
        <v>7000</v>
      </c>
    </row>
    <row r="141" spans="1:11">
      <c r="A141" t="str">
        <f t="shared" si="2"/>
        <v>F32s v2</v>
      </c>
      <c r="B141" s="161" t="s">
        <v>81</v>
      </c>
      <c r="C141" s="59">
        <v>32</v>
      </c>
      <c r="D141" s="59">
        <v>64</v>
      </c>
      <c r="E141" s="59">
        <v>256</v>
      </c>
      <c r="F141" s="59" t="s">
        <v>1062</v>
      </c>
      <c r="G141" s="59">
        <v>32</v>
      </c>
      <c r="H141" s="59">
        <v>51200</v>
      </c>
      <c r="I141" s="59">
        <v>750</v>
      </c>
      <c r="J141" s="59">
        <v>8</v>
      </c>
      <c r="K141" s="60">
        <v>14000</v>
      </c>
    </row>
    <row r="142" spans="1:11">
      <c r="A142" t="str">
        <f t="shared" si="2"/>
        <v>F48s v2</v>
      </c>
      <c r="B142" s="161" t="s">
        <v>82</v>
      </c>
      <c r="C142" s="59">
        <v>48</v>
      </c>
      <c r="D142" s="59">
        <v>96</v>
      </c>
      <c r="E142" s="59">
        <v>384</v>
      </c>
      <c r="F142" s="59" t="s">
        <v>1063</v>
      </c>
      <c r="G142" s="59">
        <v>32</v>
      </c>
      <c r="H142" s="59">
        <v>76800</v>
      </c>
      <c r="I142" s="59">
        <v>1100</v>
      </c>
      <c r="J142" s="59">
        <v>8</v>
      </c>
      <c r="K142" s="60">
        <v>21000</v>
      </c>
    </row>
    <row r="143" spans="1:11">
      <c r="A143" t="str">
        <f t="shared" si="2"/>
        <v>F64s v2</v>
      </c>
      <c r="B143" s="161" t="s">
        <v>83</v>
      </c>
      <c r="C143" s="59">
        <v>64</v>
      </c>
      <c r="D143" s="59">
        <v>128</v>
      </c>
      <c r="E143" s="59">
        <v>512</v>
      </c>
      <c r="F143" s="59" t="s">
        <v>1064</v>
      </c>
      <c r="G143" s="59">
        <v>32</v>
      </c>
      <c r="H143" s="59">
        <v>80000</v>
      </c>
      <c r="I143" s="59">
        <v>1100</v>
      </c>
      <c r="J143" s="59">
        <v>8</v>
      </c>
      <c r="K143" s="60">
        <v>28000</v>
      </c>
    </row>
    <row r="144" spans="1:11" ht="15" thickBot="1">
      <c r="A144" t="str">
        <f t="shared" si="2"/>
        <v>F72s v2</v>
      </c>
      <c r="B144" s="162" t="s">
        <v>84</v>
      </c>
      <c r="C144" s="62">
        <v>72</v>
      </c>
      <c r="D144" s="62">
        <v>144</v>
      </c>
      <c r="E144" s="62">
        <v>576</v>
      </c>
      <c r="F144" s="62" t="s">
        <v>1065</v>
      </c>
      <c r="G144" s="62">
        <v>32</v>
      </c>
      <c r="H144" s="62">
        <v>80000</v>
      </c>
      <c r="I144" s="62">
        <v>1100</v>
      </c>
      <c r="J144" s="62">
        <v>8</v>
      </c>
      <c r="K144" s="63">
        <v>30000</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377DD-CAE0-497C-BCBD-59D45BD5E96F}">
  <sheetPr codeName="Sheet9"/>
  <dimension ref="A1:J582"/>
  <sheetViews>
    <sheetView workbookViewId="0">
      <pane ySplit="1" topLeftCell="A500" activePane="bottomLeft" state="frozen"/>
      <selection pane="bottomLeft" activeCell="G482" sqref="G482"/>
    </sheetView>
  </sheetViews>
  <sheetFormatPr defaultRowHeight="14.5"/>
  <cols>
    <col min="1" max="1" width="14.453125" customWidth="1"/>
    <col min="2" max="2" width="9.1796875" style="122"/>
    <col min="6" max="6" width="22" bestFit="1" customWidth="1"/>
    <col min="7" max="8" width="23.54296875" bestFit="1" customWidth="1"/>
  </cols>
  <sheetData>
    <row r="1" spans="1:10">
      <c r="A1" s="3" t="s">
        <v>1066</v>
      </c>
      <c r="B1" s="169" t="s">
        <v>1067</v>
      </c>
      <c r="C1" s="3" t="s">
        <v>1068</v>
      </c>
      <c r="D1" s="6" t="s">
        <v>1069</v>
      </c>
      <c r="E1" s="3" t="s">
        <v>1070</v>
      </c>
      <c r="F1" s="3" t="s">
        <v>1071</v>
      </c>
      <c r="G1" s="3" t="s">
        <v>1072</v>
      </c>
      <c r="H1" s="3" t="s">
        <v>1073</v>
      </c>
      <c r="I1" s="3" t="s">
        <v>1074</v>
      </c>
      <c r="J1" t="s">
        <v>1075</v>
      </c>
    </row>
    <row r="2" spans="1:10">
      <c r="A2" t="s">
        <v>1076</v>
      </c>
      <c r="B2" s="122">
        <v>1</v>
      </c>
      <c r="C2" t="s">
        <v>1077</v>
      </c>
      <c r="D2" t="str">
        <f>IFERROR(REPLACE(C2,FIND(" GiB",C2,1),4,),C2)</f>
        <v>1</v>
      </c>
      <c r="E2" t="s">
        <v>1078</v>
      </c>
      <c r="F2" t="s">
        <v>1079</v>
      </c>
      <c r="G2" t="s">
        <v>1080</v>
      </c>
      <c r="H2" t="s">
        <v>1081</v>
      </c>
      <c r="I2" t="s">
        <v>1082</v>
      </c>
    </row>
    <row r="3" spans="1:10">
      <c r="A3" t="s">
        <v>1083</v>
      </c>
      <c r="B3" s="122">
        <v>1</v>
      </c>
      <c r="C3" t="s">
        <v>1084</v>
      </c>
      <c r="D3" t="str">
        <f t="shared" ref="D3:D66" si="0">IFERROR(REPLACE(C3,FIND(" GiB",C3,1),4,),C3)</f>
        <v>2</v>
      </c>
      <c r="E3" t="s">
        <v>1078</v>
      </c>
      <c r="F3" t="s">
        <v>1085</v>
      </c>
      <c r="G3" t="s">
        <v>1086</v>
      </c>
      <c r="H3" t="s">
        <v>1087</v>
      </c>
      <c r="I3" t="s">
        <v>1082</v>
      </c>
    </row>
    <row r="4" spans="1:10">
      <c r="A4" t="s">
        <v>408</v>
      </c>
      <c r="B4" s="122">
        <v>2</v>
      </c>
      <c r="C4" t="s">
        <v>1078</v>
      </c>
      <c r="D4" t="str">
        <f t="shared" si="0"/>
        <v>4</v>
      </c>
      <c r="E4" t="s">
        <v>1088</v>
      </c>
      <c r="F4" t="s">
        <v>1089</v>
      </c>
      <c r="G4" t="s">
        <v>1090</v>
      </c>
      <c r="H4" t="s">
        <v>1091</v>
      </c>
      <c r="I4" t="s">
        <v>1082</v>
      </c>
    </row>
    <row r="5" spans="1:10">
      <c r="A5" t="s">
        <v>325</v>
      </c>
      <c r="B5" s="122">
        <v>2</v>
      </c>
      <c r="C5" t="s">
        <v>1088</v>
      </c>
      <c r="D5" t="str">
        <f t="shared" si="0"/>
        <v>8</v>
      </c>
      <c r="E5" t="s">
        <v>1092</v>
      </c>
      <c r="F5" t="s">
        <v>1093</v>
      </c>
      <c r="G5" t="s">
        <v>1094</v>
      </c>
      <c r="H5" t="s">
        <v>1095</v>
      </c>
      <c r="I5" t="s">
        <v>1082</v>
      </c>
    </row>
    <row r="6" spans="1:10">
      <c r="A6" t="s">
        <v>432</v>
      </c>
      <c r="B6" s="122">
        <v>4</v>
      </c>
      <c r="C6" t="s">
        <v>1092</v>
      </c>
      <c r="D6" t="str">
        <f t="shared" si="0"/>
        <v>16</v>
      </c>
      <c r="E6" t="s">
        <v>1096</v>
      </c>
      <c r="F6" t="s">
        <v>1097</v>
      </c>
      <c r="G6" t="s">
        <v>1098</v>
      </c>
      <c r="H6" t="s">
        <v>1099</v>
      </c>
      <c r="I6" t="s">
        <v>1082</v>
      </c>
    </row>
    <row r="7" spans="1:10">
      <c r="A7" t="s">
        <v>817</v>
      </c>
      <c r="B7" s="122">
        <v>8</v>
      </c>
      <c r="C7" t="s">
        <v>1096</v>
      </c>
      <c r="D7" t="str">
        <f t="shared" si="0"/>
        <v>32</v>
      </c>
      <c r="E7" t="s">
        <v>1100</v>
      </c>
      <c r="F7" t="s">
        <v>1101</v>
      </c>
      <c r="G7" t="s">
        <v>1102</v>
      </c>
      <c r="H7" t="s">
        <v>1103</v>
      </c>
      <c r="I7" t="s">
        <v>1082</v>
      </c>
    </row>
    <row r="8" spans="1:10">
      <c r="A8" t="s">
        <v>1104</v>
      </c>
      <c r="B8" s="122">
        <v>12</v>
      </c>
      <c r="C8" t="s">
        <v>1105</v>
      </c>
      <c r="D8" t="str">
        <f t="shared" si="0"/>
        <v>48</v>
      </c>
      <c r="E8" t="s">
        <v>1106</v>
      </c>
      <c r="F8" t="s">
        <v>1107</v>
      </c>
      <c r="G8" t="s">
        <v>1108</v>
      </c>
      <c r="H8" t="s">
        <v>1109</v>
      </c>
      <c r="I8" t="s">
        <v>1082</v>
      </c>
    </row>
    <row r="9" spans="1:10">
      <c r="A9" t="s">
        <v>1110</v>
      </c>
      <c r="B9" s="122">
        <v>16</v>
      </c>
      <c r="C9" t="s">
        <v>1100</v>
      </c>
      <c r="D9" t="str">
        <f t="shared" si="0"/>
        <v>64</v>
      </c>
      <c r="E9" t="s">
        <v>1111</v>
      </c>
      <c r="F9" t="s">
        <v>1112</v>
      </c>
      <c r="G9" t="s">
        <v>1113</v>
      </c>
      <c r="H9" t="s">
        <v>1114</v>
      </c>
      <c r="I9" t="s">
        <v>1082</v>
      </c>
    </row>
    <row r="10" spans="1:10">
      <c r="A10" t="s">
        <v>1115</v>
      </c>
      <c r="B10" s="122">
        <v>20</v>
      </c>
      <c r="C10" t="s">
        <v>1116</v>
      </c>
      <c r="D10" t="str">
        <f t="shared" si="0"/>
        <v>80</v>
      </c>
      <c r="E10" t="s">
        <v>1117</v>
      </c>
      <c r="F10" t="s">
        <v>1118</v>
      </c>
      <c r="G10" t="s">
        <v>1119</v>
      </c>
      <c r="H10" t="s">
        <v>1120</v>
      </c>
      <c r="I10" t="s">
        <v>1082</v>
      </c>
    </row>
    <row r="11" spans="1:10" s="4" customFormat="1">
      <c r="A11" s="4" t="s">
        <v>1121</v>
      </c>
      <c r="B11" s="170"/>
    </row>
    <row r="12" spans="1:10" s="4" customFormat="1">
      <c r="A12" s="4" t="s">
        <v>1122</v>
      </c>
      <c r="B12" s="170"/>
    </row>
    <row r="13" spans="1:10">
      <c r="A13" t="s">
        <v>354</v>
      </c>
      <c r="B13" s="122">
        <v>1</v>
      </c>
      <c r="C13" t="s">
        <v>1084</v>
      </c>
      <c r="D13" t="str">
        <f t="shared" si="0"/>
        <v>2</v>
      </c>
      <c r="E13" t="s">
        <v>1123</v>
      </c>
      <c r="F13" t="s">
        <v>1124</v>
      </c>
      <c r="G13" s="167" t="s">
        <v>1124</v>
      </c>
      <c r="H13" s="167" t="s">
        <v>1124</v>
      </c>
      <c r="I13" t="s">
        <v>1125</v>
      </c>
    </row>
    <row r="14" spans="1:10">
      <c r="A14" t="s">
        <v>1126</v>
      </c>
      <c r="B14" s="122">
        <v>2</v>
      </c>
      <c r="C14" t="s">
        <v>1078</v>
      </c>
      <c r="D14" t="str">
        <f t="shared" si="0"/>
        <v>4</v>
      </c>
      <c r="E14" t="s">
        <v>1127</v>
      </c>
      <c r="F14" t="s">
        <v>1128</v>
      </c>
      <c r="G14" s="167" t="s">
        <v>1128</v>
      </c>
      <c r="H14" s="167" t="s">
        <v>1128</v>
      </c>
      <c r="I14" t="s">
        <v>1129</v>
      </c>
    </row>
    <row r="15" spans="1:10">
      <c r="A15" t="s">
        <v>1130</v>
      </c>
      <c r="B15" s="122">
        <v>2</v>
      </c>
      <c r="C15" t="s">
        <v>1092</v>
      </c>
      <c r="D15" t="str">
        <f t="shared" si="0"/>
        <v>16</v>
      </c>
      <c r="E15" t="s">
        <v>1127</v>
      </c>
      <c r="F15" t="s">
        <v>1131</v>
      </c>
      <c r="G15" s="167" t="s">
        <v>1131</v>
      </c>
      <c r="H15" s="167" t="s">
        <v>1131</v>
      </c>
      <c r="I15" t="s">
        <v>1132</v>
      </c>
    </row>
    <row r="16" spans="1:10">
      <c r="A16" t="s">
        <v>1133</v>
      </c>
      <c r="B16" s="122">
        <v>4</v>
      </c>
      <c r="C16" t="s">
        <v>1088</v>
      </c>
      <c r="D16" t="str">
        <f t="shared" si="0"/>
        <v>8</v>
      </c>
      <c r="E16" t="s">
        <v>1134</v>
      </c>
      <c r="F16" t="s">
        <v>1135</v>
      </c>
      <c r="G16" s="167" t="s">
        <v>1135</v>
      </c>
      <c r="H16" s="167" t="s">
        <v>1135</v>
      </c>
      <c r="I16" t="s">
        <v>1136</v>
      </c>
    </row>
    <row r="17" spans="1:9">
      <c r="A17" t="s">
        <v>1137</v>
      </c>
      <c r="B17" s="122">
        <v>4</v>
      </c>
      <c r="C17" t="s">
        <v>1096</v>
      </c>
      <c r="D17" t="str">
        <f t="shared" si="0"/>
        <v>32</v>
      </c>
      <c r="E17" t="s">
        <v>1134</v>
      </c>
      <c r="F17" t="s">
        <v>1138</v>
      </c>
      <c r="G17" s="167" t="s">
        <v>1138</v>
      </c>
      <c r="H17" s="167" t="s">
        <v>1138</v>
      </c>
      <c r="I17" t="s">
        <v>1139</v>
      </c>
    </row>
    <row r="18" spans="1:9">
      <c r="A18" t="s">
        <v>1140</v>
      </c>
      <c r="B18" s="122">
        <v>8</v>
      </c>
      <c r="C18" t="s">
        <v>1092</v>
      </c>
      <c r="D18" t="str">
        <f t="shared" si="0"/>
        <v>16</v>
      </c>
      <c r="E18" t="s">
        <v>1116</v>
      </c>
      <c r="F18" t="s">
        <v>1141</v>
      </c>
      <c r="G18" s="167" t="s">
        <v>1141</v>
      </c>
      <c r="H18" s="167" t="s">
        <v>1141</v>
      </c>
      <c r="I18" t="s">
        <v>1142</v>
      </c>
    </row>
    <row r="19" spans="1:9">
      <c r="A19" t="s">
        <v>1143</v>
      </c>
      <c r="B19" s="122">
        <v>8</v>
      </c>
      <c r="C19" t="s">
        <v>1100</v>
      </c>
      <c r="D19" t="str">
        <f t="shared" si="0"/>
        <v>64</v>
      </c>
      <c r="E19" t="s">
        <v>1116</v>
      </c>
      <c r="F19" t="s">
        <v>1144</v>
      </c>
      <c r="G19" s="167" t="s">
        <v>1144</v>
      </c>
      <c r="H19" s="167" t="s">
        <v>1144</v>
      </c>
      <c r="I19" t="s">
        <v>1145</v>
      </c>
    </row>
    <row r="20" spans="1:9" s="4" customFormat="1">
      <c r="A20" s="4" t="s">
        <v>1146</v>
      </c>
      <c r="B20" s="170"/>
    </row>
    <row r="21" spans="1:9" s="4" customFormat="1">
      <c r="A21" s="4" t="s">
        <v>1147</v>
      </c>
      <c r="B21" s="170"/>
    </row>
    <row r="22" spans="1:9" s="4" customFormat="1">
      <c r="A22" s="4" t="s">
        <v>1148</v>
      </c>
      <c r="B22" s="170"/>
    </row>
    <row r="23" spans="1:9">
      <c r="A23" t="s">
        <v>1149</v>
      </c>
      <c r="B23" s="122">
        <v>2</v>
      </c>
      <c r="C23" t="s">
        <v>1088</v>
      </c>
      <c r="D23" t="str">
        <f t="shared" si="0"/>
        <v>8</v>
      </c>
      <c r="E23" t="s">
        <v>1150</v>
      </c>
      <c r="F23" t="s">
        <v>1151</v>
      </c>
      <c r="G23" t="s">
        <v>1152</v>
      </c>
      <c r="H23" t="s">
        <v>1153</v>
      </c>
      <c r="I23" t="s">
        <v>1154</v>
      </c>
    </row>
    <row r="24" spans="1:9">
      <c r="A24" t="s">
        <v>1155</v>
      </c>
      <c r="B24" s="122">
        <v>4</v>
      </c>
      <c r="C24" t="s">
        <v>1092</v>
      </c>
      <c r="D24" t="str">
        <f t="shared" si="0"/>
        <v>16</v>
      </c>
      <c r="E24" t="s">
        <v>1156</v>
      </c>
      <c r="F24" t="s">
        <v>1157</v>
      </c>
      <c r="G24" t="s">
        <v>1158</v>
      </c>
      <c r="H24" t="s">
        <v>1159</v>
      </c>
      <c r="I24" t="s">
        <v>1160</v>
      </c>
    </row>
    <row r="25" spans="1:9">
      <c r="A25" t="s">
        <v>1161</v>
      </c>
      <c r="B25" s="122">
        <v>8</v>
      </c>
      <c r="C25" t="s">
        <v>1096</v>
      </c>
      <c r="D25" t="str">
        <f t="shared" si="0"/>
        <v>32</v>
      </c>
      <c r="E25" t="s">
        <v>1162</v>
      </c>
      <c r="F25" t="s">
        <v>1163</v>
      </c>
      <c r="G25" t="s">
        <v>1164</v>
      </c>
      <c r="H25" t="s">
        <v>1165</v>
      </c>
      <c r="I25" t="s">
        <v>1166</v>
      </c>
    </row>
    <row r="26" spans="1:9">
      <c r="A26" t="s">
        <v>1167</v>
      </c>
      <c r="B26" s="122">
        <v>16</v>
      </c>
      <c r="C26" t="s">
        <v>1100</v>
      </c>
      <c r="D26" t="str">
        <f t="shared" si="0"/>
        <v>64</v>
      </c>
      <c r="E26" t="s">
        <v>1168</v>
      </c>
      <c r="F26" t="s">
        <v>1169</v>
      </c>
      <c r="G26" t="s">
        <v>1170</v>
      </c>
      <c r="H26" t="s">
        <v>1171</v>
      </c>
      <c r="I26" t="s">
        <v>1172</v>
      </c>
    </row>
    <row r="27" spans="1:9">
      <c r="A27" t="s">
        <v>1173</v>
      </c>
      <c r="B27" s="122">
        <v>32</v>
      </c>
      <c r="C27" t="s">
        <v>1111</v>
      </c>
      <c r="D27" t="str">
        <f t="shared" si="0"/>
        <v>128</v>
      </c>
      <c r="E27" t="s">
        <v>1174</v>
      </c>
      <c r="F27" t="s">
        <v>1175</v>
      </c>
      <c r="G27" t="s">
        <v>1176</v>
      </c>
      <c r="H27" t="s">
        <v>1177</v>
      </c>
      <c r="I27" t="s">
        <v>1178</v>
      </c>
    </row>
    <row r="28" spans="1:9">
      <c r="A28" t="s">
        <v>1179</v>
      </c>
      <c r="B28" s="122">
        <v>48</v>
      </c>
      <c r="C28" t="s">
        <v>1180</v>
      </c>
      <c r="D28" t="str">
        <f t="shared" si="0"/>
        <v>192</v>
      </c>
      <c r="E28" t="s">
        <v>1181</v>
      </c>
      <c r="F28" t="s">
        <v>1182</v>
      </c>
      <c r="G28" t="s">
        <v>1183</v>
      </c>
      <c r="H28" t="s">
        <v>1184</v>
      </c>
      <c r="I28" t="s">
        <v>1185</v>
      </c>
    </row>
    <row r="29" spans="1:9">
      <c r="A29" t="s">
        <v>1186</v>
      </c>
      <c r="B29" s="122">
        <v>64</v>
      </c>
      <c r="C29" t="s">
        <v>1187</v>
      </c>
      <c r="D29" t="str">
        <f t="shared" si="0"/>
        <v>256</v>
      </c>
      <c r="E29" t="s">
        <v>1188</v>
      </c>
      <c r="F29" t="s">
        <v>1189</v>
      </c>
      <c r="G29" t="s">
        <v>1190</v>
      </c>
      <c r="H29" t="s">
        <v>1191</v>
      </c>
      <c r="I29" t="s">
        <v>1192</v>
      </c>
    </row>
    <row r="30" spans="1:9">
      <c r="A30" t="s">
        <v>1193</v>
      </c>
      <c r="B30" s="122">
        <v>96</v>
      </c>
      <c r="C30" t="s">
        <v>1194</v>
      </c>
      <c r="D30" t="str">
        <f t="shared" si="0"/>
        <v>384</v>
      </c>
      <c r="E30" t="s">
        <v>1195</v>
      </c>
      <c r="F30" t="s">
        <v>1196</v>
      </c>
      <c r="G30" t="s">
        <v>1197</v>
      </c>
      <c r="H30" t="s">
        <v>1198</v>
      </c>
      <c r="I30" t="s">
        <v>1199</v>
      </c>
    </row>
    <row r="31" spans="1:9" s="4" customFormat="1">
      <c r="A31" s="4" t="s">
        <v>1200</v>
      </c>
      <c r="B31" s="170"/>
    </row>
    <row r="32" spans="1:9" s="4" customFormat="1">
      <c r="A32" s="4" t="s">
        <v>1201</v>
      </c>
      <c r="B32" s="170"/>
    </row>
    <row r="33" spans="1:9" s="4" customFormat="1">
      <c r="A33" s="4" t="s">
        <v>1202</v>
      </c>
      <c r="B33" s="170"/>
    </row>
    <row r="34" spans="1:9" s="4" customFormat="1">
      <c r="A34" s="4" t="s">
        <v>1148</v>
      </c>
      <c r="B34" s="170"/>
    </row>
    <row r="35" spans="1:9">
      <c r="A35" t="s">
        <v>298</v>
      </c>
      <c r="B35" s="122">
        <v>2</v>
      </c>
      <c r="C35" t="s">
        <v>1088</v>
      </c>
      <c r="D35" t="str">
        <f t="shared" si="0"/>
        <v>8</v>
      </c>
      <c r="E35" t="s">
        <v>1092</v>
      </c>
      <c r="F35" t="s">
        <v>1151</v>
      </c>
      <c r="G35" t="s">
        <v>1152</v>
      </c>
      <c r="H35" t="s">
        <v>1153</v>
      </c>
      <c r="I35" t="s">
        <v>1154</v>
      </c>
    </row>
    <row r="36" spans="1:9">
      <c r="A36" t="s">
        <v>1203</v>
      </c>
      <c r="B36" s="122">
        <v>4</v>
      </c>
      <c r="C36" t="s">
        <v>1092</v>
      </c>
      <c r="D36" t="str">
        <f t="shared" si="0"/>
        <v>16</v>
      </c>
      <c r="E36" t="s">
        <v>1096</v>
      </c>
      <c r="F36" t="s">
        <v>1157</v>
      </c>
      <c r="G36" t="s">
        <v>1158</v>
      </c>
      <c r="H36" t="s">
        <v>1159</v>
      </c>
      <c r="I36" t="s">
        <v>1160</v>
      </c>
    </row>
    <row r="37" spans="1:9">
      <c r="A37" t="s">
        <v>1204</v>
      </c>
      <c r="B37" s="122">
        <v>8</v>
      </c>
      <c r="C37" t="s">
        <v>1096</v>
      </c>
      <c r="D37" t="str">
        <f t="shared" si="0"/>
        <v>32</v>
      </c>
      <c r="E37" t="s">
        <v>1100</v>
      </c>
      <c r="F37" t="s">
        <v>1163</v>
      </c>
      <c r="G37" t="s">
        <v>1164</v>
      </c>
      <c r="H37" t="s">
        <v>1165</v>
      </c>
      <c r="I37" t="s">
        <v>1166</v>
      </c>
    </row>
    <row r="38" spans="1:9">
      <c r="A38" t="s">
        <v>1205</v>
      </c>
      <c r="B38" s="122">
        <v>16</v>
      </c>
      <c r="C38" t="s">
        <v>1100</v>
      </c>
      <c r="D38" t="str">
        <f t="shared" si="0"/>
        <v>64</v>
      </c>
      <c r="E38" t="s">
        <v>1111</v>
      </c>
      <c r="F38" t="s">
        <v>1169</v>
      </c>
      <c r="G38" t="s">
        <v>1170</v>
      </c>
      <c r="H38" t="s">
        <v>1171</v>
      </c>
      <c r="I38" t="s">
        <v>1172</v>
      </c>
    </row>
    <row r="39" spans="1:9">
      <c r="A39" t="s">
        <v>1206</v>
      </c>
      <c r="B39" s="122">
        <v>32</v>
      </c>
      <c r="C39" t="s">
        <v>1111</v>
      </c>
      <c r="D39" t="str">
        <f t="shared" si="0"/>
        <v>128</v>
      </c>
      <c r="E39" t="s">
        <v>1187</v>
      </c>
      <c r="F39" t="s">
        <v>1175</v>
      </c>
      <c r="G39" t="s">
        <v>1176</v>
      </c>
      <c r="H39" t="s">
        <v>1177</v>
      </c>
      <c r="I39" t="s">
        <v>1178</v>
      </c>
    </row>
    <row r="40" spans="1:9">
      <c r="A40" t="s">
        <v>1207</v>
      </c>
      <c r="B40" s="122">
        <v>48</v>
      </c>
      <c r="C40" t="s">
        <v>1180</v>
      </c>
      <c r="D40" t="str">
        <f t="shared" si="0"/>
        <v>192</v>
      </c>
      <c r="E40" t="s">
        <v>1194</v>
      </c>
      <c r="F40" t="s">
        <v>1182</v>
      </c>
      <c r="G40" t="s">
        <v>1183</v>
      </c>
      <c r="H40" t="s">
        <v>1184</v>
      </c>
      <c r="I40" t="s">
        <v>1185</v>
      </c>
    </row>
    <row r="41" spans="1:9">
      <c r="A41" t="s">
        <v>1208</v>
      </c>
      <c r="B41" s="122">
        <v>64</v>
      </c>
      <c r="C41" t="s">
        <v>1187</v>
      </c>
      <c r="D41" t="str">
        <f t="shared" si="0"/>
        <v>256</v>
      </c>
      <c r="E41" t="s">
        <v>1209</v>
      </c>
      <c r="F41" t="s">
        <v>1189</v>
      </c>
      <c r="G41" t="s">
        <v>1190</v>
      </c>
      <c r="H41" t="s">
        <v>1191</v>
      </c>
      <c r="I41" t="s">
        <v>1192</v>
      </c>
    </row>
    <row r="42" spans="1:9">
      <c r="A42" t="s">
        <v>1210</v>
      </c>
      <c r="B42" s="122">
        <v>96</v>
      </c>
      <c r="C42" t="s">
        <v>1194</v>
      </c>
      <c r="D42" t="str">
        <f t="shared" si="0"/>
        <v>384</v>
      </c>
      <c r="E42" t="s">
        <v>1211</v>
      </c>
      <c r="F42" t="s">
        <v>1196</v>
      </c>
      <c r="G42" t="s">
        <v>1197</v>
      </c>
      <c r="H42" t="s">
        <v>1198</v>
      </c>
      <c r="I42" t="s">
        <v>1199</v>
      </c>
    </row>
    <row r="43" spans="1:9" s="4" customFormat="1">
      <c r="A43" s="4" t="s">
        <v>1212</v>
      </c>
      <c r="B43" s="170"/>
    </row>
    <row r="44" spans="1:9" s="4" customFormat="1">
      <c r="A44" s="4" t="s">
        <v>1213</v>
      </c>
      <c r="B44" s="170"/>
    </row>
    <row r="45" spans="1:9" s="4" customFormat="1">
      <c r="A45" s="4" t="s">
        <v>1214</v>
      </c>
      <c r="B45" s="170"/>
    </row>
    <row r="46" spans="1:9" s="4" customFormat="1">
      <c r="A46" s="4" t="s">
        <v>1215</v>
      </c>
      <c r="B46" s="170"/>
    </row>
    <row r="47" spans="1:9" s="4" customFormat="1">
      <c r="A47" s="4" t="s">
        <v>1216</v>
      </c>
      <c r="B47" s="170"/>
    </row>
    <row r="48" spans="1:9">
      <c r="A48" t="s">
        <v>1217</v>
      </c>
      <c r="B48" s="122">
        <v>2</v>
      </c>
      <c r="C48" t="s">
        <v>1088</v>
      </c>
      <c r="D48" t="str">
        <f t="shared" si="0"/>
        <v>8</v>
      </c>
      <c r="E48" t="s">
        <v>1218</v>
      </c>
      <c r="F48" t="s">
        <v>1219</v>
      </c>
      <c r="G48" s="167" t="s">
        <v>1219</v>
      </c>
      <c r="H48" s="167" t="s">
        <v>1219</v>
      </c>
      <c r="I48" t="s">
        <v>1220</v>
      </c>
    </row>
    <row r="49" spans="1:9">
      <c r="A49" t="s">
        <v>1221</v>
      </c>
      <c r="B49" s="122">
        <v>4</v>
      </c>
      <c r="C49" t="s">
        <v>1092</v>
      </c>
      <c r="D49" t="str">
        <f t="shared" si="0"/>
        <v>16</v>
      </c>
      <c r="E49" t="s">
        <v>1222</v>
      </c>
      <c r="F49" t="s">
        <v>1223</v>
      </c>
      <c r="G49" s="167" t="s">
        <v>1223</v>
      </c>
      <c r="H49" s="167" t="s">
        <v>1223</v>
      </c>
      <c r="I49" t="s">
        <v>1224</v>
      </c>
    </row>
    <row r="50" spans="1:9">
      <c r="A50" t="s">
        <v>1225</v>
      </c>
      <c r="B50" s="122">
        <v>8</v>
      </c>
      <c r="C50" t="s">
        <v>1096</v>
      </c>
      <c r="D50" t="str">
        <f t="shared" si="0"/>
        <v>32</v>
      </c>
      <c r="E50" t="s">
        <v>1226</v>
      </c>
      <c r="F50" t="s">
        <v>1227</v>
      </c>
      <c r="G50" s="167" t="s">
        <v>1227</v>
      </c>
      <c r="H50" s="167" t="s">
        <v>1227</v>
      </c>
      <c r="I50" t="s">
        <v>1228</v>
      </c>
    </row>
    <row r="51" spans="1:9">
      <c r="A51" t="s">
        <v>1229</v>
      </c>
      <c r="B51" s="122">
        <v>16</v>
      </c>
      <c r="C51" t="s">
        <v>1100</v>
      </c>
      <c r="D51" t="str">
        <f t="shared" si="0"/>
        <v>64</v>
      </c>
      <c r="E51" t="s">
        <v>1230</v>
      </c>
      <c r="F51" t="s">
        <v>1231</v>
      </c>
      <c r="G51" s="167" t="s">
        <v>1231</v>
      </c>
      <c r="H51" s="167" t="s">
        <v>1231</v>
      </c>
      <c r="I51" t="s">
        <v>1232</v>
      </c>
    </row>
    <row r="52" spans="1:9">
      <c r="A52" t="s">
        <v>1233</v>
      </c>
      <c r="B52" s="122">
        <v>32</v>
      </c>
      <c r="C52" t="s">
        <v>1111</v>
      </c>
      <c r="D52" t="str">
        <f t="shared" si="0"/>
        <v>128</v>
      </c>
      <c r="E52" t="s">
        <v>1181</v>
      </c>
      <c r="F52" t="s">
        <v>1234</v>
      </c>
      <c r="G52" s="167" t="s">
        <v>1234</v>
      </c>
      <c r="H52" s="167" t="s">
        <v>1234</v>
      </c>
      <c r="I52" t="s">
        <v>1235</v>
      </c>
    </row>
    <row r="53" spans="1:9">
      <c r="A53" t="s">
        <v>1236</v>
      </c>
      <c r="B53" s="122">
        <v>48</v>
      </c>
      <c r="C53" t="s">
        <v>1180</v>
      </c>
      <c r="D53" t="str">
        <f t="shared" si="0"/>
        <v>192</v>
      </c>
      <c r="E53" t="s">
        <v>1237</v>
      </c>
      <c r="F53" t="s">
        <v>1238</v>
      </c>
      <c r="G53" s="167" t="s">
        <v>1238</v>
      </c>
      <c r="H53" s="167" t="s">
        <v>1238</v>
      </c>
      <c r="I53" t="s">
        <v>1239</v>
      </c>
    </row>
    <row r="54" spans="1:9">
      <c r="A54" t="s">
        <v>1240</v>
      </c>
      <c r="B54" s="122">
        <v>64</v>
      </c>
      <c r="C54" t="s">
        <v>1187</v>
      </c>
      <c r="D54" t="str">
        <f t="shared" si="0"/>
        <v>256</v>
      </c>
      <c r="E54" t="s">
        <v>1195</v>
      </c>
      <c r="F54" t="s">
        <v>1241</v>
      </c>
      <c r="G54" s="167" t="s">
        <v>1241</v>
      </c>
      <c r="H54" s="167" t="s">
        <v>1241</v>
      </c>
      <c r="I54" t="s">
        <v>1242</v>
      </c>
    </row>
    <row r="55" spans="1:9">
      <c r="A55" t="s">
        <v>1243</v>
      </c>
      <c r="B55" s="122">
        <v>96</v>
      </c>
      <c r="C55" t="s">
        <v>1194</v>
      </c>
      <c r="D55" t="str">
        <f t="shared" si="0"/>
        <v>384</v>
      </c>
      <c r="E55" t="s">
        <v>1195</v>
      </c>
      <c r="F55" t="s">
        <v>1244</v>
      </c>
      <c r="G55" s="167" t="s">
        <v>1244</v>
      </c>
      <c r="H55" s="167" t="s">
        <v>1244</v>
      </c>
      <c r="I55" t="s">
        <v>1245</v>
      </c>
    </row>
    <row r="56" spans="1:9" s="4" customFormat="1">
      <c r="A56" s="4" t="s">
        <v>1246</v>
      </c>
      <c r="B56" s="170"/>
    </row>
    <row r="57" spans="1:9" s="4" customFormat="1">
      <c r="A57" s="4" t="s">
        <v>1247</v>
      </c>
      <c r="B57" s="170"/>
    </row>
    <row r="58" spans="1:9" s="4" customFormat="1">
      <c r="A58" s="4" t="s">
        <v>1248</v>
      </c>
      <c r="B58" s="170"/>
    </row>
    <row r="59" spans="1:9" s="4" customFormat="1">
      <c r="A59" s="4" t="s">
        <v>1249</v>
      </c>
      <c r="B59" s="170"/>
    </row>
    <row r="60" spans="1:9" s="4" customFormat="1">
      <c r="A60" s="4" t="s">
        <v>1216</v>
      </c>
      <c r="B60" s="170"/>
    </row>
    <row r="61" spans="1:9" s="4" customFormat="1">
      <c r="A61" s="4" t="s">
        <v>1250</v>
      </c>
      <c r="B61" s="170"/>
    </row>
    <row r="62" spans="1:9">
      <c r="A62" t="s">
        <v>1251</v>
      </c>
      <c r="B62" s="122">
        <v>2</v>
      </c>
      <c r="C62" t="s">
        <v>1088</v>
      </c>
      <c r="D62" t="str">
        <f t="shared" si="0"/>
        <v>8</v>
      </c>
      <c r="E62" t="s">
        <v>1218</v>
      </c>
      <c r="F62" t="s">
        <v>1219</v>
      </c>
      <c r="G62" s="167" t="s">
        <v>1219</v>
      </c>
      <c r="H62" s="167" t="s">
        <v>1219</v>
      </c>
      <c r="I62" t="s">
        <v>1220</v>
      </c>
    </row>
    <row r="63" spans="1:9">
      <c r="A63" t="s">
        <v>1252</v>
      </c>
      <c r="B63" s="122">
        <v>4</v>
      </c>
      <c r="C63" t="s">
        <v>1092</v>
      </c>
      <c r="D63" t="str">
        <f t="shared" si="0"/>
        <v>16</v>
      </c>
      <c r="E63" t="s">
        <v>1222</v>
      </c>
      <c r="F63" t="s">
        <v>1223</v>
      </c>
      <c r="G63" s="167" t="s">
        <v>1223</v>
      </c>
      <c r="H63" s="167" t="s">
        <v>1223</v>
      </c>
      <c r="I63" t="s">
        <v>1224</v>
      </c>
    </row>
    <row r="64" spans="1:9">
      <c r="A64" t="s">
        <v>1253</v>
      </c>
      <c r="B64" s="122">
        <v>8</v>
      </c>
      <c r="C64" t="s">
        <v>1096</v>
      </c>
      <c r="D64" t="str">
        <f t="shared" si="0"/>
        <v>32</v>
      </c>
      <c r="E64" t="s">
        <v>1226</v>
      </c>
      <c r="F64" t="s">
        <v>1227</v>
      </c>
      <c r="G64" s="167" t="s">
        <v>1227</v>
      </c>
      <c r="H64" s="167" t="s">
        <v>1227</v>
      </c>
      <c r="I64" t="s">
        <v>1228</v>
      </c>
    </row>
    <row r="65" spans="1:9">
      <c r="A65" t="s">
        <v>1254</v>
      </c>
      <c r="B65" s="122">
        <v>16</v>
      </c>
      <c r="C65" t="s">
        <v>1100</v>
      </c>
      <c r="D65" t="str">
        <f t="shared" si="0"/>
        <v>64</v>
      </c>
      <c r="E65" t="s">
        <v>1230</v>
      </c>
      <c r="F65" t="s">
        <v>1231</v>
      </c>
      <c r="G65" s="167" t="s">
        <v>1231</v>
      </c>
      <c r="H65" s="167" t="s">
        <v>1231</v>
      </c>
      <c r="I65" t="s">
        <v>1232</v>
      </c>
    </row>
    <row r="66" spans="1:9">
      <c r="A66" t="s">
        <v>1255</v>
      </c>
      <c r="B66" s="122">
        <v>32</v>
      </c>
      <c r="C66" t="s">
        <v>1111</v>
      </c>
      <c r="D66" t="str">
        <f t="shared" si="0"/>
        <v>128</v>
      </c>
      <c r="E66" t="s">
        <v>1181</v>
      </c>
      <c r="F66" t="s">
        <v>1234</v>
      </c>
      <c r="G66" s="167" t="s">
        <v>1234</v>
      </c>
      <c r="H66" s="167" t="s">
        <v>1234</v>
      </c>
      <c r="I66" t="s">
        <v>1235</v>
      </c>
    </row>
    <row r="67" spans="1:9">
      <c r="A67" t="s">
        <v>1256</v>
      </c>
      <c r="B67" s="122">
        <v>48</v>
      </c>
      <c r="C67" t="s">
        <v>1180</v>
      </c>
      <c r="D67" t="str">
        <f t="shared" ref="D67:D129" si="1">IFERROR(REPLACE(C67,FIND(" GiB",C67,1),4,),C67)</f>
        <v>192</v>
      </c>
      <c r="E67" t="s">
        <v>1237</v>
      </c>
      <c r="F67" t="s">
        <v>1238</v>
      </c>
      <c r="G67" s="167" t="s">
        <v>1238</v>
      </c>
      <c r="H67" s="167" t="s">
        <v>1238</v>
      </c>
      <c r="I67" t="s">
        <v>1239</v>
      </c>
    </row>
    <row r="68" spans="1:9">
      <c r="A68" t="s">
        <v>1257</v>
      </c>
      <c r="B68" s="122">
        <v>64</v>
      </c>
      <c r="C68" t="s">
        <v>1187</v>
      </c>
      <c r="D68" t="str">
        <f t="shared" si="1"/>
        <v>256</v>
      </c>
      <c r="E68" t="s">
        <v>1195</v>
      </c>
      <c r="F68" t="s">
        <v>1241</v>
      </c>
      <c r="G68" s="167" t="s">
        <v>1241</v>
      </c>
      <c r="H68" s="167" t="s">
        <v>1241</v>
      </c>
      <c r="I68" t="s">
        <v>1242</v>
      </c>
    </row>
    <row r="69" spans="1:9">
      <c r="A69" t="s">
        <v>1258</v>
      </c>
      <c r="B69" s="122">
        <v>96</v>
      </c>
      <c r="C69" t="s">
        <v>1194</v>
      </c>
      <c r="D69" t="str">
        <f t="shared" si="1"/>
        <v>384</v>
      </c>
      <c r="E69" t="s">
        <v>1195</v>
      </c>
      <c r="F69" t="s">
        <v>1244</v>
      </c>
      <c r="G69" s="167" t="s">
        <v>1244</v>
      </c>
      <c r="H69" s="167" t="s">
        <v>1244</v>
      </c>
      <c r="I69" t="s">
        <v>1245</v>
      </c>
    </row>
    <row r="70" spans="1:9" s="4" customFormat="1">
      <c r="A70" s="4" t="s">
        <v>1259</v>
      </c>
      <c r="B70" s="170"/>
    </row>
    <row r="71" spans="1:9" s="4" customFormat="1">
      <c r="A71" s="4" t="s">
        <v>1260</v>
      </c>
      <c r="B71" s="170"/>
    </row>
    <row r="72" spans="1:9" s="4" customFormat="1">
      <c r="A72" s="4" t="s">
        <v>1261</v>
      </c>
      <c r="B72" s="170"/>
    </row>
    <row r="73" spans="1:9" s="4" customFormat="1">
      <c r="A73" s="4" t="s">
        <v>1262</v>
      </c>
      <c r="B73" s="170"/>
    </row>
    <row r="74" spans="1:9" s="4" customFormat="1">
      <c r="A74" s="4" t="s">
        <v>1216</v>
      </c>
      <c r="B74" s="170"/>
    </row>
    <row r="75" spans="1:9" s="4" customFormat="1">
      <c r="A75" s="4" t="s">
        <v>1263</v>
      </c>
      <c r="B75" s="170"/>
    </row>
    <row r="76" spans="1:9">
      <c r="A76" t="s">
        <v>1264</v>
      </c>
      <c r="B76" s="122">
        <v>2</v>
      </c>
      <c r="C76" t="s">
        <v>1088</v>
      </c>
      <c r="D76" t="str">
        <f t="shared" si="1"/>
        <v>8</v>
      </c>
      <c r="E76" t="s">
        <v>1265</v>
      </c>
      <c r="F76" t="s">
        <v>1266</v>
      </c>
      <c r="G76" s="167" t="s">
        <v>1266</v>
      </c>
      <c r="H76" s="167" t="s">
        <v>1266</v>
      </c>
      <c r="I76" t="s">
        <v>1267</v>
      </c>
    </row>
    <row r="77" spans="1:9">
      <c r="A77" t="s">
        <v>1268</v>
      </c>
      <c r="B77" s="122">
        <v>4</v>
      </c>
      <c r="C77" t="s">
        <v>1092</v>
      </c>
      <c r="D77" t="str">
        <f t="shared" si="1"/>
        <v>16</v>
      </c>
      <c r="E77" t="s">
        <v>1265</v>
      </c>
      <c r="F77" t="s">
        <v>1151</v>
      </c>
      <c r="G77" s="167" t="s">
        <v>1151</v>
      </c>
      <c r="H77" s="167" t="s">
        <v>1151</v>
      </c>
      <c r="I77" t="s">
        <v>1269</v>
      </c>
    </row>
    <row r="78" spans="1:9">
      <c r="A78" t="s">
        <v>1270</v>
      </c>
      <c r="B78" s="122">
        <v>8</v>
      </c>
      <c r="C78" t="s">
        <v>1096</v>
      </c>
      <c r="D78" t="str">
        <f t="shared" si="1"/>
        <v>32</v>
      </c>
      <c r="E78" t="s">
        <v>1265</v>
      </c>
      <c r="F78" t="s">
        <v>1157</v>
      </c>
      <c r="G78" s="167" t="s">
        <v>1157</v>
      </c>
      <c r="H78" s="167" t="s">
        <v>1157</v>
      </c>
      <c r="I78" t="s">
        <v>1271</v>
      </c>
    </row>
    <row r="79" spans="1:9">
      <c r="A79" t="s">
        <v>1272</v>
      </c>
      <c r="B79" s="122">
        <v>16</v>
      </c>
      <c r="C79" t="s">
        <v>1100</v>
      </c>
      <c r="D79" t="str">
        <f t="shared" si="1"/>
        <v>64</v>
      </c>
      <c r="E79" t="s">
        <v>1265</v>
      </c>
      <c r="F79" t="s">
        <v>1163</v>
      </c>
      <c r="G79" s="167" t="s">
        <v>1163</v>
      </c>
      <c r="H79" s="167" t="s">
        <v>1163</v>
      </c>
      <c r="I79" t="s">
        <v>1273</v>
      </c>
    </row>
    <row r="80" spans="1:9">
      <c r="A80" t="s">
        <v>1274</v>
      </c>
      <c r="B80" s="122">
        <v>32</v>
      </c>
      <c r="C80" t="s">
        <v>1111</v>
      </c>
      <c r="D80" t="str">
        <f t="shared" si="1"/>
        <v>128</v>
      </c>
      <c r="E80" t="s">
        <v>1265</v>
      </c>
      <c r="F80" t="s">
        <v>1169</v>
      </c>
      <c r="G80" s="167" t="s">
        <v>1169</v>
      </c>
      <c r="H80" s="167" t="s">
        <v>1169</v>
      </c>
      <c r="I80" t="s">
        <v>1275</v>
      </c>
    </row>
    <row r="81" spans="1:9">
      <c r="A81" t="s">
        <v>1276</v>
      </c>
      <c r="B81" s="122">
        <v>48</v>
      </c>
      <c r="C81" t="s">
        <v>1180</v>
      </c>
      <c r="D81" t="str">
        <f t="shared" si="1"/>
        <v>192</v>
      </c>
      <c r="E81" t="s">
        <v>1265</v>
      </c>
      <c r="F81" t="s">
        <v>1277</v>
      </c>
      <c r="G81" s="167" t="s">
        <v>1277</v>
      </c>
      <c r="H81" s="167" t="s">
        <v>1277</v>
      </c>
      <c r="I81" t="s">
        <v>1278</v>
      </c>
    </row>
    <row r="82" spans="1:9">
      <c r="A82" t="s">
        <v>1279</v>
      </c>
      <c r="B82" s="122">
        <v>64</v>
      </c>
      <c r="C82" t="s">
        <v>1187</v>
      </c>
      <c r="D82" t="str">
        <f t="shared" si="1"/>
        <v>256</v>
      </c>
      <c r="E82" t="s">
        <v>1265</v>
      </c>
      <c r="F82" t="s">
        <v>1175</v>
      </c>
      <c r="G82" s="167" t="s">
        <v>1175</v>
      </c>
      <c r="H82" s="167" t="s">
        <v>1175</v>
      </c>
      <c r="I82" t="s">
        <v>1280</v>
      </c>
    </row>
    <row r="83" spans="1:9">
      <c r="A83" t="s">
        <v>1281</v>
      </c>
      <c r="B83" s="122">
        <v>96</v>
      </c>
      <c r="C83" t="s">
        <v>1194</v>
      </c>
      <c r="D83" t="str">
        <f t="shared" si="1"/>
        <v>384</v>
      </c>
      <c r="E83" t="s">
        <v>1265</v>
      </c>
      <c r="F83" t="s">
        <v>1182</v>
      </c>
      <c r="G83" s="167" t="s">
        <v>1182</v>
      </c>
      <c r="H83" s="167" t="s">
        <v>1182</v>
      </c>
      <c r="I83" t="s">
        <v>1282</v>
      </c>
    </row>
    <row r="84" spans="1:9" s="4" customFormat="1">
      <c r="A84" s="4" t="s">
        <v>1283</v>
      </c>
      <c r="B84" s="170"/>
    </row>
    <row r="85" spans="1:9" s="4" customFormat="1">
      <c r="A85" s="4" t="s">
        <v>1284</v>
      </c>
      <c r="B85" s="170"/>
    </row>
    <row r="86" spans="1:9" s="4" customFormat="1">
      <c r="A86" s="4" t="s">
        <v>1285</v>
      </c>
      <c r="B86" s="170"/>
    </row>
    <row r="87" spans="1:9" s="4" customFormat="1">
      <c r="A87" s="4" t="s">
        <v>1286</v>
      </c>
      <c r="B87" s="170"/>
    </row>
    <row r="88" spans="1:9" s="4" customFormat="1">
      <c r="A88" s="4" t="s">
        <v>1216</v>
      </c>
      <c r="B88" s="170"/>
    </row>
    <row r="89" spans="1:9" s="4" customFormat="1">
      <c r="A89" s="4" t="s">
        <v>1287</v>
      </c>
      <c r="B89" s="170"/>
    </row>
    <row r="90" spans="1:9">
      <c r="A90" t="s">
        <v>1288</v>
      </c>
      <c r="B90" s="122">
        <v>2</v>
      </c>
      <c r="C90" t="s">
        <v>1088</v>
      </c>
      <c r="D90" t="str">
        <f t="shared" si="1"/>
        <v>8</v>
      </c>
      <c r="E90" t="s">
        <v>1265</v>
      </c>
      <c r="F90" t="s">
        <v>1266</v>
      </c>
      <c r="G90" t="s">
        <v>1082</v>
      </c>
      <c r="H90" t="s">
        <v>1082</v>
      </c>
      <c r="I90" t="s">
        <v>1267</v>
      </c>
    </row>
    <row r="91" spans="1:9">
      <c r="A91" t="s">
        <v>1289</v>
      </c>
      <c r="B91" s="122">
        <v>4</v>
      </c>
      <c r="C91" t="s">
        <v>1092</v>
      </c>
      <c r="D91" t="str">
        <f t="shared" si="1"/>
        <v>16</v>
      </c>
      <c r="E91" t="s">
        <v>1265</v>
      </c>
      <c r="F91" t="s">
        <v>1151</v>
      </c>
      <c r="G91" t="s">
        <v>1082</v>
      </c>
      <c r="H91" t="s">
        <v>1082</v>
      </c>
      <c r="I91" t="s">
        <v>1269</v>
      </c>
    </row>
    <row r="92" spans="1:9">
      <c r="A92" t="s">
        <v>1290</v>
      </c>
      <c r="B92" s="122">
        <v>8</v>
      </c>
      <c r="C92" t="s">
        <v>1096</v>
      </c>
      <c r="D92" t="str">
        <f t="shared" si="1"/>
        <v>32</v>
      </c>
      <c r="E92" t="s">
        <v>1265</v>
      </c>
      <c r="F92" t="s">
        <v>1157</v>
      </c>
      <c r="G92" t="s">
        <v>1082</v>
      </c>
      <c r="H92" t="s">
        <v>1082</v>
      </c>
      <c r="I92" t="s">
        <v>1271</v>
      </c>
    </row>
    <row r="93" spans="1:9">
      <c r="A93" t="s">
        <v>1291</v>
      </c>
      <c r="B93" s="122">
        <v>16</v>
      </c>
      <c r="C93" t="s">
        <v>1100</v>
      </c>
      <c r="D93" t="str">
        <f t="shared" si="1"/>
        <v>64</v>
      </c>
      <c r="E93" t="s">
        <v>1265</v>
      </c>
      <c r="F93" t="s">
        <v>1163</v>
      </c>
      <c r="G93" t="s">
        <v>1082</v>
      </c>
      <c r="H93" t="s">
        <v>1082</v>
      </c>
      <c r="I93" t="s">
        <v>1273</v>
      </c>
    </row>
    <row r="94" spans="1:9">
      <c r="A94" t="s">
        <v>1292</v>
      </c>
      <c r="B94" s="122">
        <v>32</v>
      </c>
      <c r="C94" t="s">
        <v>1111</v>
      </c>
      <c r="D94" t="str">
        <f t="shared" si="1"/>
        <v>128</v>
      </c>
      <c r="E94" t="s">
        <v>1265</v>
      </c>
      <c r="F94" t="s">
        <v>1169</v>
      </c>
      <c r="G94" t="s">
        <v>1082</v>
      </c>
      <c r="H94" t="s">
        <v>1082</v>
      </c>
      <c r="I94" t="s">
        <v>1275</v>
      </c>
    </row>
    <row r="95" spans="1:9">
      <c r="A95" t="s">
        <v>1293</v>
      </c>
      <c r="B95" s="122">
        <v>48</v>
      </c>
      <c r="C95" t="s">
        <v>1180</v>
      </c>
      <c r="D95" t="str">
        <f t="shared" si="1"/>
        <v>192</v>
      </c>
      <c r="E95" t="s">
        <v>1265</v>
      </c>
      <c r="F95" t="s">
        <v>1277</v>
      </c>
      <c r="G95" t="s">
        <v>1082</v>
      </c>
      <c r="H95" t="s">
        <v>1082</v>
      </c>
      <c r="I95" t="s">
        <v>1278</v>
      </c>
    </row>
    <row r="96" spans="1:9">
      <c r="A96" t="s">
        <v>1294</v>
      </c>
      <c r="B96" s="122">
        <v>64</v>
      </c>
      <c r="C96" t="s">
        <v>1187</v>
      </c>
      <c r="D96" t="str">
        <f t="shared" si="1"/>
        <v>256</v>
      </c>
      <c r="E96" t="s">
        <v>1265</v>
      </c>
      <c r="F96" t="s">
        <v>1175</v>
      </c>
      <c r="G96" t="s">
        <v>1082</v>
      </c>
      <c r="H96" t="s">
        <v>1082</v>
      </c>
      <c r="I96" t="s">
        <v>1280</v>
      </c>
    </row>
    <row r="97" spans="1:9">
      <c r="A97" t="s">
        <v>1295</v>
      </c>
      <c r="B97" s="122">
        <v>96</v>
      </c>
      <c r="C97" t="s">
        <v>1194</v>
      </c>
      <c r="D97" t="str">
        <f t="shared" si="1"/>
        <v>384</v>
      </c>
      <c r="E97" t="s">
        <v>1265</v>
      </c>
      <c r="F97" t="s">
        <v>1182</v>
      </c>
      <c r="G97" t="s">
        <v>1082</v>
      </c>
      <c r="H97" t="s">
        <v>1082</v>
      </c>
      <c r="I97" t="s">
        <v>1282</v>
      </c>
    </row>
    <row r="98" spans="1:9" s="4" customFormat="1">
      <c r="A98" s="4" t="s">
        <v>1296</v>
      </c>
      <c r="B98" s="170"/>
    </row>
    <row r="99" spans="1:9" s="4" customFormat="1">
      <c r="A99" s="4" t="s">
        <v>1297</v>
      </c>
      <c r="B99" s="170"/>
    </row>
    <row r="100" spans="1:9" s="4" customFormat="1">
      <c r="A100" s="4" t="s">
        <v>1298</v>
      </c>
      <c r="B100" s="170"/>
    </row>
    <row r="101" spans="1:9" s="4" customFormat="1">
      <c r="A101" s="4" t="s">
        <v>1148</v>
      </c>
      <c r="B101" s="170"/>
    </row>
    <row r="102" spans="1:9">
      <c r="A102" t="s">
        <v>1299</v>
      </c>
      <c r="B102" s="122">
        <v>2</v>
      </c>
      <c r="C102" t="s">
        <v>1088</v>
      </c>
      <c r="D102" t="str">
        <f t="shared" si="1"/>
        <v>8</v>
      </c>
      <c r="E102" t="s">
        <v>1218</v>
      </c>
      <c r="F102" t="s">
        <v>1223</v>
      </c>
      <c r="G102" t="s">
        <v>1300</v>
      </c>
      <c r="H102" t="s">
        <v>1301</v>
      </c>
      <c r="I102" t="s">
        <v>1302</v>
      </c>
    </row>
    <row r="103" spans="1:9">
      <c r="A103" t="s">
        <v>1303</v>
      </c>
      <c r="B103" s="122">
        <v>4</v>
      </c>
      <c r="C103" t="s">
        <v>1092</v>
      </c>
      <c r="D103" t="str">
        <f t="shared" si="1"/>
        <v>16</v>
      </c>
      <c r="E103" t="s">
        <v>1222</v>
      </c>
      <c r="F103" t="s">
        <v>1227</v>
      </c>
      <c r="G103" t="s">
        <v>1304</v>
      </c>
      <c r="H103" t="s">
        <v>1305</v>
      </c>
      <c r="I103" t="s">
        <v>1306</v>
      </c>
    </row>
    <row r="104" spans="1:9">
      <c r="A104" t="s">
        <v>1307</v>
      </c>
      <c r="B104" s="122">
        <v>8</v>
      </c>
      <c r="C104" t="s">
        <v>1096</v>
      </c>
      <c r="D104" t="str">
        <f t="shared" si="1"/>
        <v>32</v>
      </c>
      <c r="E104" t="s">
        <v>1226</v>
      </c>
      <c r="F104" t="s">
        <v>1231</v>
      </c>
      <c r="G104" t="s">
        <v>1308</v>
      </c>
      <c r="H104" t="s">
        <v>1309</v>
      </c>
      <c r="I104" t="s">
        <v>1310</v>
      </c>
    </row>
    <row r="105" spans="1:9">
      <c r="A105" t="s">
        <v>1311</v>
      </c>
      <c r="B105" s="122">
        <v>16</v>
      </c>
      <c r="C105" t="s">
        <v>1100</v>
      </c>
      <c r="D105" t="str">
        <f t="shared" si="1"/>
        <v>64</v>
      </c>
      <c r="E105" t="s">
        <v>1230</v>
      </c>
      <c r="F105" t="s">
        <v>1234</v>
      </c>
      <c r="G105" t="s">
        <v>1312</v>
      </c>
      <c r="H105" t="s">
        <v>1313</v>
      </c>
      <c r="I105" t="s">
        <v>1314</v>
      </c>
    </row>
    <row r="106" spans="1:9">
      <c r="A106" t="s">
        <v>1315</v>
      </c>
      <c r="B106" s="122">
        <v>32</v>
      </c>
      <c r="C106" t="s">
        <v>1111</v>
      </c>
      <c r="D106" t="str">
        <f t="shared" si="1"/>
        <v>128</v>
      </c>
      <c r="E106" t="s">
        <v>1181</v>
      </c>
      <c r="F106" t="s">
        <v>1241</v>
      </c>
      <c r="G106" t="s">
        <v>1316</v>
      </c>
      <c r="H106" t="s">
        <v>1317</v>
      </c>
      <c r="I106" t="s">
        <v>1318</v>
      </c>
    </row>
    <row r="107" spans="1:9">
      <c r="A107" t="s">
        <v>1319</v>
      </c>
      <c r="B107" s="122">
        <v>48</v>
      </c>
      <c r="C107" t="s">
        <v>1180</v>
      </c>
      <c r="D107" t="str">
        <f t="shared" si="1"/>
        <v>192</v>
      </c>
      <c r="E107" t="s">
        <v>1237</v>
      </c>
      <c r="F107" t="s">
        <v>1244</v>
      </c>
      <c r="G107" t="s">
        <v>1320</v>
      </c>
      <c r="H107" t="s">
        <v>1321</v>
      </c>
      <c r="I107" t="s">
        <v>1322</v>
      </c>
    </row>
    <row r="108" spans="1:9">
      <c r="A108" t="s">
        <v>1323</v>
      </c>
      <c r="B108" s="122">
        <v>64</v>
      </c>
      <c r="C108" t="s">
        <v>1187</v>
      </c>
      <c r="D108" t="str">
        <f t="shared" si="1"/>
        <v>256</v>
      </c>
      <c r="E108" t="s">
        <v>1195</v>
      </c>
      <c r="F108" t="s">
        <v>1324</v>
      </c>
      <c r="G108" t="s">
        <v>1325</v>
      </c>
      <c r="H108" t="s">
        <v>1326</v>
      </c>
      <c r="I108" t="s">
        <v>1327</v>
      </c>
    </row>
    <row r="109" spans="1:9" s="4" customFormat="1">
      <c r="A109" s="4" t="s">
        <v>1328</v>
      </c>
      <c r="B109" s="170"/>
    </row>
    <row r="110" spans="1:9" s="4" customFormat="1">
      <c r="A110" s="4" t="s">
        <v>1329</v>
      </c>
      <c r="B110" s="170"/>
    </row>
    <row r="111" spans="1:9" s="4" customFormat="1">
      <c r="A111" s="4" t="s">
        <v>1330</v>
      </c>
      <c r="B111" s="170"/>
    </row>
    <row r="112" spans="1:9" s="4" customFormat="1">
      <c r="A112" s="4" t="s">
        <v>1148</v>
      </c>
      <c r="B112" s="170"/>
    </row>
    <row r="113" spans="1:9">
      <c r="A113" t="s">
        <v>412</v>
      </c>
      <c r="B113" s="122">
        <v>2</v>
      </c>
      <c r="C113" t="s">
        <v>1088</v>
      </c>
      <c r="D113" t="str">
        <f t="shared" si="1"/>
        <v>8</v>
      </c>
      <c r="E113" t="s">
        <v>1218</v>
      </c>
      <c r="F113" t="s">
        <v>1223</v>
      </c>
      <c r="G113" t="s">
        <v>1300</v>
      </c>
      <c r="H113" t="s">
        <v>1301</v>
      </c>
      <c r="I113" t="s">
        <v>1302</v>
      </c>
    </row>
    <row r="114" spans="1:9">
      <c r="A114" t="s">
        <v>420</v>
      </c>
      <c r="B114" s="122">
        <v>4</v>
      </c>
      <c r="C114" t="s">
        <v>1092</v>
      </c>
      <c r="D114" t="str">
        <f t="shared" si="1"/>
        <v>16</v>
      </c>
      <c r="E114" t="s">
        <v>1222</v>
      </c>
      <c r="F114" t="s">
        <v>1227</v>
      </c>
      <c r="G114" t="s">
        <v>1304</v>
      </c>
      <c r="H114" t="s">
        <v>1305</v>
      </c>
      <c r="I114" t="s">
        <v>1306</v>
      </c>
    </row>
    <row r="115" spans="1:9">
      <c r="A115" t="s">
        <v>517</v>
      </c>
      <c r="B115" s="122">
        <v>8</v>
      </c>
      <c r="C115" t="s">
        <v>1096</v>
      </c>
      <c r="D115" t="str">
        <f t="shared" si="1"/>
        <v>32</v>
      </c>
      <c r="E115" t="s">
        <v>1226</v>
      </c>
      <c r="F115" t="s">
        <v>1231</v>
      </c>
      <c r="G115" t="s">
        <v>1308</v>
      </c>
      <c r="H115" t="s">
        <v>1309</v>
      </c>
      <c r="I115" t="s">
        <v>1310</v>
      </c>
    </row>
    <row r="116" spans="1:9">
      <c r="A116" t="s">
        <v>1331</v>
      </c>
      <c r="B116" s="122">
        <v>16</v>
      </c>
      <c r="C116" t="s">
        <v>1100</v>
      </c>
      <c r="D116" t="str">
        <f t="shared" si="1"/>
        <v>64</v>
      </c>
      <c r="E116" t="s">
        <v>1230</v>
      </c>
      <c r="F116" t="s">
        <v>1234</v>
      </c>
      <c r="G116" t="s">
        <v>1312</v>
      </c>
      <c r="H116" t="s">
        <v>1313</v>
      </c>
      <c r="I116" t="s">
        <v>1314</v>
      </c>
    </row>
    <row r="117" spans="1:9">
      <c r="A117" t="s">
        <v>1332</v>
      </c>
      <c r="B117" s="122">
        <v>32</v>
      </c>
      <c r="C117" t="s">
        <v>1111</v>
      </c>
      <c r="D117" t="str">
        <f t="shared" si="1"/>
        <v>128</v>
      </c>
      <c r="E117" t="s">
        <v>1181</v>
      </c>
      <c r="F117" t="s">
        <v>1241</v>
      </c>
      <c r="G117" t="s">
        <v>1316</v>
      </c>
      <c r="H117" t="s">
        <v>1317</v>
      </c>
      <c r="I117" t="s">
        <v>1318</v>
      </c>
    </row>
    <row r="118" spans="1:9">
      <c r="A118" t="s">
        <v>1333</v>
      </c>
      <c r="B118" s="122">
        <v>48</v>
      </c>
      <c r="C118" t="s">
        <v>1180</v>
      </c>
      <c r="D118" t="str">
        <f t="shared" si="1"/>
        <v>192</v>
      </c>
      <c r="E118" t="s">
        <v>1237</v>
      </c>
      <c r="F118" t="s">
        <v>1244</v>
      </c>
      <c r="G118" t="s">
        <v>1320</v>
      </c>
      <c r="H118" t="s">
        <v>1321</v>
      </c>
      <c r="I118" t="s">
        <v>1322</v>
      </c>
    </row>
    <row r="119" spans="1:9">
      <c r="A119" t="s">
        <v>1334</v>
      </c>
      <c r="B119" s="122">
        <v>64</v>
      </c>
      <c r="C119" t="s">
        <v>1187</v>
      </c>
      <c r="D119" t="str">
        <f t="shared" si="1"/>
        <v>256</v>
      </c>
      <c r="E119" t="s">
        <v>1195</v>
      </c>
      <c r="F119" t="s">
        <v>1324</v>
      </c>
      <c r="G119" t="s">
        <v>1325</v>
      </c>
      <c r="H119" t="s">
        <v>1326</v>
      </c>
      <c r="I119" t="s">
        <v>1327</v>
      </c>
    </row>
    <row r="120" spans="1:9" s="4" customFormat="1">
      <c r="A120" s="4" t="s">
        <v>1335</v>
      </c>
      <c r="B120" s="170"/>
    </row>
    <row r="121" spans="1:9" s="4" customFormat="1">
      <c r="A121" s="4" t="s">
        <v>1336</v>
      </c>
      <c r="B121" s="170"/>
    </row>
    <row r="122" spans="1:9" s="4" customFormat="1">
      <c r="A122" s="4" t="s">
        <v>1148</v>
      </c>
      <c r="B122" s="170"/>
    </row>
    <row r="123" spans="1:9">
      <c r="A123" t="s">
        <v>1337</v>
      </c>
      <c r="B123" s="122">
        <v>2</v>
      </c>
      <c r="C123" t="s">
        <v>1088</v>
      </c>
      <c r="D123" t="str">
        <f t="shared" si="1"/>
        <v>8</v>
      </c>
      <c r="E123" t="s">
        <v>1265</v>
      </c>
      <c r="F123" t="s">
        <v>1151</v>
      </c>
      <c r="G123" t="s">
        <v>1338</v>
      </c>
      <c r="H123" t="s">
        <v>1339</v>
      </c>
      <c r="I123" t="s">
        <v>1154</v>
      </c>
    </row>
    <row r="124" spans="1:9">
      <c r="A124" t="s">
        <v>1340</v>
      </c>
      <c r="B124" s="122">
        <v>4</v>
      </c>
      <c r="C124" t="s">
        <v>1092</v>
      </c>
      <c r="D124" t="str">
        <f t="shared" si="1"/>
        <v>16</v>
      </c>
      <c r="E124" t="s">
        <v>1265</v>
      </c>
      <c r="F124" t="s">
        <v>1157</v>
      </c>
      <c r="G124" t="s">
        <v>1341</v>
      </c>
      <c r="H124" t="s">
        <v>1342</v>
      </c>
      <c r="I124" t="s">
        <v>1160</v>
      </c>
    </row>
    <row r="125" spans="1:9">
      <c r="A125" t="s">
        <v>1343</v>
      </c>
      <c r="B125" s="122">
        <v>8</v>
      </c>
      <c r="C125" t="s">
        <v>1096</v>
      </c>
      <c r="D125" t="str">
        <f t="shared" si="1"/>
        <v>32</v>
      </c>
      <c r="E125" t="s">
        <v>1265</v>
      </c>
      <c r="F125" t="s">
        <v>1163</v>
      </c>
      <c r="G125" t="s">
        <v>1344</v>
      </c>
      <c r="H125" t="s">
        <v>1345</v>
      </c>
      <c r="I125" t="s">
        <v>1166</v>
      </c>
    </row>
    <row r="126" spans="1:9">
      <c r="A126" t="s">
        <v>1346</v>
      </c>
      <c r="B126" s="122">
        <v>16</v>
      </c>
      <c r="C126" t="s">
        <v>1100</v>
      </c>
      <c r="D126" t="str">
        <f t="shared" si="1"/>
        <v>64</v>
      </c>
      <c r="E126" t="s">
        <v>1265</v>
      </c>
      <c r="F126" t="s">
        <v>1169</v>
      </c>
      <c r="G126" t="s">
        <v>1347</v>
      </c>
      <c r="H126" t="s">
        <v>1348</v>
      </c>
      <c r="I126" t="s">
        <v>1172</v>
      </c>
    </row>
    <row r="127" spans="1:9">
      <c r="A127" t="s">
        <v>1349</v>
      </c>
      <c r="B127" s="122">
        <v>32</v>
      </c>
      <c r="C127" t="s">
        <v>1111</v>
      </c>
      <c r="D127" t="str">
        <f t="shared" si="1"/>
        <v>128</v>
      </c>
      <c r="E127" t="s">
        <v>1265</v>
      </c>
      <c r="F127" t="s">
        <v>1175</v>
      </c>
      <c r="G127" t="s">
        <v>1350</v>
      </c>
      <c r="H127" t="s">
        <v>1351</v>
      </c>
      <c r="I127" t="s">
        <v>1178</v>
      </c>
    </row>
    <row r="128" spans="1:9">
      <c r="A128" t="s">
        <v>1352</v>
      </c>
      <c r="B128" s="122">
        <v>48</v>
      </c>
      <c r="C128" t="s">
        <v>1180</v>
      </c>
      <c r="D128" t="str">
        <f t="shared" si="1"/>
        <v>192</v>
      </c>
      <c r="E128" t="s">
        <v>1265</v>
      </c>
      <c r="F128" t="s">
        <v>1182</v>
      </c>
      <c r="G128" t="s">
        <v>1353</v>
      </c>
      <c r="H128" t="s">
        <v>1354</v>
      </c>
      <c r="I128" t="s">
        <v>1185</v>
      </c>
    </row>
    <row r="129" spans="1:9">
      <c r="A129" t="s">
        <v>1355</v>
      </c>
      <c r="B129" s="122">
        <v>64</v>
      </c>
      <c r="C129" t="s">
        <v>1187</v>
      </c>
      <c r="D129" t="str">
        <f t="shared" si="1"/>
        <v>256</v>
      </c>
      <c r="E129" t="s">
        <v>1265</v>
      </c>
      <c r="F129" t="s">
        <v>1189</v>
      </c>
      <c r="G129" t="s">
        <v>1356</v>
      </c>
      <c r="H129" t="s">
        <v>1357</v>
      </c>
      <c r="I129" t="s">
        <v>1192</v>
      </c>
    </row>
    <row r="130" spans="1:9" s="4" customFormat="1">
      <c r="A130" s="4" t="s">
        <v>1358</v>
      </c>
      <c r="B130" s="170"/>
    </row>
    <row r="131" spans="1:9" s="4" customFormat="1">
      <c r="A131" s="4" t="s">
        <v>1359</v>
      </c>
      <c r="B131" s="170"/>
    </row>
    <row r="132" spans="1:9" s="4" customFormat="1">
      <c r="A132" s="4" t="s">
        <v>1148</v>
      </c>
      <c r="B132" s="170"/>
    </row>
    <row r="133" spans="1:9">
      <c r="A133" t="s">
        <v>1360</v>
      </c>
      <c r="B133" s="122">
        <v>2</v>
      </c>
      <c r="C133" t="s">
        <v>1088</v>
      </c>
      <c r="D133" t="str">
        <f t="shared" ref="D133:D190" si="2">IFERROR(REPLACE(C133,FIND(" GiB",C133,1),4,),C133)</f>
        <v>8</v>
      </c>
      <c r="E133" t="s">
        <v>1265</v>
      </c>
      <c r="F133" t="s">
        <v>1151</v>
      </c>
      <c r="G133" t="s">
        <v>1338</v>
      </c>
      <c r="H133" t="s">
        <v>1339</v>
      </c>
      <c r="I133" t="s">
        <v>1154</v>
      </c>
    </row>
    <row r="134" spans="1:9">
      <c r="A134" t="s">
        <v>1361</v>
      </c>
      <c r="B134" s="122">
        <v>4</v>
      </c>
      <c r="C134" t="s">
        <v>1092</v>
      </c>
      <c r="D134" t="str">
        <f t="shared" si="2"/>
        <v>16</v>
      </c>
      <c r="E134" t="s">
        <v>1265</v>
      </c>
      <c r="F134" t="s">
        <v>1157</v>
      </c>
      <c r="G134" t="s">
        <v>1341</v>
      </c>
      <c r="H134" t="s">
        <v>1342</v>
      </c>
      <c r="I134" t="s">
        <v>1160</v>
      </c>
    </row>
    <row r="135" spans="1:9">
      <c r="A135" t="s">
        <v>1362</v>
      </c>
      <c r="B135" s="122">
        <v>8</v>
      </c>
      <c r="C135" t="s">
        <v>1096</v>
      </c>
      <c r="D135" t="str">
        <f t="shared" si="2"/>
        <v>32</v>
      </c>
      <c r="E135" t="s">
        <v>1265</v>
      </c>
      <c r="F135" t="s">
        <v>1163</v>
      </c>
      <c r="G135" t="s">
        <v>1344</v>
      </c>
      <c r="H135" t="s">
        <v>1345</v>
      </c>
      <c r="I135" t="s">
        <v>1166</v>
      </c>
    </row>
    <row r="136" spans="1:9">
      <c r="A136" t="s">
        <v>1363</v>
      </c>
      <c r="B136" s="122">
        <v>16</v>
      </c>
      <c r="C136" t="s">
        <v>1100</v>
      </c>
      <c r="D136" t="str">
        <f t="shared" si="2"/>
        <v>64</v>
      </c>
      <c r="E136" t="s">
        <v>1265</v>
      </c>
      <c r="F136" t="s">
        <v>1169</v>
      </c>
      <c r="G136" t="s">
        <v>1347</v>
      </c>
      <c r="H136" t="s">
        <v>1348</v>
      </c>
      <c r="I136" t="s">
        <v>1172</v>
      </c>
    </row>
    <row r="137" spans="1:9">
      <c r="A137" t="s">
        <v>1364</v>
      </c>
      <c r="B137" s="122">
        <v>32</v>
      </c>
      <c r="C137" t="s">
        <v>1111</v>
      </c>
      <c r="D137" t="str">
        <f t="shared" si="2"/>
        <v>128</v>
      </c>
      <c r="E137" t="s">
        <v>1265</v>
      </c>
      <c r="F137" t="s">
        <v>1175</v>
      </c>
      <c r="G137" t="s">
        <v>1350</v>
      </c>
      <c r="H137" t="s">
        <v>1351</v>
      </c>
      <c r="I137" t="s">
        <v>1178</v>
      </c>
    </row>
    <row r="138" spans="1:9">
      <c r="A138" t="s">
        <v>1365</v>
      </c>
      <c r="B138" s="122">
        <v>48</v>
      </c>
      <c r="C138" t="s">
        <v>1180</v>
      </c>
      <c r="D138" t="str">
        <f t="shared" si="2"/>
        <v>192</v>
      </c>
      <c r="E138" t="s">
        <v>1265</v>
      </c>
      <c r="F138" t="s">
        <v>1182</v>
      </c>
      <c r="G138" t="s">
        <v>1353</v>
      </c>
      <c r="H138" t="s">
        <v>1354</v>
      </c>
      <c r="I138" t="s">
        <v>1185</v>
      </c>
    </row>
    <row r="139" spans="1:9">
      <c r="A139" t="s">
        <v>1366</v>
      </c>
      <c r="B139" s="122">
        <v>64</v>
      </c>
      <c r="C139" t="s">
        <v>1187</v>
      </c>
      <c r="D139" t="str">
        <f t="shared" si="2"/>
        <v>256</v>
      </c>
      <c r="E139" t="s">
        <v>1265</v>
      </c>
      <c r="F139" t="s">
        <v>1189</v>
      </c>
      <c r="G139" t="s">
        <v>1356</v>
      </c>
      <c r="H139" t="s">
        <v>1357</v>
      </c>
      <c r="I139" t="s">
        <v>1192</v>
      </c>
    </row>
    <row r="140" spans="1:9" s="4" customFormat="1">
      <c r="A140" s="4" t="s">
        <v>1367</v>
      </c>
      <c r="B140" s="170"/>
    </row>
    <row r="141" spans="1:9" s="4" customFormat="1">
      <c r="A141" s="4" t="s">
        <v>1368</v>
      </c>
      <c r="B141" s="170"/>
    </row>
    <row r="142" spans="1:9" s="4" customFormat="1">
      <c r="A142" s="4" t="s">
        <v>1148</v>
      </c>
      <c r="B142" s="170"/>
    </row>
    <row r="143" spans="1:9">
      <c r="A143" t="s">
        <v>1369</v>
      </c>
      <c r="B143" s="122">
        <v>2</v>
      </c>
      <c r="C143" t="s">
        <v>1088</v>
      </c>
      <c r="D143" t="str">
        <f t="shared" si="2"/>
        <v>8</v>
      </c>
      <c r="E143" t="s">
        <v>1150</v>
      </c>
      <c r="F143" t="s">
        <v>1370</v>
      </c>
      <c r="G143" t="s">
        <v>1152</v>
      </c>
      <c r="H143" t="s">
        <v>1153</v>
      </c>
      <c r="I143" t="s">
        <v>1371</v>
      </c>
    </row>
    <row r="144" spans="1:9">
      <c r="A144" t="s">
        <v>1372</v>
      </c>
      <c r="B144" s="122">
        <v>4</v>
      </c>
      <c r="C144" t="s">
        <v>1092</v>
      </c>
      <c r="D144" t="str">
        <f t="shared" si="2"/>
        <v>16</v>
      </c>
      <c r="E144" t="s">
        <v>1156</v>
      </c>
      <c r="F144" t="s">
        <v>1373</v>
      </c>
      <c r="G144" t="s">
        <v>1374</v>
      </c>
      <c r="H144" t="s">
        <v>1375</v>
      </c>
      <c r="I144" t="s">
        <v>1376</v>
      </c>
    </row>
    <row r="145" spans="1:9">
      <c r="A145" t="s">
        <v>1377</v>
      </c>
      <c r="B145" s="122">
        <v>8</v>
      </c>
      <c r="C145" t="s">
        <v>1096</v>
      </c>
      <c r="D145" t="str">
        <f t="shared" si="2"/>
        <v>32</v>
      </c>
      <c r="E145" t="s">
        <v>1162</v>
      </c>
      <c r="F145" t="s">
        <v>1378</v>
      </c>
      <c r="G145" t="s">
        <v>1379</v>
      </c>
      <c r="H145" t="s">
        <v>1380</v>
      </c>
      <c r="I145" t="s">
        <v>1381</v>
      </c>
    </row>
    <row r="146" spans="1:9">
      <c r="A146" t="s">
        <v>1382</v>
      </c>
      <c r="B146" s="122">
        <v>16</v>
      </c>
      <c r="C146" t="s">
        <v>1100</v>
      </c>
      <c r="D146" t="str">
        <f t="shared" si="2"/>
        <v>64</v>
      </c>
      <c r="E146" t="s">
        <v>1168</v>
      </c>
      <c r="F146" t="s">
        <v>1118</v>
      </c>
      <c r="G146" t="s">
        <v>1383</v>
      </c>
      <c r="H146" t="s">
        <v>1384</v>
      </c>
      <c r="I146" t="s">
        <v>1385</v>
      </c>
    </row>
    <row r="147" spans="1:9">
      <c r="A147" t="s">
        <v>1386</v>
      </c>
      <c r="B147" s="122">
        <v>32</v>
      </c>
      <c r="C147" t="s">
        <v>1111</v>
      </c>
      <c r="D147" t="str">
        <f t="shared" si="2"/>
        <v>128</v>
      </c>
      <c r="E147" t="s">
        <v>1174</v>
      </c>
      <c r="F147" t="s">
        <v>1387</v>
      </c>
      <c r="G147" t="s">
        <v>1388</v>
      </c>
      <c r="H147" t="s">
        <v>1389</v>
      </c>
      <c r="I147" t="s">
        <v>1390</v>
      </c>
    </row>
    <row r="148" spans="1:9">
      <c r="A148" t="s">
        <v>1391</v>
      </c>
      <c r="B148" s="122">
        <v>48</v>
      </c>
      <c r="C148" t="s">
        <v>1180</v>
      </c>
      <c r="D148" t="str">
        <f t="shared" si="2"/>
        <v>192</v>
      </c>
      <c r="E148" t="s">
        <v>1181</v>
      </c>
      <c r="F148" t="s">
        <v>1392</v>
      </c>
      <c r="G148" t="s">
        <v>1393</v>
      </c>
      <c r="H148" t="s">
        <v>1394</v>
      </c>
      <c r="I148" t="s">
        <v>1395</v>
      </c>
    </row>
    <row r="149" spans="1:9">
      <c r="A149" t="s">
        <v>1396</v>
      </c>
      <c r="B149" s="122">
        <v>64</v>
      </c>
      <c r="C149" t="s">
        <v>1187</v>
      </c>
      <c r="D149" t="str">
        <f t="shared" si="2"/>
        <v>256</v>
      </c>
      <c r="E149" t="s">
        <v>1188</v>
      </c>
      <c r="F149" t="s">
        <v>1397</v>
      </c>
      <c r="G149" t="s">
        <v>1398</v>
      </c>
      <c r="H149" t="s">
        <v>1399</v>
      </c>
      <c r="I149" t="s">
        <v>1400</v>
      </c>
    </row>
    <row r="150" spans="1:9" s="4" customFormat="1">
      <c r="A150" s="4" t="s">
        <v>1401</v>
      </c>
      <c r="B150" s="170"/>
    </row>
    <row r="151" spans="1:9" s="4" customFormat="1">
      <c r="A151" s="4" t="s">
        <v>1402</v>
      </c>
      <c r="B151" s="170"/>
    </row>
    <row r="152" spans="1:9" s="4" customFormat="1">
      <c r="A152" s="4" t="s">
        <v>1403</v>
      </c>
      <c r="B152" s="170"/>
    </row>
    <row r="153" spans="1:9">
      <c r="A153" t="s">
        <v>1404</v>
      </c>
      <c r="B153" s="122">
        <v>2</v>
      </c>
      <c r="C153" t="s">
        <v>1088</v>
      </c>
      <c r="D153" t="str">
        <f t="shared" si="2"/>
        <v>8</v>
      </c>
      <c r="E153" t="s">
        <v>1092</v>
      </c>
      <c r="F153" t="s">
        <v>1370</v>
      </c>
      <c r="G153" t="s">
        <v>1152</v>
      </c>
      <c r="H153" t="s">
        <v>1153</v>
      </c>
      <c r="I153" t="s">
        <v>1371</v>
      </c>
    </row>
    <row r="154" spans="1:9">
      <c r="A154" t="s">
        <v>1405</v>
      </c>
      <c r="B154" s="122">
        <v>4</v>
      </c>
      <c r="C154" t="s">
        <v>1092</v>
      </c>
      <c r="D154" t="str">
        <f t="shared" si="2"/>
        <v>16</v>
      </c>
      <c r="E154" t="s">
        <v>1096</v>
      </c>
      <c r="F154" t="s">
        <v>1373</v>
      </c>
      <c r="G154" t="s">
        <v>1374</v>
      </c>
      <c r="H154" t="s">
        <v>1375</v>
      </c>
      <c r="I154" t="s">
        <v>1376</v>
      </c>
    </row>
    <row r="155" spans="1:9">
      <c r="A155" t="s">
        <v>1406</v>
      </c>
      <c r="B155" s="122">
        <v>8</v>
      </c>
      <c r="C155" t="s">
        <v>1096</v>
      </c>
      <c r="D155" t="str">
        <f t="shared" si="2"/>
        <v>32</v>
      </c>
      <c r="E155" t="s">
        <v>1100</v>
      </c>
      <c r="F155" t="s">
        <v>1378</v>
      </c>
      <c r="G155" t="s">
        <v>1379</v>
      </c>
      <c r="H155" t="s">
        <v>1380</v>
      </c>
      <c r="I155" t="s">
        <v>1381</v>
      </c>
    </row>
    <row r="156" spans="1:9">
      <c r="A156" t="s">
        <v>1407</v>
      </c>
      <c r="B156" s="122">
        <v>16</v>
      </c>
      <c r="C156" t="s">
        <v>1100</v>
      </c>
      <c r="D156" t="str">
        <f t="shared" si="2"/>
        <v>64</v>
      </c>
      <c r="E156" t="s">
        <v>1111</v>
      </c>
      <c r="F156" t="s">
        <v>1118</v>
      </c>
      <c r="G156" t="s">
        <v>1383</v>
      </c>
      <c r="H156" t="s">
        <v>1384</v>
      </c>
      <c r="I156" t="s">
        <v>1385</v>
      </c>
    </row>
    <row r="157" spans="1:9">
      <c r="A157" t="s">
        <v>1408</v>
      </c>
      <c r="B157" s="122">
        <v>32</v>
      </c>
      <c r="C157" t="s">
        <v>1111</v>
      </c>
      <c r="D157" t="str">
        <f t="shared" si="2"/>
        <v>128</v>
      </c>
      <c r="E157" t="s">
        <v>1187</v>
      </c>
      <c r="F157" t="s">
        <v>1387</v>
      </c>
      <c r="G157" t="s">
        <v>1388</v>
      </c>
      <c r="H157" t="s">
        <v>1389</v>
      </c>
      <c r="I157" t="s">
        <v>1390</v>
      </c>
    </row>
    <row r="158" spans="1:9">
      <c r="A158" t="s">
        <v>1409</v>
      </c>
      <c r="B158" s="122">
        <v>48</v>
      </c>
      <c r="C158" t="s">
        <v>1180</v>
      </c>
      <c r="D158" t="str">
        <f t="shared" si="2"/>
        <v>192</v>
      </c>
      <c r="E158" t="s">
        <v>1194</v>
      </c>
      <c r="F158" t="s">
        <v>1392</v>
      </c>
      <c r="G158" t="s">
        <v>1393</v>
      </c>
      <c r="H158" t="s">
        <v>1394</v>
      </c>
      <c r="I158" t="s">
        <v>1395</v>
      </c>
    </row>
    <row r="159" spans="1:9">
      <c r="A159" t="s">
        <v>1410</v>
      </c>
      <c r="B159" s="122">
        <v>64</v>
      </c>
      <c r="C159" t="s">
        <v>1187</v>
      </c>
      <c r="D159" t="str">
        <f t="shared" si="2"/>
        <v>256</v>
      </c>
      <c r="E159" t="s">
        <v>1209</v>
      </c>
      <c r="F159" t="s">
        <v>1397</v>
      </c>
      <c r="G159" t="s">
        <v>1398</v>
      </c>
      <c r="H159" t="s">
        <v>1399</v>
      </c>
      <c r="I159" t="s">
        <v>1400</v>
      </c>
    </row>
    <row r="160" spans="1:9" s="4" customFormat="1">
      <c r="A160" s="4" t="s">
        <v>1411</v>
      </c>
      <c r="B160" s="170"/>
    </row>
    <row r="161" spans="1:9" s="4" customFormat="1">
      <c r="A161" s="4" t="s">
        <v>1412</v>
      </c>
      <c r="B161" s="170"/>
    </row>
    <row r="162" spans="1:9">
      <c r="A162" t="s">
        <v>1413</v>
      </c>
      <c r="B162" s="122">
        <v>1</v>
      </c>
      <c r="C162" t="s">
        <v>1414</v>
      </c>
      <c r="D162" t="str">
        <f t="shared" si="2"/>
        <v>3.5</v>
      </c>
      <c r="E162" t="s">
        <v>1150</v>
      </c>
      <c r="F162" t="s">
        <v>1415</v>
      </c>
      <c r="G162" t="s">
        <v>1416</v>
      </c>
      <c r="H162" t="s">
        <v>1417</v>
      </c>
      <c r="I162" t="s">
        <v>1418</v>
      </c>
    </row>
    <row r="163" spans="1:9">
      <c r="A163" t="s">
        <v>1419</v>
      </c>
      <c r="B163" s="122">
        <v>2</v>
      </c>
      <c r="C163" t="s">
        <v>1420</v>
      </c>
      <c r="D163" t="str">
        <f t="shared" si="2"/>
        <v>7</v>
      </c>
      <c r="E163" t="s">
        <v>1156</v>
      </c>
      <c r="F163" t="s">
        <v>1223</v>
      </c>
      <c r="G163" t="s">
        <v>1421</v>
      </c>
      <c r="H163" t="s">
        <v>1422</v>
      </c>
      <c r="I163" t="s">
        <v>1423</v>
      </c>
    </row>
    <row r="164" spans="1:9">
      <c r="A164" t="s">
        <v>568</v>
      </c>
      <c r="B164" s="122">
        <v>4</v>
      </c>
      <c r="C164" t="s">
        <v>1424</v>
      </c>
      <c r="D164" t="str">
        <f t="shared" si="2"/>
        <v>14</v>
      </c>
      <c r="E164" t="s">
        <v>1162</v>
      </c>
      <c r="F164" t="s">
        <v>1227</v>
      </c>
      <c r="G164" t="s">
        <v>1425</v>
      </c>
      <c r="H164" t="s">
        <v>1426</v>
      </c>
      <c r="I164" t="s">
        <v>1427</v>
      </c>
    </row>
    <row r="165" spans="1:9">
      <c r="A165" t="s">
        <v>1428</v>
      </c>
      <c r="B165" s="122">
        <v>8</v>
      </c>
      <c r="C165" t="s">
        <v>1429</v>
      </c>
      <c r="D165" t="str">
        <f t="shared" si="2"/>
        <v>28</v>
      </c>
      <c r="E165" t="s">
        <v>1168</v>
      </c>
      <c r="F165" t="s">
        <v>1231</v>
      </c>
      <c r="G165" t="s">
        <v>1430</v>
      </c>
      <c r="H165" t="s">
        <v>1102</v>
      </c>
      <c r="I165" t="s">
        <v>1431</v>
      </c>
    </row>
    <row r="166" spans="1:9">
      <c r="A166" t="s">
        <v>1432</v>
      </c>
      <c r="B166" s="122">
        <v>16</v>
      </c>
      <c r="C166" t="s">
        <v>1433</v>
      </c>
      <c r="D166" t="str">
        <f t="shared" si="2"/>
        <v>56</v>
      </c>
      <c r="E166" t="s">
        <v>1174</v>
      </c>
      <c r="F166" t="s">
        <v>1434</v>
      </c>
      <c r="G166" t="s">
        <v>1435</v>
      </c>
      <c r="H166" t="s">
        <v>1436</v>
      </c>
      <c r="I166" t="s">
        <v>1437</v>
      </c>
    </row>
    <row r="167" spans="1:9" s="4" customFormat="1">
      <c r="A167" s="4" t="s">
        <v>1438</v>
      </c>
      <c r="B167" s="170"/>
    </row>
    <row r="168" spans="1:9" s="4" customFormat="1">
      <c r="A168" s="4" t="s">
        <v>1439</v>
      </c>
      <c r="B168" s="170"/>
    </row>
    <row r="169" spans="1:9">
      <c r="A169" t="s">
        <v>1440</v>
      </c>
      <c r="B169" s="122">
        <v>1</v>
      </c>
      <c r="C169" t="s">
        <v>1414</v>
      </c>
      <c r="D169" t="str">
        <f t="shared" si="2"/>
        <v>3.5</v>
      </c>
      <c r="E169" t="s">
        <v>1420</v>
      </c>
      <c r="F169" t="s">
        <v>1415</v>
      </c>
      <c r="G169" t="s">
        <v>1416</v>
      </c>
      <c r="H169" t="s">
        <v>1417</v>
      </c>
      <c r="I169" t="s">
        <v>1418</v>
      </c>
    </row>
    <row r="170" spans="1:9">
      <c r="A170" t="s">
        <v>1441</v>
      </c>
      <c r="B170" s="122">
        <v>2</v>
      </c>
      <c r="C170" t="s">
        <v>1420</v>
      </c>
      <c r="D170" t="str">
        <f t="shared" si="2"/>
        <v>7</v>
      </c>
      <c r="E170" t="s">
        <v>1424</v>
      </c>
      <c r="F170" t="s">
        <v>1223</v>
      </c>
      <c r="G170" t="s">
        <v>1421</v>
      </c>
      <c r="H170" t="s">
        <v>1422</v>
      </c>
      <c r="I170" t="s">
        <v>1423</v>
      </c>
    </row>
    <row r="171" spans="1:9">
      <c r="A171" t="s">
        <v>1442</v>
      </c>
      <c r="B171" s="122">
        <v>4</v>
      </c>
      <c r="C171" t="s">
        <v>1424</v>
      </c>
      <c r="D171" t="str">
        <f t="shared" si="2"/>
        <v>14</v>
      </c>
      <c r="E171" t="s">
        <v>1429</v>
      </c>
      <c r="F171" t="s">
        <v>1227</v>
      </c>
      <c r="G171" t="s">
        <v>1425</v>
      </c>
      <c r="H171" t="s">
        <v>1426</v>
      </c>
      <c r="I171" t="s">
        <v>1427</v>
      </c>
    </row>
    <row r="172" spans="1:9">
      <c r="A172" t="s">
        <v>1443</v>
      </c>
      <c r="B172" s="122">
        <v>8</v>
      </c>
      <c r="C172" t="s">
        <v>1429</v>
      </c>
      <c r="D172" t="str">
        <f t="shared" si="2"/>
        <v>28</v>
      </c>
      <c r="E172" t="s">
        <v>1433</v>
      </c>
      <c r="F172" t="s">
        <v>1231</v>
      </c>
      <c r="G172" t="s">
        <v>1430</v>
      </c>
      <c r="H172" t="s">
        <v>1102</v>
      </c>
      <c r="I172" t="s">
        <v>1431</v>
      </c>
    </row>
    <row r="173" spans="1:9">
      <c r="A173" t="s">
        <v>1444</v>
      </c>
      <c r="B173" s="122">
        <v>16</v>
      </c>
      <c r="C173" t="s">
        <v>1433</v>
      </c>
      <c r="D173" t="str">
        <f t="shared" si="2"/>
        <v>56</v>
      </c>
      <c r="E173" t="s">
        <v>1445</v>
      </c>
      <c r="F173" t="s">
        <v>1434</v>
      </c>
      <c r="G173" t="s">
        <v>1435</v>
      </c>
      <c r="H173" t="s">
        <v>1436</v>
      </c>
      <c r="I173" t="s">
        <v>1437</v>
      </c>
    </row>
    <row r="174" spans="1:9" s="4" customFormat="1">
      <c r="A174" s="4" t="s">
        <v>1446</v>
      </c>
      <c r="B174" s="170"/>
    </row>
    <row r="175" spans="1:9" s="4" customFormat="1">
      <c r="A175" s="4" t="s">
        <v>1447</v>
      </c>
      <c r="B175" s="170"/>
    </row>
    <row r="176" spans="1:9" s="4" customFormat="1">
      <c r="A176" s="4" t="s">
        <v>1448</v>
      </c>
      <c r="B176" s="170"/>
    </row>
    <row r="177" spans="1:10">
      <c r="A177" t="s">
        <v>1449</v>
      </c>
      <c r="B177" s="122">
        <v>1</v>
      </c>
      <c r="C177" t="s">
        <v>1078</v>
      </c>
      <c r="D177" t="str">
        <f t="shared" si="2"/>
        <v>4</v>
      </c>
      <c r="E177" t="s">
        <v>1150</v>
      </c>
      <c r="F177" t="s">
        <v>1450</v>
      </c>
      <c r="G177" t="s">
        <v>1451</v>
      </c>
      <c r="H177" t="s">
        <v>1452</v>
      </c>
      <c r="I177" t="s">
        <v>1453</v>
      </c>
    </row>
    <row r="178" spans="1:10">
      <c r="A178" t="s">
        <v>1454</v>
      </c>
      <c r="B178" s="122">
        <v>2</v>
      </c>
      <c r="C178" t="s">
        <v>1088</v>
      </c>
      <c r="D178" t="str">
        <f t="shared" si="2"/>
        <v>8</v>
      </c>
      <c r="E178" t="s">
        <v>1156</v>
      </c>
      <c r="F178" t="s">
        <v>1455</v>
      </c>
      <c r="G178" t="s">
        <v>1456</v>
      </c>
      <c r="H178" t="s">
        <v>1457</v>
      </c>
      <c r="I178" t="s">
        <v>1458</v>
      </c>
    </row>
    <row r="179" spans="1:10">
      <c r="A179" t="s">
        <v>1459</v>
      </c>
      <c r="B179" s="122">
        <v>4</v>
      </c>
      <c r="C179" t="s">
        <v>1092</v>
      </c>
      <c r="D179" t="str">
        <f t="shared" si="2"/>
        <v>16</v>
      </c>
      <c r="E179" t="s">
        <v>1162</v>
      </c>
      <c r="F179" t="s">
        <v>1460</v>
      </c>
      <c r="G179" t="s">
        <v>1461</v>
      </c>
      <c r="H179" t="s">
        <v>1462</v>
      </c>
      <c r="I179" t="s">
        <v>1463</v>
      </c>
    </row>
    <row r="180" spans="1:10">
      <c r="A180" t="s">
        <v>1464</v>
      </c>
      <c r="B180" s="122">
        <v>8</v>
      </c>
      <c r="C180" t="s">
        <v>1096</v>
      </c>
      <c r="D180" t="str">
        <f t="shared" si="2"/>
        <v>32</v>
      </c>
      <c r="E180" t="s">
        <v>1168</v>
      </c>
      <c r="F180" t="s">
        <v>1465</v>
      </c>
      <c r="G180" t="s">
        <v>1466</v>
      </c>
      <c r="H180" t="s">
        <v>1467</v>
      </c>
      <c r="I180" t="s">
        <v>1468</v>
      </c>
    </row>
    <row r="181" spans="1:10">
      <c r="A181" s="5" t="s">
        <v>1469</v>
      </c>
      <c r="B181" s="171"/>
      <c r="C181" s="5"/>
      <c r="D181">
        <f t="shared" si="2"/>
        <v>0</v>
      </c>
      <c r="E181" s="5"/>
      <c r="F181" s="5"/>
      <c r="G181" s="5"/>
      <c r="H181" s="5"/>
      <c r="I181" s="5"/>
      <c r="J181" s="5"/>
    </row>
    <row r="182" spans="1:10" s="4" customFormat="1">
      <c r="A182" s="4" t="s">
        <v>1470</v>
      </c>
      <c r="B182" s="170"/>
    </row>
    <row r="183" spans="1:10" s="4" customFormat="1">
      <c r="A183" s="4" t="s">
        <v>1471</v>
      </c>
      <c r="B183" s="170"/>
    </row>
    <row r="184" spans="1:10" s="4" customFormat="1">
      <c r="A184" s="4" t="s">
        <v>1472</v>
      </c>
      <c r="B184" s="170"/>
    </row>
    <row r="185" spans="1:10" s="4" customFormat="1">
      <c r="A185" s="4" t="s">
        <v>1148</v>
      </c>
      <c r="B185" s="170"/>
    </row>
    <row r="186" spans="1:10">
      <c r="A186" t="s">
        <v>290</v>
      </c>
      <c r="B186" s="122">
        <v>2</v>
      </c>
      <c r="C186" t="s">
        <v>1078</v>
      </c>
      <c r="D186" t="str">
        <f t="shared" si="2"/>
        <v>4</v>
      </c>
      <c r="E186" t="s">
        <v>1092</v>
      </c>
      <c r="F186" t="s">
        <v>1473</v>
      </c>
      <c r="G186" t="s">
        <v>1474</v>
      </c>
      <c r="H186" t="s">
        <v>1475</v>
      </c>
      <c r="I186" t="s">
        <v>1476</v>
      </c>
    </row>
    <row r="187" spans="1:10">
      <c r="A187" t="s">
        <v>443</v>
      </c>
      <c r="B187" s="122">
        <v>4</v>
      </c>
      <c r="C187" t="s">
        <v>1088</v>
      </c>
      <c r="D187" t="str">
        <f t="shared" si="2"/>
        <v>8</v>
      </c>
      <c r="E187" t="s">
        <v>1096</v>
      </c>
      <c r="F187" t="s">
        <v>1477</v>
      </c>
      <c r="G187" t="s">
        <v>1478</v>
      </c>
      <c r="H187" t="s">
        <v>1479</v>
      </c>
      <c r="I187" t="s">
        <v>1480</v>
      </c>
    </row>
    <row r="188" spans="1:10">
      <c r="A188" t="s">
        <v>1481</v>
      </c>
      <c r="B188" s="122">
        <v>8</v>
      </c>
      <c r="C188" t="s">
        <v>1092</v>
      </c>
      <c r="D188" t="str">
        <f t="shared" si="2"/>
        <v>16</v>
      </c>
      <c r="E188" t="s">
        <v>1100</v>
      </c>
      <c r="F188" t="s">
        <v>1482</v>
      </c>
      <c r="G188" t="s">
        <v>1483</v>
      </c>
      <c r="H188" t="s">
        <v>1484</v>
      </c>
      <c r="I188" t="s">
        <v>1485</v>
      </c>
    </row>
    <row r="189" spans="1:10">
      <c r="A189" t="s">
        <v>281</v>
      </c>
      <c r="B189" s="122">
        <v>16</v>
      </c>
      <c r="C189" t="s">
        <v>1096</v>
      </c>
      <c r="D189" t="str">
        <f t="shared" si="2"/>
        <v>32</v>
      </c>
      <c r="E189" t="s">
        <v>1111</v>
      </c>
      <c r="F189" t="s">
        <v>1486</v>
      </c>
      <c r="G189" t="s">
        <v>1487</v>
      </c>
      <c r="H189" t="s">
        <v>1488</v>
      </c>
      <c r="I189" t="s">
        <v>1489</v>
      </c>
    </row>
    <row r="190" spans="1:10">
      <c r="A190" t="s">
        <v>278</v>
      </c>
      <c r="B190" s="122">
        <v>32</v>
      </c>
      <c r="C190" t="s">
        <v>1100</v>
      </c>
      <c r="D190" t="str">
        <f t="shared" si="2"/>
        <v>64</v>
      </c>
      <c r="E190" t="s">
        <v>1187</v>
      </c>
      <c r="F190" t="s">
        <v>1490</v>
      </c>
      <c r="G190" t="s">
        <v>1491</v>
      </c>
      <c r="H190" t="s">
        <v>1492</v>
      </c>
      <c r="I190" t="s">
        <v>1493</v>
      </c>
    </row>
    <row r="191" spans="1:10">
      <c r="A191" t="s">
        <v>1494</v>
      </c>
      <c r="B191" s="122">
        <v>48</v>
      </c>
      <c r="C191" t="s">
        <v>1106</v>
      </c>
      <c r="D191" t="str">
        <f t="shared" ref="D191:D254" si="3">IFERROR(REPLACE(C191,FIND(" GiB",C191,1),4,),C191)</f>
        <v>96</v>
      </c>
      <c r="E191" t="s">
        <v>1194</v>
      </c>
      <c r="F191" t="s">
        <v>1495</v>
      </c>
      <c r="G191" t="s">
        <v>1496</v>
      </c>
      <c r="H191" t="s">
        <v>1497</v>
      </c>
      <c r="I191" t="s">
        <v>1498</v>
      </c>
    </row>
    <row r="192" spans="1:10">
      <c r="A192" t="s">
        <v>1499</v>
      </c>
      <c r="B192" s="122">
        <v>64</v>
      </c>
      <c r="C192" t="s">
        <v>1111</v>
      </c>
      <c r="D192" t="str">
        <f t="shared" si="3"/>
        <v>128</v>
      </c>
      <c r="E192" t="s">
        <v>1209</v>
      </c>
      <c r="F192" t="s">
        <v>1500</v>
      </c>
      <c r="G192" t="s">
        <v>1501</v>
      </c>
      <c r="H192" t="s">
        <v>1502</v>
      </c>
      <c r="I192" t="s">
        <v>1503</v>
      </c>
    </row>
    <row r="193" spans="1:9">
      <c r="A193" t="s">
        <v>1504</v>
      </c>
      <c r="B193" s="122">
        <v>72</v>
      </c>
      <c r="C193" t="s">
        <v>1505</v>
      </c>
      <c r="D193" t="str">
        <f t="shared" si="3"/>
        <v>144</v>
      </c>
      <c r="E193" t="s">
        <v>1506</v>
      </c>
      <c r="F193" t="s">
        <v>1507</v>
      </c>
      <c r="G193" t="s">
        <v>1508</v>
      </c>
      <c r="H193" t="s">
        <v>1509</v>
      </c>
      <c r="I193" t="s">
        <v>1510</v>
      </c>
    </row>
    <row r="194" spans="1:9" s="4" customFormat="1">
      <c r="A194" s="4" t="s">
        <v>1511</v>
      </c>
      <c r="B194" s="170"/>
    </row>
    <row r="195" spans="1:9" s="4" customFormat="1">
      <c r="A195" s="4" t="s">
        <v>1512</v>
      </c>
      <c r="B195" s="170"/>
    </row>
    <row r="196" spans="1:9" s="4" customFormat="1">
      <c r="A196" s="4" t="s">
        <v>1513</v>
      </c>
      <c r="B196" s="170"/>
    </row>
    <row r="197" spans="1:9">
      <c r="A197" t="s">
        <v>1514</v>
      </c>
      <c r="B197" s="122">
        <v>1</v>
      </c>
      <c r="C197" t="s">
        <v>1084</v>
      </c>
      <c r="D197" t="str">
        <f t="shared" si="3"/>
        <v>2</v>
      </c>
      <c r="E197" t="s">
        <v>1092</v>
      </c>
      <c r="F197" t="s">
        <v>1515</v>
      </c>
      <c r="G197" t="s">
        <v>1516</v>
      </c>
      <c r="H197" t="s">
        <v>1417</v>
      </c>
      <c r="I197" t="s">
        <v>1517</v>
      </c>
    </row>
    <row r="198" spans="1:9">
      <c r="A198" t="s">
        <v>1518</v>
      </c>
      <c r="B198" s="122">
        <v>2</v>
      </c>
      <c r="C198" t="s">
        <v>1078</v>
      </c>
      <c r="D198" t="str">
        <f t="shared" si="3"/>
        <v>4</v>
      </c>
      <c r="E198" t="s">
        <v>1096</v>
      </c>
      <c r="F198" t="s">
        <v>1519</v>
      </c>
      <c r="G198" t="s">
        <v>1520</v>
      </c>
      <c r="H198" t="s">
        <v>1521</v>
      </c>
      <c r="I198" t="s">
        <v>1522</v>
      </c>
    </row>
    <row r="199" spans="1:9">
      <c r="A199" t="s">
        <v>1523</v>
      </c>
      <c r="B199" s="122">
        <v>4</v>
      </c>
      <c r="C199" t="s">
        <v>1088</v>
      </c>
      <c r="D199" t="str">
        <f t="shared" si="3"/>
        <v>8</v>
      </c>
      <c r="E199" t="s">
        <v>1100</v>
      </c>
      <c r="F199" t="s">
        <v>1524</v>
      </c>
      <c r="G199" t="s">
        <v>1525</v>
      </c>
      <c r="H199" t="s">
        <v>1526</v>
      </c>
      <c r="I199" t="s">
        <v>1527</v>
      </c>
    </row>
    <row r="200" spans="1:9">
      <c r="A200" t="s">
        <v>1528</v>
      </c>
      <c r="B200" s="122">
        <v>8</v>
      </c>
      <c r="C200" t="s">
        <v>1092</v>
      </c>
      <c r="D200" t="str">
        <f t="shared" si="3"/>
        <v>16</v>
      </c>
      <c r="E200" t="s">
        <v>1111</v>
      </c>
      <c r="F200" t="s">
        <v>1529</v>
      </c>
      <c r="G200" t="s">
        <v>1530</v>
      </c>
      <c r="H200" t="s">
        <v>1531</v>
      </c>
      <c r="I200" t="s">
        <v>1532</v>
      </c>
    </row>
    <row r="201" spans="1:9">
      <c r="A201" t="s">
        <v>1533</v>
      </c>
      <c r="B201" s="122">
        <v>16</v>
      </c>
      <c r="C201" t="s">
        <v>1096</v>
      </c>
      <c r="D201" t="str">
        <f t="shared" si="3"/>
        <v>32</v>
      </c>
      <c r="E201" t="s">
        <v>1187</v>
      </c>
      <c r="F201" t="s">
        <v>1534</v>
      </c>
      <c r="G201" t="s">
        <v>1535</v>
      </c>
      <c r="H201" t="s">
        <v>1536</v>
      </c>
      <c r="I201" t="s">
        <v>1537</v>
      </c>
    </row>
    <row r="202" spans="1:9" s="4" customFormat="1">
      <c r="A202" s="4" t="s">
        <v>1538</v>
      </c>
      <c r="B202" s="170"/>
    </row>
    <row r="203" spans="1:9" s="4" customFormat="1">
      <c r="A203" s="4" t="s">
        <v>1148</v>
      </c>
      <c r="B203" s="170"/>
    </row>
    <row r="204" spans="1:9">
      <c r="A204" t="s">
        <v>1539</v>
      </c>
      <c r="B204" s="122">
        <v>1</v>
      </c>
      <c r="C204" t="s">
        <v>1084</v>
      </c>
      <c r="D204" t="str">
        <f t="shared" si="3"/>
        <v>2</v>
      </c>
      <c r="E204" t="s">
        <v>1078</v>
      </c>
      <c r="F204" t="s">
        <v>1515</v>
      </c>
      <c r="G204" t="s">
        <v>1516</v>
      </c>
      <c r="H204" t="s">
        <v>1417</v>
      </c>
      <c r="I204" t="s">
        <v>1517</v>
      </c>
    </row>
    <row r="205" spans="1:9">
      <c r="A205" t="s">
        <v>1540</v>
      </c>
      <c r="B205" s="122">
        <v>2</v>
      </c>
      <c r="C205" t="s">
        <v>1078</v>
      </c>
      <c r="D205" t="str">
        <f t="shared" si="3"/>
        <v>4</v>
      </c>
      <c r="E205" t="s">
        <v>1088</v>
      </c>
      <c r="F205" t="s">
        <v>1519</v>
      </c>
      <c r="G205" t="s">
        <v>1520</v>
      </c>
      <c r="H205" t="s">
        <v>1521</v>
      </c>
      <c r="I205" t="s">
        <v>1522</v>
      </c>
    </row>
    <row r="206" spans="1:9">
      <c r="A206" t="s">
        <v>1541</v>
      </c>
      <c r="B206" s="122">
        <v>4</v>
      </c>
      <c r="C206" t="s">
        <v>1088</v>
      </c>
      <c r="D206" t="str">
        <f t="shared" si="3"/>
        <v>8</v>
      </c>
      <c r="E206" t="s">
        <v>1092</v>
      </c>
      <c r="F206" t="s">
        <v>1524</v>
      </c>
      <c r="G206" t="s">
        <v>1525</v>
      </c>
      <c r="H206" t="s">
        <v>1526</v>
      </c>
      <c r="I206" t="s">
        <v>1527</v>
      </c>
    </row>
    <row r="207" spans="1:9">
      <c r="A207" t="s">
        <v>1542</v>
      </c>
      <c r="B207" s="122">
        <v>8</v>
      </c>
      <c r="C207" t="s">
        <v>1092</v>
      </c>
      <c r="D207" t="str">
        <f t="shared" si="3"/>
        <v>16</v>
      </c>
      <c r="E207" t="s">
        <v>1096</v>
      </c>
      <c r="F207" t="s">
        <v>1529</v>
      </c>
      <c r="G207" t="s">
        <v>1530</v>
      </c>
      <c r="H207" t="s">
        <v>1531</v>
      </c>
      <c r="I207" t="s">
        <v>1532</v>
      </c>
    </row>
    <row r="208" spans="1:9">
      <c r="A208" t="s">
        <v>1543</v>
      </c>
      <c r="B208" s="122">
        <v>16</v>
      </c>
      <c r="C208" t="s">
        <v>1096</v>
      </c>
      <c r="D208" t="str">
        <f t="shared" si="3"/>
        <v>32</v>
      </c>
      <c r="E208" t="s">
        <v>1100</v>
      </c>
      <c r="F208" t="s">
        <v>1534</v>
      </c>
      <c r="G208" t="s">
        <v>1535</v>
      </c>
      <c r="H208" t="s">
        <v>1536</v>
      </c>
      <c r="I208" t="s">
        <v>1537</v>
      </c>
    </row>
    <row r="209" spans="1:9" s="4" customFormat="1">
      <c r="A209" s="4" t="s">
        <v>1544</v>
      </c>
      <c r="B209" s="170"/>
    </row>
    <row r="210" spans="1:9" s="4" customFormat="1">
      <c r="A210" s="4" t="s">
        <v>1545</v>
      </c>
      <c r="B210" s="170"/>
    </row>
    <row r="211" spans="1:9">
      <c r="A211" t="s">
        <v>1546</v>
      </c>
      <c r="B211" s="122">
        <v>4</v>
      </c>
      <c r="C211" t="s">
        <v>1547</v>
      </c>
      <c r="D211" t="str">
        <f t="shared" si="3"/>
        <v>84</v>
      </c>
      <c r="E211" t="s">
        <v>1548</v>
      </c>
      <c r="F211" t="s">
        <v>1549</v>
      </c>
      <c r="G211" t="s">
        <v>1550</v>
      </c>
      <c r="H211" t="s">
        <v>1551</v>
      </c>
      <c r="I211" t="s">
        <v>1552</v>
      </c>
    </row>
    <row r="212" spans="1:9">
      <c r="A212" t="s">
        <v>1553</v>
      </c>
      <c r="B212" s="122">
        <v>12</v>
      </c>
      <c r="C212" t="s">
        <v>1554</v>
      </c>
      <c r="D212" t="str">
        <f t="shared" si="3"/>
        <v>252</v>
      </c>
      <c r="E212" t="s">
        <v>1555</v>
      </c>
      <c r="F212" t="s">
        <v>1556</v>
      </c>
      <c r="G212" t="s">
        <v>1557</v>
      </c>
      <c r="H212" t="s">
        <v>1558</v>
      </c>
      <c r="I212" t="s">
        <v>1559</v>
      </c>
    </row>
    <row r="213" spans="1:9">
      <c r="A213" t="s">
        <v>1560</v>
      </c>
      <c r="B213" s="122">
        <v>24</v>
      </c>
      <c r="C213" t="s">
        <v>1555</v>
      </c>
      <c r="D213" t="str">
        <f t="shared" si="3"/>
        <v>504</v>
      </c>
      <c r="E213" t="s">
        <v>1561</v>
      </c>
      <c r="F213" t="s">
        <v>1562</v>
      </c>
      <c r="G213" t="s">
        <v>1563</v>
      </c>
      <c r="H213" t="s">
        <v>1564</v>
      </c>
      <c r="I213" t="s">
        <v>1565</v>
      </c>
    </row>
    <row r="214" spans="1:9">
      <c r="A214" t="s">
        <v>1566</v>
      </c>
      <c r="B214" s="122">
        <v>36</v>
      </c>
      <c r="C214" t="s">
        <v>1567</v>
      </c>
      <c r="D214" t="str">
        <f t="shared" si="3"/>
        <v>756</v>
      </c>
      <c r="E214" t="s">
        <v>1568</v>
      </c>
      <c r="F214" t="s">
        <v>1569</v>
      </c>
      <c r="G214" t="s">
        <v>1570</v>
      </c>
      <c r="H214" t="s">
        <v>1571</v>
      </c>
      <c r="I214" t="s">
        <v>1572</v>
      </c>
    </row>
    <row r="215" spans="1:9">
      <c r="A215" t="s">
        <v>1573</v>
      </c>
      <c r="B215" s="122">
        <v>48</v>
      </c>
      <c r="C215" t="s">
        <v>1561</v>
      </c>
      <c r="D215" t="str">
        <f t="shared" si="3"/>
        <v>1,008</v>
      </c>
      <c r="E215" t="s">
        <v>1574</v>
      </c>
      <c r="F215" t="s">
        <v>1575</v>
      </c>
      <c r="G215" t="s">
        <v>1576</v>
      </c>
      <c r="H215" t="s">
        <v>1577</v>
      </c>
      <c r="I215" t="s">
        <v>1578</v>
      </c>
    </row>
    <row r="216" spans="1:9" s="4" customFormat="1">
      <c r="A216" s="4" t="s">
        <v>1579</v>
      </c>
      <c r="B216" s="170"/>
    </row>
    <row r="217" spans="1:9" s="4" customFormat="1">
      <c r="A217" s="4" t="s">
        <v>1580</v>
      </c>
      <c r="B217" s="170"/>
    </row>
    <row r="218" spans="1:9" s="4" customFormat="1">
      <c r="A218" s="4" t="s">
        <v>1581</v>
      </c>
      <c r="B218" s="170"/>
    </row>
    <row r="219" spans="1:9" s="4" customFormat="1">
      <c r="A219" s="4" t="s">
        <v>1582</v>
      </c>
      <c r="B219" s="170"/>
    </row>
    <row r="220" spans="1:9" s="4" customFormat="1">
      <c r="A220" s="4" t="s">
        <v>1148</v>
      </c>
      <c r="B220" s="170"/>
    </row>
    <row r="221" spans="1:9">
      <c r="A221" t="s">
        <v>1583</v>
      </c>
      <c r="B221" s="122">
        <v>2</v>
      </c>
      <c r="C221" t="s">
        <v>1092</v>
      </c>
      <c r="D221" t="str">
        <f t="shared" si="3"/>
        <v>16</v>
      </c>
      <c r="E221" t="s">
        <v>1150</v>
      </c>
      <c r="F221" t="s">
        <v>1584</v>
      </c>
      <c r="G221" t="s">
        <v>1585</v>
      </c>
      <c r="H221" t="s">
        <v>1586</v>
      </c>
      <c r="I221" t="s">
        <v>1587</v>
      </c>
    </row>
    <row r="222" spans="1:9">
      <c r="A222" t="s">
        <v>1588</v>
      </c>
      <c r="B222" s="122">
        <v>4</v>
      </c>
      <c r="C222" t="s">
        <v>1096</v>
      </c>
      <c r="D222" t="str">
        <f t="shared" si="3"/>
        <v>32</v>
      </c>
      <c r="E222" t="s">
        <v>1156</v>
      </c>
      <c r="F222" t="s">
        <v>1589</v>
      </c>
      <c r="G222" t="s">
        <v>1590</v>
      </c>
      <c r="H222" t="s">
        <v>1591</v>
      </c>
      <c r="I222" t="s">
        <v>1592</v>
      </c>
    </row>
    <row r="223" spans="1:9">
      <c r="A223" t="s">
        <v>1593</v>
      </c>
      <c r="B223" s="122">
        <v>8</v>
      </c>
      <c r="C223" t="s">
        <v>1100</v>
      </c>
      <c r="D223" t="str">
        <f t="shared" si="3"/>
        <v>64</v>
      </c>
      <c r="E223" t="s">
        <v>1162</v>
      </c>
      <c r="F223" t="s">
        <v>1594</v>
      </c>
      <c r="G223" t="s">
        <v>1595</v>
      </c>
      <c r="H223" t="s">
        <v>1596</v>
      </c>
      <c r="I223" t="s">
        <v>1597</v>
      </c>
    </row>
    <row r="224" spans="1:9">
      <c r="A224" t="s">
        <v>1598</v>
      </c>
      <c r="B224" s="122">
        <v>16</v>
      </c>
      <c r="C224" t="s">
        <v>1111</v>
      </c>
      <c r="D224" t="str">
        <f t="shared" si="3"/>
        <v>128</v>
      </c>
      <c r="E224" t="s">
        <v>1168</v>
      </c>
      <c r="F224" t="s">
        <v>1599</v>
      </c>
      <c r="G224" t="s">
        <v>1600</v>
      </c>
      <c r="H224" t="s">
        <v>1601</v>
      </c>
      <c r="I224" t="s">
        <v>1602</v>
      </c>
    </row>
    <row r="225" spans="1:9">
      <c r="A225" t="s">
        <v>1603</v>
      </c>
      <c r="B225" s="122">
        <v>20</v>
      </c>
      <c r="C225" t="s">
        <v>1117</v>
      </c>
      <c r="D225" t="str">
        <f t="shared" si="3"/>
        <v>160</v>
      </c>
      <c r="E225" t="s">
        <v>1604</v>
      </c>
      <c r="F225" t="s">
        <v>1605</v>
      </c>
      <c r="G225" t="s">
        <v>1606</v>
      </c>
      <c r="H225" t="s">
        <v>1607</v>
      </c>
      <c r="I225" t="s">
        <v>1608</v>
      </c>
    </row>
    <row r="226" spans="1:9">
      <c r="A226" t="s">
        <v>1609</v>
      </c>
      <c r="B226" s="122">
        <v>32</v>
      </c>
      <c r="C226" t="s">
        <v>1187</v>
      </c>
      <c r="D226" t="str">
        <f t="shared" si="3"/>
        <v>256</v>
      </c>
      <c r="E226" t="s">
        <v>1174</v>
      </c>
      <c r="F226" t="s">
        <v>1610</v>
      </c>
      <c r="G226" t="s">
        <v>1611</v>
      </c>
      <c r="H226" t="s">
        <v>1612</v>
      </c>
      <c r="I226" t="s">
        <v>1613</v>
      </c>
    </row>
    <row r="227" spans="1:9">
      <c r="A227" t="s">
        <v>1614</v>
      </c>
      <c r="B227" s="122">
        <v>48</v>
      </c>
      <c r="C227" t="s">
        <v>1194</v>
      </c>
      <c r="D227" t="str">
        <f t="shared" si="3"/>
        <v>384</v>
      </c>
      <c r="E227" t="s">
        <v>1181</v>
      </c>
      <c r="F227" t="s">
        <v>1615</v>
      </c>
      <c r="G227" t="s">
        <v>1616</v>
      </c>
      <c r="H227" t="s">
        <v>1617</v>
      </c>
      <c r="I227" t="s">
        <v>1618</v>
      </c>
    </row>
    <row r="228" spans="1:9">
      <c r="A228" t="s">
        <v>1619</v>
      </c>
      <c r="B228" s="122">
        <v>64</v>
      </c>
      <c r="C228" t="s">
        <v>1209</v>
      </c>
      <c r="D228" t="str">
        <f t="shared" si="3"/>
        <v>512</v>
      </c>
      <c r="E228" t="s">
        <v>1188</v>
      </c>
      <c r="F228" t="s">
        <v>1620</v>
      </c>
      <c r="G228" t="s">
        <v>1621</v>
      </c>
      <c r="H228" t="s">
        <v>1622</v>
      </c>
      <c r="I228" t="s">
        <v>1623</v>
      </c>
    </row>
    <row r="229" spans="1:9">
      <c r="A229" t="s">
        <v>1624</v>
      </c>
      <c r="B229" s="122">
        <v>96</v>
      </c>
      <c r="C229" t="s">
        <v>1625</v>
      </c>
      <c r="D229" t="str">
        <f t="shared" si="3"/>
        <v>672</v>
      </c>
      <c r="E229" t="s">
        <v>1195</v>
      </c>
      <c r="F229" t="s">
        <v>1626</v>
      </c>
      <c r="G229" t="s">
        <v>1627</v>
      </c>
      <c r="H229" t="s">
        <v>1628</v>
      </c>
      <c r="I229" t="s">
        <v>1629</v>
      </c>
    </row>
    <row r="230" spans="1:9" s="4" customFormat="1">
      <c r="A230" s="4" t="s">
        <v>1630</v>
      </c>
      <c r="B230" s="170"/>
      <c r="D230">
        <f t="shared" si="3"/>
        <v>0</v>
      </c>
    </row>
    <row r="231" spans="1:9" s="4" customFormat="1">
      <c r="A231" s="4" t="s">
        <v>1631</v>
      </c>
      <c r="B231" s="170"/>
      <c r="D231">
        <f t="shared" si="3"/>
        <v>0</v>
      </c>
    </row>
    <row r="232" spans="1:9" s="4" customFormat="1">
      <c r="A232" s="4" t="s">
        <v>1148</v>
      </c>
      <c r="B232" s="170"/>
      <c r="D232">
        <f t="shared" si="3"/>
        <v>0</v>
      </c>
    </row>
    <row r="233" spans="1:9">
      <c r="A233" t="s">
        <v>1632</v>
      </c>
      <c r="B233" s="122">
        <v>2</v>
      </c>
      <c r="C233" t="s">
        <v>1092</v>
      </c>
      <c r="D233" t="str">
        <f t="shared" si="3"/>
        <v>16</v>
      </c>
      <c r="E233" t="s">
        <v>1096</v>
      </c>
      <c r="F233" t="s">
        <v>1584</v>
      </c>
      <c r="G233" t="s">
        <v>1585</v>
      </c>
      <c r="H233" t="s">
        <v>1586</v>
      </c>
      <c r="I233" t="s">
        <v>1587</v>
      </c>
    </row>
    <row r="234" spans="1:9">
      <c r="A234" t="s">
        <v>1633</v>
      </c>
      <c r="B234" s="122">
        <v>4</v>
      </c>
      <c r="C234" t="s">
        <v>1096</v>
      </c>
      <c r="D234" t="str">
        <f t="shared" si="3"/>
        <v>32</v>
      </c>
      <c r="E234" t="s">
        <v>1100</v>
      </c>
      <c r="F234" t="s">
        <v>1589</v>
      </c>
      <c r="G234" t="s">
        <v>1590</v>
      </c>
      <c r="H234" t="s">
        <v>1591</v>
      </c>
      <c r="I234" t="s">
        <v>1592</v>
      </c>
    </row>
    <row r="235" spans="1:9">
      <c r="A235" t="s">
        <v>1634</v>
      </c>
      <c r="B235" s="122">
        <v>8</v>
      </c>
      <c r="C235" t="s">
        <v>1100</v>
      </c>
      <c r="D235" t="str">
        <f t="shared" si="3"/>
        <v>64</v>
      </c>
      <c r="E235" t="s">
        <v>1111</v>
      </c>
      <c r="F235" t="s">
        <v>1594</v>
      </c>
      <c r="G235" t="s">
        <v>1595</v>
      </c>
      <c r="H235" t="s">
        <v>1596</v>
      </c>
      <c r="I235" t="s">
        <v>1597</v>
      </c>
    </row>
    <row r="236" spans="1:9">
      <c r="A236" t="s">
        <v>1635</v>
      </c>
      <c r="B236" s="122">
        <v>16</v>
      </c>
      <c r="C236" t="s">
        <v>1111</v>
      </c>
      <c r="D236" t="str">
        <f t="shared" si="3"/>
        <v>128</v>
      </c>
      <c r="E236" t="s">
        <v>1187</v>
      </c>
      <c r="F236" t="s">
        <v>1599</v>
      </c>
      <c r="G236" t="s">
        <v>1600</v>
      </c>
      <c r="H236" t="s">
        <v>1601</v>
      </c>
      <c r="I236" t="s">
        <v>1602</v>
      </c>
    </row>
    <row r="237" spans="1:9">
      <c r="A237" t="s">
        <v>1636</v>
      </c>
      <c r="B237" s="122">
        <v>20</v>
      </c>
      <c r="C237" t="s">
        <v>1117</v>
      </c>
      <c r="D237" t="str">
        <f t="shared" si="3"/>
        <v>160</v>
      </c>
      <c r="E237" t="s">
        <v>1637</v>
      </c>
      <c r="F237" t="s">
        <v>1605</v>
      </c>
      <c r="G237" t="s">
        <v>1606</v>
      </c>
      <c r="H237" t="s">
        <v>1607</v>
      </c>
      <c r="I237" t="s">
        <v>1608</v>
      </c>
    </row>
    <row r="238" spans="1:9">
      <c r="A238" t="s">
        <v>1638</v>
      </c>
      <c r="B238" s="122">
        <v>32</v>
      </c>
      <c r="C238" t="s">
        <v>1187</v>
      </c>
      <c r="D238" t="str">
        <f t="shared" si="3"/>
        <v>256</v>
      </c>
      <c r="E238" t="s">
        <v>1209</v>
      </c>
      <c r="F238" t="s">
        <v>1610</v>
      </c>
      <c r="G238" t="s">
        <v>1611</v>
      </c>
      <c r="H238" t="s">
        <v>1612</v>
      </c>
      <c r="I238" t="s">
        <v>1613</v>
      </c>
    </row>
    <row r="239" spans="1:9">
      <c r="A239" t="s">
        <v>1639</v>
      </c>
      <c r="B239" s="122">
        <v>48</v>
      </c>
      <c r="C239" t="s">
        <v>1194</v>
      </c>
      <c r="D239" t="str">
        <f t="shared" si="3"/>
        <v>384</v>
      </c>
      <c r="E239" t="s">
        <v>1211</v>
      </c>
      <c r="F239" t="s">
        <v>1615</v>
      </c>
      <c r="G239" t="s">
        <v>1616</v>
      </c>
      <c r="H239" t="s">
        <v>1617</v>
      </c>
      <c r="I239" t="s">
        <v>1618</v>
      </c>
    </row>
    <row r="240" spans="1:9">
      <c r="A240" t="s">
        <v>1640</v>
      </c>
      <c r="B240" s="122">
        <v>64</v>
      </c>
      <c r="C240" t="s">
        <v>1209</v>
      </c>
      <c r="D240" t="str">
        <f t="shared" si="3"/>
        <v>512</v>
      </c>
      <c r="E240" t="s">
        <v>1641</v>
      </c>
      <c r="F240" t="s">
        <v>1620</v>
      </c>
      <c r="G240" t="s">
        <v>1621</v>
      </c>
      <c r="H240" t="s">
        <v>1622</v>
      </c>
      <c r="I240" t="s">
        <v>1623</v>
      </c>
    </row>
    <row r="241" spans="1:9">
      <c r="A241" t="s">
        <v>1642</v>
      </c>
      <c r="B241" s="122">
        <v>96</v>
      </c>
      <c r="C241" t="s">
        <v>1625</v>
      </c>
      <c r="D241" t="str">
        <f t="shared" si="3"/>
        <v>672</v>
      </c>
      <c r="E241" t="s">
        <v>1643</v>
      </c>
      <c r="F241" t="s">
        <v>1626</v>
      </c>
      <c r="G241" t="s">
        <v>1627</v>
      </c>
      <c r="H241" t="s">
        <v>1628</v>
      </c>
      <c r="I241" t="s">
        <v>1629</v>
      </c>
    </row>
    <row r="242" spans="1:9" s="4" customFormat="1">
      <c r="A242" s="4" t="s">
        <v>1644</v>
      </c>
      <c r="B242" s="170"/>
      <c r="D242">
        <f t="shared" si="3"/>
        <v>0</v>
      </c>
    </row>
    <row r="243" spans="1:9" s="4" customFormat="1">
      <c r="A243" s="4" t="s">
        <v>1645</v>
      </c>
      <c r="B243" s="170"/>
      <c r="D243">
        <f t="shared" si="3"/>
        <v>0</v>
      </c>
    </row>
    <row r="244" spans="1:9" s="4" customFormat="1">
      <c r="A244" s="4" t="s">
        <v>1646</v>
      </c>
      <c r="B244" s="170"/>
      <c r="D244">
        <f t="shared" si="3"/>
        <v>0</v>
      </c>
    </row>
    <row r="245" spans="1:9" s="4" customFormat="1">
      <c r="A245" s="4" t="s">
        <v>1216</v>
      </c>
      <c r="B245" s="170"/>
      <c r="D245">
        <f t="shared" si="3"/>
        <v>0</v>
      </c>
    </row>
    <row r="246" spans="1:9" s="4" customFormat="1">
      <c r="A246" s="4" t="s">
        <v>1647</v>
      </c>
      <c r="B246" s="170"/>
      <c r="D246">
        <f t="shared" si="3"/>
        <v>0</v>
      </c>
    </row>
    <row r="247" spans="1:9">
      <c r="A247" t="s">
        <v>1648</v>
      </c>
      <c r="B247" s="122">
        <v>2</v>
      </c>
      <c r="C247" t="s">
        <v>1092</v>
      </c>
      <c r="D247" t="str">
        <f t="shared" si="3"/>
        <v>16</v>
      </c>
      <c r="E247" t="s">
        <v>1218</v>
      </c>
      <c r="F247" t="s">
        <v>1649</v>
      </c>
      <c r="G247" s="167" t="s">
        <v>1649</v>
      </c>
      <c r="H247" s="167" t="s">
        <v>1649</v>
      </c>
      <c r="I247" t="s">
        <v>1650</v>
      </c>
    </row>
    <row r="248" spans="1:9">
      <c r="A248" t="s">
        <v>1651</v>
      </c>
      <c r="B248" s="122">
        <v>4</v>
      </c>
      <c r="C248" t="s">
        <v>1096</v>
      </c>
      <c r="D248" t="str">
        <f t="shared" si="3"/>
        <v>32</v>
      </c>
      <c r="E248" t="s">
        <v>1222</v>
      </c>
      <c r="F248" t="s">
        <v>1652</v>
      </c>
      <c r="G248" s="167" t="s">
        <v>1652</v>
      </c>
      <c r="H248" s="167" t="s">
        <v>1652</v>
      </c>
      <c r="I248" t="s">
        <v>1653</v>
      </c>
    </row>
    <row r="249" spans="1:9">
      <c r="A249" t="s">
        <v>1654</v>
      </c>
      <c r="B249" s="122">
        <v>8</v>
      </c>
      <c r="C249" t="s">
        <v>1100</v>
      </c>
      <c r="D249" t="str">
        <f t="shared" si="3"/>
        <v>64</v>
      </c>
      <c r="E249" t="s">
        <v>1226</v>
      </c>
      <c r="F249" t="s">
        <v>1655</v>
      </c>
      <c r="G249" s="167" t="s">
        <v>1655</v>
      </c>
      <c r="H249" s="167" t="s">
        <v>1655</v>
      </c>
      <c r="I249" t="s">
        <v>1656</v>
      </c>
    </row>
    <row r="250" spans="1:9">
      <c r="A250" t="s">
        <v>1657</v>
      </c>
      <c r="B250" s="122">
        <v>16</v>
      </c>
      <c r="C250" t="s">
        <v>1111</v>
      </c>
      <c r="D250" t="str">
        <f t="shared" si="3"/>
        <v>128</v>
      </c>
      <c r="E250" t="s">
        <v>1230</v>
      </c>
      <c r="F250" t="s">
        <v>1658</v>
      </c>
      <c r="G250" s="167" t="s">
        <v>1658</v>
      </c>
      <c r="H250" s="167" t="s">
        <v>1658</v>
      </c>
      <c r="I250" t="s">
        <v>1659</v>
      </c>
    </row>
    <row r="251" spans="1:9">
      <c r="A251" t="s">
        <v>1660</v>
      </c>
      <c r="B251" s="122">
        <v>20</v>
      </c>
      <c r="C251" t="s">
        <v>1117</v>
      </c>
      <c r="D251" t="str">
        <f t="shared" si="3"/>
        <v>160</v>
      </c>
      <c r="E251" t="s">
        <v>1661</v>
      </c>
      <c r="F251" t="s">
        <v>1662</v>
      </c>
      <c r="G251" s="167" t="s">
        <v>1662</v>
      </c>
      <c r="H251" s="167" t="s">
        <v>1662</v>
      </c>
      <c r="I251" t="s">
        <v>1655</v>
      </c>
    </row>
    <row r="252" spans="1:9">
      <c r="A252" t="s">
        <v>1663</v>
      </c>
      <c r="B252" s="122">
        <v>32</v>
      </c>
      <c r="C252" t="s">
        <v>1187</v>
      </c>
      <c r="D252" t="str">
        <f t="shared" si="3"/>
        <v>256</v>
      </c>
      <c r="E252" t="s">
        <v>1181</v>
      </c>
      <c r="F252" t="s">
        <v>1664</v>
      </c>
      <c r="G252" s="167" t="s">
        <v>1664</v>
      </c>
      <c r="H252" s="167" t="s">
        <v>1664</v>
      </c>
      <c r="I252" t="s">
        <v>1665</v>
      </c>
    </row>
    <row r="253" spans="1:9">
      <c r="A253" t="s">
        <v>1666</v>
      </c>
      <c r="B253" s="122">
        <v>48</v>
      </c>
      <c r="C253" t="s">
        <v>1194</v>
      </c>
      <c r="D253" t="str">
        <f t="shared" si="3"/>
        <v>384</v>
      </c>
      <c r="E253" t="s">
        <v>1237</v>
      </c>
      <c r="F253" t="s">
        <v>1667</v>
      </c>
      <c r="G253" s="167" t="s">
        <v>1667</v>
      </c>
      <c r="H253" s="167" t="s">
        <v>1667</v>
      </c>
      <c r="I253" t="s">
        <v>1668</v>
      </c>
    </row>
    <row r="254" spans="1:9">
      <c r="A254" t="s">
        <v>1669</v>
      </c>
      <c r="B254" s="122">
        <v>64</v>
      </c>
      <c r="C254" t="s">
        <v>1209</v>
      </c>
      <c r="D254" t="str">
        <f t="shared" si="3"/>
        <v>512</v>
      </c>
      <c r="E254" t="s">
        <v>1195</v>
      </c>
      <c r="F254" t="s">
        <v>1670</v>
      </c>
      <c r="G254" s="167" t="s">
        <v>1670</v>
      </c>
      <c r="H254" s="167" t="s">
        <v>1670</v>
      </c>
      <c r="I254" t="s">
        <v>1671</v>
      </c>
    </row>
    <row r="255" spans="1:9">
      <c r="A255" t="s">
        <v>1672</v>
      </c>
      <c r="B255" s="122">
        <v>96</v>
      </c>
      <c r="C255" t="s">
        <v>1625</v>
      </c>
      <c r="D255" t="str">
        <f t="shared" ref="D255:D301" si="4">IFERROR(REPLACE(C255,FIND(" GiB",C255,1),4,),C255)</f>
        <v>672</v>
      </c>
      <c r="E255" t="s">
        <v>1195</v>
      </c>
      <c r="F255" t="s">
        <v>1673</v>
      </c>
      <c r="G255" s="167" t="s">
        <v>1673</v>
      </c>
      <c r="H255" s="167" t="s">
        <v>1673</v>
      </c>
      <c r="I255" t="s">
        <v>1674</v>
      </c>
    </row>
    <row r="256" spans="1:9" s="4" customFormat="1">
      <c r="A256" s="4" t="s">
        <v>1675</v>
      </c>
      <c r="B256" s="170"/>
      <c r="D256" s="4">
        <f t="shared" si="4"/>
        <v>0</v>
      </c>
    </row>
    <row r="257" spans="1:9" s="4" customFormat="1">
      <c r="A257" s="4" t="s">
        <v>1676</v>
      </c>
      <c r="B257" s="170"/>
      <c r="D257" s="4">
        <f t="shared" si="4"/>
        <v>0</v>
      </c>
    </row>
    <row r="258" spans="1:9" s="4" customFormat="1">
      <c r="A258" s="4" t="s">
        <v>1249</v>
      </c>
      <c r="B258" s="170"/>
      <c r="D258" s="4">
        <f t="shared" si="4"/>
        <v>0</v>
      </c>
    </row>
    <row r="259" spans="1:9" s="4" customFormat="1">
      <c r="A259" s="4" t="s">
        <v>1216</v>
      </c>
      <c r="B259" s="170"/>
      <c r="D259" s="4">
        <f t="shared" si="4"/>
        <v>0</v>
      </c>
    </row>
    <row r="260" spans="1:9" s="4" customFormat="1">
      <c r="A260" s="4" t="s">
        <v>1677</v>
      </c>
      <c r="B260" s="170"/>
      <c r="D260" s="4">
        <f t="shared" si="4"/>
        <v>0</v>
      </c>
    </row>
    <row r="261" spans="1:9">
      <c r="A261" t="s">
        <v>1678</v>
      </c>
      <c r="B261" s="122">
        <v>2</v>
      </c>
      <c r="C261" t="s">
        <v>1092</v>
      </c>
      <c r="D261" t="str">
        <f t="shared" si="4"/>
        <v>16</v>
      </c>
      <c r="E261" t="s">
        <v>1218</v>
      </c>
      <c r="F261" t="s">
        <v>1649</v>
      </c>
      <c r="G261" s="167" t="s">
        <v>1649</v>
      </c>
      <c r="H261" s="167" t="s">
        <v>1649</v>
      </c>
      <c r="I261" t="s">
        <v>1082</v>
      </c>
    </row>
    <row r="262" spans="1:9">
      <c r="A262" t="s">
        <v>1679</v>
      </c>
      <c r="B262" s="122">
        <v>4</v>
      </c>
      <c r="C262" t="s">
        <v>1096</v>
      </c>
      <c r="D262" t="str">
        <f t="shared" si="4"/>
        <v>32</v>
      </c>
      <c r="E262" t="s">
        <v>1222</v>
      </c>
      <c r="F262" t="s">
        <v>1652</v>
      </c>
      <c r="G262" s="167" t="s">
        <v>1652</v>
      </c>
      <c r="H262" s="167" t="s">
        <v>1652</v>
      </c>
      <c r="I262" t="s">
        <v>1082</v>
      </c>
    </row>
    <row r="263" spans="1:9">
      <c r="A263" t="s">
        <v>1680</v>
      </c>
      <c r="B263" s="122">
        <v>8</v>
      </c>
      <c r="C263" t="s">
        <v>1100</v>
      </c>
      <c r="D263" t="str">
        <f t="shared" si="4"/>
        <v>64</v>
      </c>
      <c r="E263" t="s">
        <v>1226</v>
      </c>
      <c r="F263" t="s">
        <v>1655</v>
      </c>
      <c r="G263" s="167" t="s">
        <v>1655</v>
      </c>
      <c r="H263" s="167" t="s">
        <v>1655</v>
      </c>
      <c r="I263" t="s">
        <v>1082</v>
      </c>
    </row>
    <row r="264" spans="1:9">
      <c r="A264" t="s">
        <v>1681</v>
      </c>
      <c r="B264" s="122">
        <v>16</v>
      </c>
      <c r="C264" t="s">
        <v>1111</v>
      </c>
      <c r="D264" t="str">
        <f t="shared" si="4"/>
        <v>128</v>
      </c>
      <c r="E264" t="s">
        <v>1230</v>
      </c>
      <c r="F264" t="s">
        <v>1658</v>
      </c>
      <c r="G264" s="167" t="s">
        <v>1658</v>
      </c>
      <c r="H264" s="167" t="s">
        <v>1658</v>
      </c>
      <c r="I264" t="s">
        <v>1082</v>
      </c>
    </row>
    <row r="265" spans="1:9">
      <c r="A265" t="s">
        <v>1682</v>
      </c>
      <c r="B265" s="122">
        <v>20</v>
      </c>
      <c r="C265" t="s">
        <v>1117</v>
      </c>
      <c r="D265" t="str">
        <f t="shared" si="4"/>
        <v>160</v>
      </c>
      <c r="E265" t="s">
        <v>1661</v>
      </c>
      <c r="F265" t="s">
        <v>1662</v>
      </c>
      <c r="G265" s="167" t="s">
        <v>1662</v>
      </c>
      <c r="H265" s="167" t="s">
        <v>1662</v>
      </c>
      <c r="I265" t="s">
        <v>1082</v>
      </c>
    </row>
    <row r="266" spans="1:9">
      <c r="A266" t="s">
        <v>1683</v>
      </c>
      <c r="B266" s="122">
        <v>32</v>
      </c>
      <c r="C266" t="s">
        <v>1187</v>
      </c>
      <c r="D266" t="str">
        <f t="shared" si="4"/>
        <v>256</v>
      </c>
      <c r="E266" t="s">
        <v>1181</v>
      </c>
      <c r="F266" t="s">
        <v>1664</v>
      </c>
      <c r="G266" s="167" t="s">
        <v>1664</v>
      </c>
      <c r="H266" s="167" t="s">
        <v>1664</v>
      </c>
      <c r="I266" t="s">
        <v>1082</v>
      </c>
    </row>
    <row r="267" spans="1:9">
      <c r="A267" t="s">
        <v>1684</v>
      </c>
      <c r="B267" s="122">
        <v>48</v>
      </c>
      <c r="C267" t="s">
        <v>1194</v>
      </c>
      <c r="D267" t="str">
        <f t="shared" si="4"/>
        <v>384</v>
      </c>
      <c r="E267" t="s">
        <v>1237</v>
      </c>
      <c r="F267" t="s">
        <v>1667</v>
      </c>
      <c r="G267" s="167" t="s">
        <v>1667</v>
      </c>
      <c r="H267" s="167" t="s">
        <v>1667</v>
      </c>
      <c r="I267" t="s">
        <v>1082</v>
      </c>
    </row>
    <row r="268" spans="1:9">
      <c r="A268" t="s">
        <v>1685</v>
      </c>
      <c r="B268" s="122">
        <v>64</v>
      </c>
      <c r="C268" t="s">
        <v>1209</v>
      </c>
      <c r="D268" t="str">
        <f t="shared" si="4"/>
        <v>512</v>
      </c>
      <c r="E268" t="s">
        <v>1195</v>
      </c>
      <c r="F268" t="s">
        <v>1670</v>
      </c>
      <c r="G268" s="167" t="s">
        <v>1670</v>
      </c>
      <c r="H268" s="167" t="s">
        <v>1670</v>
      </c>
      <c r="I268" t="s">
        <v>1082</v>
      </c>
    </row>
    <row r="269" spans="1:9">
      <c r="A269" t="s">
        <v>1686</v>
      </c>
      <c r="B269" s="122">
        <v>96</v>
      </c>
      <c r="C269" t="s">
        <v>1625</v>
      </c>
      <c r="D269" t="str">
        <f t="shared" si="4"/>
        <v>672</v>
      </c>
      <c r="E269" t="s">
        <v>1195</v>
      </c>
      <c r="F269" t="s">
        <v>1673</v>
      </c>
      <c r="G269" s="167" t="s">
        <v>1673</v>
      </c>
      <c r="H269" s="167" t="s">
        <v>1673</v>
      </c>
      <c r="I269" t="s">
        <v>1082</v>
      </c>
    </row>
    <row r="270" spans="1:9" s="4" customFormat="1">
      <c r="A270" s="4" t="s">
        <v>1687</v>
      </c>
      <c r="B270" s="170"/>
      <c r="D270" s="4">
        <f t="shared" si="4"/>
        <v>0</v>
      </c>
    </row>
    <row r="271" spans="1:9" s="4" customFormat="1">
      <c r="A271" s="4" t="s">
        <v>1688</v>
      </c>
      <c r="B271" s="170"/>
      <c r="D271" s="4">
        <f t="shared" si="4"/>
        <v>0</v>
      </c>
    </row>
    <row r="272" spans="1:9" s="4" customFormat="1">
      <c r="A272" s="4" t="s">
        <v>1689</v>
      </c>
      <c r="B272" s="170"/>
      <c r="D272" s="4">
        <f t="shared" si="4"/>
        <v>0</v>
      </c>
    </row>
    <row r="273" spans="1:9" s="4" customFormat="1">
      <c r="A273" s="4" t="s">
        <v>1216</v>
      </c>
      <c r="B273" s="170"/>
      <c r="D273" s="4">
        <f t="shared" si="4"/>
        <v>0</v>
      </c>
    </row>
    <row r="274" spans="1:9" s="4" customFormat="1">
      <c r="A274" s="4" t="s">
        <v>1690</v>
      </c>
      <c r="B274" s="170"/>
      <c r="D274" s="4">
        <f t="shared" si="4"/>
        <v>0</v>
      </c>
    </row>
    <row r="275" spans="1:9">
      <c r="A275" t="s">
        <v>1691</v>
      </c>
      <c r="B275" s="122">
        <v>2</v>
      </c>
      <c r="C275" t="s">
        <v>1092</v>
      </c>
      <c r="D275" t="str">
        <f t="shared" si="4"/>
        <v>16</v>
      </c>
      <c r="E275" t="s">
        <v>1265</v>
      </c>
      <c r="F275" t="s">
        <v>1692</v>
      </c>
      <c r="G275" s="167" t="s">
        <v>1692</v>
      </c>
      <c r="H275" s="167" t="s">
        <v>1692</v>
      </c>
      <c r="I275" t="s">
        <v>1693</v>
      </c>
    </row>
    <row r="276" spans="1:9">
      <c r="A276" t="s">
        <v>1694</v>
      </c>
      <c r="B276" s="122">
        <v>4</v>
      </c>
      <c r="C276" t="s">
        <v>1096</v>
      </c>
      <c r="D276" t="str">
        <f t="shared" si="4"/>
        <v>32</v>
      </c>
      <c r="E276" t="s">
        <v>1265</v>
      </c>
      <c r="F276" t="s">
        <v>1584</v>
      </c>
      <c r="G276" s="167" t="s">
        <v>1584</v>
      </c>
      <c r="H276" s="167" t="s">
        <v>1584</v>
      </c>
      <c r="I276" t="s">
        <v>1695</v>
      </c>
    </row>
    <row r="277" spans="1:9">
      <c r="A277" t="s">
        <v>1696</v>
      </c>
      <c r="B277" s="122">
        <v>8</v>
      </c>
      <c r="C277" t="s">
        <v>1100</v>
      </c>
      <c r="D277" t="str">
        <f t="shared" si="4"/>
        <v>64</v>
      </c>
      <c r="E277" t="s">
        <v>1265</v>
      </c>
      <c r="F277" t="s">
        <v>1589</v>
      </c>
      <c r="G277" s="167" t="s">
        <v>1589</v>
      </c>
      <c r="H277" s="167" t="s">
        <v>1589</v>
      </c>
      <c r="I277" t="s">
        <v>1697</v>
      </c>
    </row>
    <row r="278" spans="1:9">
      <c r="A278" t="s">
        <v>1698</v>
      </c>
      <c r="B278" s="122">
        <v>16</v>
      </c>
      <c r="C278" t="s">
        <v>1111</v>
      </c>
      <c r="D278" t="str">
        <f t="shared" si="4"/>
        <v>128</v>
      </c>
      <c r="E278" t="s">
        <v>1265</v>
      </c>
      <c r="F278" t="s">
        <v>1594</v>
      </c>
      <c r="G278" s="167" t="s">
        <v>1594</v>
      </c>
      <c r="H278" s="167" t="s">
        <v>1594</v>
      </c>
      <c r="I278" t="s">
        <v>1699</v>
      </c>
    </row>
    <row r="279" spans="1:9">
      <c r="A279" t="s">
        <v>1700</v>
      </c>
      <c r="B279" s="122">
        <v>20</v>
      </c>
      <c r="C279" t="s">
        <v>1117</v>
      </c>
      <c r="D279" t="str">
        <f t="shared" si="4"/>
        <v>160</v>
      </c>
      <c r="E279" t="s">
        <v>1265</v>
      </c>
      <c r="F279" t="s">
        <v>1701</v>
      </c>
      <c r="G279" s="167" t="s">
        <v>1701</v>
      </c>
      <c r="H279" s="167" t="s">
        <v>1701</v>
      </c>
      <c r="I279" t="s">
        <v>1589</v>
      </c>
    </row>
    <row r="280" spans="1:9">
      <c r="A280" t="s">
        <v>1702</v>
      </c>
      <c r="B280" s="122">
        <v>32</v>
      </c>
      <c r="C280" t="s">
        <v>1187</v>
      </c>
      <c r="D280" t="str">
        <f t="shared" si="4"/>
        <v>256</v>
      </c>
      <c r="E280" t="s">
        <v>1265</v>
      </c>
      <c r="F280" t="s">
        <v>1599</v>
      </c>
      <c r="G280" s="167" t="s">
        <v>1599</v>
      </c>
      <c r="H280" s="167" t="s">
        <v>1599</v>
      </c>
      <c r="I280" t="s">
        <v>1703</v>
      </c>
    </row>
    <row r="281" spans="1:9">
      <c r="A281" t="s">
        <v>1704</v>
      </c>
      <c r="B281" s="122">
        <v>48</v>
      </c>
      <c r="C281" t="s">
        <v>1194</v>
      </c>
      <c r="D281" t="str">
        <f t="shared" si="4"/>
        <v>384</v>
      </c>
      <c r="E281" t="s">
        <v>1265</v>
      </c>
      <c r="F281" t="s">
        <v>1705</v>
      </c>
      <c r="G281" s="167" t="s">
        <v>1705</v>
      </c>
      <c r="H281" s="167" t="s">
        <v>1705</v>
      </c>
      <c r="I281" t="s">
        <v>1706</v>
      </c>
    </row>
    <row r="282" spans="1:9">
      <c r="A282" t="s">
        <v>1707</v>
      </c>
      <c r="B282" s="122">
        <v>64</v>
      </c>
      <c r="C282" t="s">
        <v>1209</v>
      </c>
      <c r="D282" t="str">
        <f t="shared" si="4"/>
        <v>512</v>
      </c>
      <c r="E282" t="s">
        <v>1265</v>
      </c>
      <c r="F282" t="s">
        <v>1610</v>
      </c>
      <c r="G282" s="167" t="s">
        <v>1610</v>
      </c>
      <c r="H282" s="167" t="s">
        <v>1610</v>
      </c>
      <c r="I282" t="s">
        <v>1708</v>
      </c>
    </row>
    <row r="283" spans="1:9">
      <c r="A283" t="s">
        <v>1709</v>
      </c>
      <c r="B283" s="122">
        <v>96</v>
      </c>
      <c r="C283" t="s">
        <v>1625</v>
      </c>
      <c r="D283" t="str">
        <f t="shared" si="4"/>
        <v>672</v>
      </c>
      <c r="E283" t="s">
        <v>1265</v>
      </c>
      <c r="F283" t="s">
        <v>1615</v>
      </c>
      <c r="G283" s="167" t="s">
        <v>1615</v>
      </c>
      <c r="H283" s="167" t="s">
        <v>1615</v>
      </c>
      <c r="I283" t="s">
        <v>1710</v>
      </c>
    </row>
    <row r="284" spans="1:9" s="4" customFormat="1">
      <c r="A284" s="4" t="s">
        <v>1711</v>
      </c>
      <c r="B284" s="170"/>
      <c r="D284" s="4">
        <f t="shared" si="4"/>
        <v>0</v>
      </c>
    </row>
    <row r="285" spans="1:9" s="4" customFormat="1">
      <c r="A285" s="4" t="s">
        <v>1712</v>
      </c>
      <c r="B285" s="170"/>
      <c r="D285" s="4">
        <f t="shared" si="4"/>
        <v>0</v>
      </c>
    </row>
    <row r="286" spans="1:9" s="4" customFormat="1">
      <c r="A286" s="4" t="s">
        <v>1249</v>
      </c>
      <c r="B286" s="170"/>
      <c r="D286" s="4">
        <f t="shared" si="4"/>
        <v>0</v>
      </c>
    </row>
    <row r="287" spans="1:9" s="4" customFormat="1">
      <c r="A287" s="4" t="s">
        <v>1216</v>
      </c>
      <c r="B287" s="170"/>
      <c r="D287" s="4">
        <f t="shared" si="4"/>
        <v>0</v>
      </c>
    </row>
    <row r="288" spans="1:9" s="4" customFormat="1">
      <c r="A288" s="4" t="s">
        <v>1713</v>
      </c>
      <c r="B288" s="170"/>
      <c r="D288" s="4">
        <f t="shared" si="4"/>
        <v>0</v>
      </c>
    </row>
    <row r="289" spans="1:9">
      <c r="A289" t="s">
        <v>1714</v>
      </c>
      <c r="B289" s="122">
        <v>2</v>
      </c>
      <c r="C289" t="s">
        <v>1092</v>
      </c>
      <c r="D289" t="str">
        <f t="shared" si="4"/>
        <v>16</v>
      </c>
      <c r="E289" t="s">
        <v>1265</v>
      </c>
      <c r="F289" t="s">
        <v>1692</v>
      </c>
      <c r="G289" s="167" t="s">
        <v>1692</v>
      </c>
      <c r="H289" s="167" t="s">
        <v>1692</v>
      </c>
      <c r="I289" t="s">
        <v>1082</v>
      </c>
    </row>
    <row r="290" spans="1:9">
      <c r="A290" t="s">
        <v>1715</v>
      </c>
      <c r="B290" s="122">
        <v>4</v>
      </c>
      <c r="C290" t="s">
        <v>1096</v>
      </c>
      <c r="D290" t="str">
        <f t="shared" si="4"/>
        <v>32</v>
      </c>
      <c r="E290" t="s">
        <v>1265</v>
      </c>
      <c r="F290" t="s">
        <v>1584</v>
      </c>
      <c r="G290" s="167" t="s">
        <v>1584</v>
      </c>
      <c r="H290" s="167" t="s">
        <v>1584</v>
      </c>
      <c r="I290" t="s">
        <v>1082</v>
      </c>
    </row>
    <row r="291" spans="1:9">
      <c r="A291" t="s">
        <v>1716</v>
      </c>
      <c r="B291" s="122">
        <v>8</v>
      </c>
      <c r="C291" t="s">
        <v>1100</v>
      </c>
      <c r="D291" t="str">
        <f t="shared" si="4"/>
        <v>64</v>
      </c>
      <c r="E291" t="s">
        <v>1265</v>
      </c>
      <c r="F291" t="s">
        <v>1589</v>
      </c>
      <c r="G291" s="167" t="s">
        <v>1589</v>
      </c>
      <c r="H291" s="167" t="s">
        <v>1589</v>
      </c>
      <c r="I291" t="s">
        <v>1082</v>
      </c>
    </row>
    <row r="292" spans="1:9">
      <c r="A292" t="s">
        <v>1717</v>
      </c>
      <c r="B292" s="122">
        <v>16</v>
      </c>
      <c r="C292" t="s">
        <v>1111</v>
      </c>
      <c r="D292" t="str">
        <f t="shared" si="4"/>
        <v>128</v>
      </c>
      <c r="E292" t="s">
        <v>1265</v>
      </c>
      <c r="F292" t="s">
        <v>1594</v>
      </c>
      <c r="G292" s="167" t="s">
        <v>1594</v>
      </c>
      <c r="H292" s="167" t="s">
        <v>1594</v>
      </c>
      <c r="I292" t="s">
        <v>1082</v>
      </c>
    </row>
    <row r="293" spans="1:9">
      <c r="A293" t="s">
        <v>1718</v>
      </c>
      <c r="B293" s="122">
        <v>20</v>
      </c>
      <c r="C293" t="s">
        <v>1117</v>
      </c>
      <c r="D293" t="str">
        <f t="shared" si="4"/>
        <v>160</v>
      </c>
      <c r="E293" t="s">
        <v>1265</v>
      </c>
      <c r="F293" t="s">
        <v>1701</v>
      </c>
      <c r="G293" s="167" t="s">
        <v>1701</v>
      </c>
      <c r="H293" s="167" t="s">
        <v>1701</v>
      </c>
      <c r="I293" t="s">
        <v>1082</v>
      </c>
    </row>
    <row r="294" spans="1:9">
      <c r="A294" t="s">
        <v>1719</v>
      </c>
      <c r="B294" s="122">
        <v>32</v>
      </c>
      <c r="C294" t="s">
        <v>1187</v>
      </c>
      <c r="D294" t="str">
        <f t="shared" si="4"/>
        <v>256</v>
      </c>
      <c r="E294" t="s">
        <v>1265</v>
      </c>
      <c r="F294" t="s">
        <v>1599</v>
      </c>
      <c r="G294" s="167" t="s">
        <v>1599</v>
      </c>
      <c r="H294" s="167" t="s">
        <v>1599</v>
      </c>
      <c r="I294" t="s">
        <v>1082</v>
      </c>
    </row>
    <row r="295" spans="1:9">
      <c r="A295" t="s">
        <v>1720</v>
      </c>
      <c r="B295" s="122">
        <v>48</v>
      </c>
      <c r="C295" t="s">
        <v>1194</v>
      </c>
      <c r="D295" t="str">
        <f t="shared" si="4"/>
        <v>384</v>
      </c>
      <c r="E295" t="s">
        <v>1265</v>
      </c>
      <c r="F295" t="s">
        <v>1705</v>
      </c>
      <c r="G295" s="167" t="s">
        <v>1705</v>
      </c>
      <c r="H295" s="167" t="s">
        <v>1705</v>
      </c>
      <c r="I295" t="s">
        <v>1082</v>
      </c>
    </row>
    <row r="296" spans="1:9">
      <c r="A296" t="s">
        <v>1721</v>
      </c>
      <c r="B296" s="122">
        <v>64</v>
      </c>
      <c r="C296" t="s">
        <v>1209</v>
      </c>
      <c r="D296" t="str">
        <f t="shared" si="4"/>
        <v>512</v>
      </c>
      <c r="E296" t="s">
        <v>1265</v>
      </c>
      <c r="F296" t="s">
        <v>1610</v>
      </c>
      <c r="G296" s="167" t="s">
        <v>1610</v>
      </c>
      <c r="H296" s="167" t="s">
        <v>1610</v>
      </c>
      <c r="I296" t="s">
        <v>1082</v>
      </c>
    </row>
    <row r="297" spans="1:9">
      <c r="A297" t="s">
        <v>1722</v>
      </c>
      <c r="B297" s="122">
        <v>96</v>
      </c>
      <c r="C297" t="s">
        <v>1625</v>
      </c>
      <c r="D297" t="str">
        <f t="shared" si="4"/>
        <v>672</v>
      </c>
      <c r="E297" t="s">
        <v>1265</v>
      </c>
      <c r="F297" t="s">
        <v>1615</v>
      </c>
      <c r="G297" s="167" t="s">
        <v>1615</v>
      </c>
      <c r="H297" s="167" t="s">
        <v>1615</v>
      </c>
      <c r="I297" t="s">
        <v>1082</v>
      </c>
    </row>
    <row r="298" spans="1:9" s="4" customFormat="1">
      <c r="A298" s="4" t="s">
        <v>1723</v>
      </c>
      <c r="B298" s="170"/>
      <c r="D298" s="4">
        <f t="shared" si="4"/>
        <v>0</v>
      </c>
    </row>
    <row r="299" spans="1:9" s="4" customFormat="1">
      <c r="A299" s="4" t="s">
        <v>1724</v>
      </c>
      <c r="B299" s="170"/>
      <c r="D299" s="4">
        <f t="shared" si="4"/>
        <v>0</v>
      </c>
    </row>
    <row r="300" spans="1:9" s="4" customFormat="1">
      <c r="A300" s="4" t="s">
        <v>1725</v>
      </c>
      <c r="B300" s="170"/>
      <c r="D300" s="4">
        <f t="shared" si="4"/>
        <v>0</v>
      </c>
    </row>
    <row r="301" spans="1:9" s="4" customFormat="1">
      <c r="A301" s="4" t="s">
        <v>1148</v>
      </c>
      <c r="B301" s="170"/>
      <c r="D301" s="4">
        <f t="shared" si="4"/>
        <v>0</v>
      </c>
    </row>
    <row r="302" spans="1:9">
      <c r="A302" t="s">
        <v>1726</v>
      </c>
      <c r="B302" s="122">
        <v>2</v>
      </c>
      <c r="C302" t="s">
        <v>1092</v>
      </c>
      <c r="D302" t="str">
        <f t="shared" ref="D302:D336" si="5">IFERROR(REPLACE(C302,FIND(" GiB",C302,1),4,),C302)</f>
        <v>16</v>
      </c>
      <c r="E302" t="s">
        <v>1218</v>
      </c>
      <c r="F302" t="s">
        <v>1652</v>
      </c>
      <c r="G302" t="s">
        <v>1727</v>
      </c>
      <c r="H302" t="s">
        <v>1728</v>
      </c>
      <c r="I302" t="s">
        <v>1729</v>
      </c>
    </row>
    <row r="303" spans="1:9">
      <c r="A303" t="s">
        <v>1730</v>
      </c>
      <c r="B303" s="122">
        <v>4</v>
      </c>
      <c r="C303" t="s">
        <v>1096</v>
      </c>
      <c r="D303" t="str">
        <f t="shared" si="5"/>
        <v>32</v>
      </c>
      <c r="E303" t="s">
        <v>1222</v>
      </c>
      <c r="F303" t="s">
        <v>1655</v>
      </c>
      <c r="G303" t="s">
        <v>1731</v>
      </c>
      <c r="H303" t="s">
        <v>1732</v>
      </c>
      <c r="I303" t="s">
        <v>1733</v>
      </c>
    </row>
    <row r="304" spans="1:9">
      <c r="A304" t="s">
        <v>1734</v>
      </c>
      <c r="B304" s="122">
        <v>8</v>
      </c>
      <c r="C304" t="s">
        <v>1100</v>
      </c>
      <c r="D304" t="str">
        <f t="shared" si="5"/>
        <v>64</v>
      </c>
      <c r="E304" t="s">
        <v>1226</v>
      </c>
      <c r="F304" t="s">
        <v>1658</v>
      </c>
      <c r="G304" t="s">
        <v>1735</v>
      </c>
      <c r="H304" t="s">
        <v>1736</v>
      </c>
      <c r="I304" t="s">
        <v>1737</v>
      </c>
    </row>
    <row r="305" spans="1:9">
      <c r="A305" t="s">
        <v>1738</v>
      </c>
      <c r="B305" s="122">
        <v>16</v>
      </c>
      <c r="C305" t="s">
        <v>1111</v>
      </c>
      <c r="D305" t="str">
        <f t="shared" si="5"/>
        <v>128</v>
      </c>
      <c r="E305" t="s">
        <v>1230</v>
      </c>
      <c r="F305" t="s">
        <v>1664</v>
      </c>
      <c r="G305" t="s">
        <v>1739</v>
      </c>
      <c r="H305" t="s">
        <v>1740</v>
      </c>
      <c r="I305" t="s">
        <v>1741</v>
      </c>
    </row>
    <row r="306" spans="1:9">
      <c r="A306" t="s">
        <v>1742</v>
      </c>
      <c r="B306" s="122">
        <v>20</v>
      </c>
      <c r="C306" t="s">
        <v>1117</v>
      </c>
      <c r="D306" t="str">
        <f t="shared" si="5"/>
        <v>160</v>
      </c>
      <c r="E306" t="s">
        <v>1661</v>
      </c>
      <c r="F306" t="s">
        <v>1743</v>
      </c>
      <c r="G306" t="s">
        <v>1744</v>
      </c>
      <c r="H306" t="s">
        <v>1745</v>
      </c>
      <c r="I306" t="s">
        <v>1746</v>
      </c>
    </row>
    <row r="307" spans="1:9">
      <c r="A307" t="s">
        <v>1747</v>
      </c>
      <c r="B307" s="122">
        <v>32</v>
      </c>
      <c r="C307" t="s">
        <v>1187</v>
      </c>
      <c r="D307" t="str">
        <f t="shared" si="5"/>
        <v>256</v>
      </c>
      <c r="E307" t="s">
        <v>1181</v>
      </c>
      <c r="F307" t="s">
        <v>1670</v>
      </c>
      <c r="G307" t="s">
        <v>1748</v>
      </c>
      <c r="H307" t="s">
        <v>1749</v>
      </c>
      <c r="I307" t="s">
        <v>1750</v>
      </c>
    </row>
    <row r="308" spans="1:9">
      <c r="A308" t="s">
        <v>1751</v>
      </c>
      <c r="B308" s="122">
        <v>48</v>
      </c>
      <c r="C308" t="s">
        <v>1194</v>
      </c>
      <c r="D308" t="str">
        <f t="shared" si="5"/>
        <v>384</v>
      </c>
      <c r="E308" t="s">
        <v>1237</v>
      </c>
      <c r="F308" t="s">
        <v>1673</v>
      </c>
      <c r="G308" t="s">
        <v>1752</v>
      </c>
      <c r="H308" t="s">
        <v>1753</v>
      </c>
      <c r="I308" t="s">
        <v>1754</v>
      </c>
    </row>
    <row r="309" spans="1:9">
      <c r="A309" t="s">
        <v>1755</v>
      </c>
      <c r="B309" s="122">
        <v>64</v>
      </c>
      <c r="C309" t="s">
        <v>1555</v>
      </c>
      <c r="D309" t="str">
        <f t="shared" si="5"/>
        <v>504</v>
      </c>
      <c r="E309" t="s">
        <v>1195</v>
      </c>
      <c r="F309" t="s">
        <v>1756</v>
      </c>
      <c r="G309" t="s">
        <v>1757</v>
      </c>
      <c r="H309" t="s">
        <v>1758</v>
      </c>
      <c r="I309" t="s">
        <v>1759</v>
      </c>
    </row>
    <row r="310" spans="1:9" s="4" customFormat="1">
      <c r="A310" s="4" t="s">
        <v>1760</v>
      </c>
      <c r="B310" s="170"/>
      <c r="D310" s="4">
        <f t="shared" si="5"/>
        <v>0</v>
      </c>
    </row>
    <row r="311" spans="1:9" s="4" customFormat="1">
      <c r="A311" s="4" t="s">
        <v>1761</v>
      </c>
      <c r="B311" s="170"/>
      <c r="D311" s="4">
        <f t="shared" si="5"/>
        <v>0</v>
      </c>
    </row>
    <row r="312" spans="1:9" s="4" customFormat="1">
      <c r="A312" s="4" t="s">
        <v>1249</v>
      </c>
      <c r="B312" s="170"/>
      <c r="D312" s="4">
        <f t="shared" si="5"/>
        <v>0</v>
      </c>
    </row>
    <row r="313" spans="1:9" s="4" customFormat="1">
      <c r="A313" s="4" t="s">
        <v>1148</v>
      </c>
      <c r="B313" s="170"/>
      <c r="D313" s="4">
        <f t="shared" si="5"/>
        <v>0</v>
      </c>
    </row>
    <row r="314" spans="1:9">
      <c r="A314" t="s">
        <v>370</v>
      </c>
      <c r="B314" s="122">
        <v>2</v>
      </c>
      <c r="C314" t="s">
        <v>1092</v>
      </c>
      <c r="D314" t="str">
        <f t="shared" si="5"/>
        <v>16</v>
      </c>
      <c r="E314" t="s">
        <v>1218</v>
      </c>
      <c r="F314" t="s">
        <v>1652</v>
      </c>
      <c r="G314" t="s">
        <v>1727</v>
      </c>
      <c r="H314" t="s">
        <v>1728</v>
      </c>
      <c r="I314" t="s">
        <v>1729</v>
      </c>
    </row>
    <row r="315" spans="1:9">
      <c r="A315" t="s">
        <v>439</v>
      </c>
      <c r="B315" s="122">
        <v>4</v>
      </c>
      <c r="C315" t="s">
        <v>1096</v>
      </c>
      <c r="D315" t="str">
        <f t="shared" si="5"/>
        <v>32</v>
      </c>
      <c r="E315" t="s">
        <v>1222</v>
      </c>
      <c r="F315" t="s">
        <v>1655</v>
      </c>
      <c r="G315" t="s">
        <v>1731</v>
      </c>
      <c r="H315" t="s">
        <v>1732</v>
      </c>
      <c r="I315" t="s">
        <v>1733</v>
      </c>
    </row>
    <row r="316" spans="1:9">
      <c r="A316" t="s">
        <v>630</v>
      </c>
      <c r="B316" s="122">
        <v>8</v>
      </c>
      <c r="C316" t="s">
        <v>1100</v>
      </c>
      <c r="D316" t="str">
        <f t="shared" si="5"/>
        <v>64</v>
      </c>
      <c r="E316" t="s">
        <v>1226</v>
      </c>
      <c r="F316" t="s">
        <v>1658</v>
      </c>
      <c r="G316" t="s">
        <v>1735</v>
      </c>
      <c r="H316" t="s">
        <v>1736</v>
      </c>
      <c r="I316" t="s">
        <v>1737</v>
      </c>
    </row>
    <row r="317" spans="1:9">
      <c r="A317" t="s">
        <v>1762</v>
      </c>
      <c r="B317" s="122">
        <v>16</v>
      </c>
      <c r="C317" t="s">
        <v>1111</v>
      </c>
      <c r="D317" t="str">
        <f t="shared" si="5"/>
        <v>128</v>
      </c>
      <c r="E317" t="s">
        <v>1230</v>
      </c>
      <c r="F317" t="s">
        <v>1664</v>
      </c>
      <c r="G317" t="s">
        <v>1739</v>
      </c>
      <c r="H317" t="s">
        <v>1740</v>
      </c>
      <c r="I317" t="s">
        <v>1741</v>
      </c>
    </row>
    <row r="318" spans="1:9">
      <c r="A318" t="s">
        <v>650</v>
      </c>
      <c r="B318" s="122">
        <v>20</v>
      </c>
      <c r="C318" t="s">
        <v>1117</v>
      </c>
      <c r="D318" t="str">
        <f t="shared" si="5"/>
        <v>160</v>
      </c>
      <c r="E318" t="s">
        <v>1661</v>
      </c>
      <c r="F318" t="s">
        <v>1743</v>
      </c>
      <c r="G318" t="s">
        <v>1744</v>
      </c>
      <c r="H318" t="s">
        <v>1745</v>
      </c>
      <c r="I318" t="s">
        <v>1746</v>
      </c>
    </row>
    <row r="319" spans="1:9">
      <c r="A319" t="s">
        <v>1763</v>
      </c>
      <c r="B319" s="122">
        <v>32</v>
      </c>
      <c r="C319" t="s">
        <v>1187</v>
      </c>
      <c r="D319" t="str">
        <f t="shared" si="5"/>
        <v>256</v>
      </c>
      <c r="E319" t="s">
        <v>1181</v>
      </c>
      <c r="F319" t="s">
        <v>1670</v>
      </c>
      <c r="G319" t="s">
        <v>1748</v>
      </c>
      <c r="H319" t="s">
        <v>1749</v>
      </c>
      <c r="I319" t="s">
        <v>1750</v>
      </c>
    </row>
    <row r="320" spans="1:9">
      <c r="A320" t="s">
        <v>1764</v>
      </c>
      <c r="B320" s="122">
        <v>48</v>
      </c>
      <c r="C320" t="s">
        <v>1194</v>
      </c>
      <c r="D320" t="str">
        <f t="shared" si="5"/>
        <v>384</v>
      </c>
      <c r="E320" t="s">
        <v>1237</v>
      </c>
      <c r="F320" t="s">
        <v>1673</v>
      </c>
      <c r="G320" t="s">
        <v>1752</v>
      </c>
      <c r="H320" t="s">
        <v>1753</v>
      </c>
      <c r="I320" t="s">
        <v>1754</v>
      </c>
    </row>
    <row r="321" spans="1:9">
      <c r="A321" t="s">
        <v>1765</v>
      </c>
      <c r="B321" s="122">
        <v>64</v>
      </c>
      <c r="C321" t="s">
        <v>1555</v>
      </c>
      <c r="D321" t="str">
        <f t="shared" si="5"/>
        <v>504</v>
      </c>
      <c r="E321" t="s">
        <v>1195</v>
      </c>
      <c r="F321" t="s">
        <v>1756</v>
      </c>
      <c r="G321" t="s">
        <v>1757</v>
      </c>
      <c r="H321" t="s">
        <v>1758</v>
      </c>
      <c r="I321" t="s">
        <v>1759</v>
      </c>
    </row>
    <row r="322" spans="1:9">
      <c r="A322" t="s">
        <v>1766</v>
      </c>
      <c r="B322" s="122">
        <v>80</v>
      </c>
      <c r="C322" t="s">
        <v>1555</v>
      </c>
      <c r="D322" t="str">
        <f t="shared" si="5"/>
        <v>504</v>
      </c>
      <c r="E322" t="s">
        <v>1195</v>
      </c>
      <c r="F322" t="s">
        <v>1767</v>
      </c>
      <c r="G322" t="s">
        <v>1768</v>
      </c>
      <c r="H322" t="s">
        <v>1769</v>
      </c>
      <c r="I322" t="s">
        <v>1770</v>
      </c>
    </row>
    <row r="323" spans="1:9" s="4" customFormat="1">
      <c r="A323" s="4" t="s">
        <v>1771</v>
      </c>
      <c r="B323" s="170"/>
      <c r="D323" s="4">
        <f t="shared" si="5"/>
        <v>0</v>
      </c>
    </row>
    <row r="324" spans="1:9" s="4" customFormat="1">
      <c r="A324" s="4" t="s">
        <v>1772</v>
      </c>
      <c r="B324" s="170"/>
      <c r="D324" s="4">
        <f t="shared" si="5"/>
        <v>0</v>
      </c>
    </row>
    <row r="325" spans="1:9" s="4" customFormat="1">
      <c r="A325" s="4" t="s">
        <v>1773</v>
      </c>
      <c r="B325" s="170"/>
      <c r="D325" s="4">
        <f t="shared" si="5"/>
        <v>0</v>
      </c>
    </row>
    <row r="326" spans="1:9" s="4" customFormat="1">
      <c r="A326" s="4" t="s">
        <v>1148</v>
      </c>
      <c r="B326" s="170"/>
      <c r="D326" s="4">
        <f t="shared" si="5"/>
        <v>0</v>
      </c>
    </row>
    <row r="327" spans="1:9">
      <c r="A327" t="s">
        <v>1774</v>
      </c>
      <c r="B327" s="122">
        <v>2</v>
      </c>
      <c r="C327" t="s">
        <v>1092</v>
      </c>
      <c r="D327" t="str">
        <f t="shared" si="5"/>
        <v>16</v>
      </c>
      <c r="E327" t="s">
        <v>1265</v>
      </c>
      <c r="F327" t="s">
        <v>1584</v>
      </c>
      <c r="G327" t="s">
        <v>1775</v>
      </c>
      <c r="H327" t="s">
        <v>1776</v>
      </c>
      <c r="I327" t="s">
        <v>1587</v>
      </c>
    </row>
    <row r="328" spans="1:9">
      <c r="A328" t="s">
        <v>1777</v>
      </c>
      <c r="B328" s="122">
        <v>4</v>
      </c>
      <c r="C328" t="s">
        <v>1096</v>
      </c>
      <c r="D328" t="str">
        <f t="shared" si="5"/>
        <v>32</v>
      </c>
      <c r="E328" t="s">
        <v>1265</v>
      </c>
      <c r="F328" t="s">
        <v>1589</v>
      </c>
      <c r="G328" t="s">
        <v>1778</v>
      </c>
      <c r="H328" t="s">
        <v>1779</v>
      </c>
      <c r="I328" t="s">
        <v>1592</v>
      </c>
    </row>
    <row r="329" spans="1:9">
      <c r="A329" t="s">
        <v>1780</v>
      </c>
      <c r="B329" s="122">
        <v>8</v>
      </c>
      <c r="C329" t="s">
        <v>1100</v>
      </c>
      <c r="D329" t="str">
        <f t="shared" si="5"/>
        <v>64</v>
      </c>
      <c r="E329" t="s">
        <v>1265</v>
      </c>
      <c r="F329" t="s">
        <v>1594</v>
      </c>
      <c r="G329" t="s">
        <v>1781</v>
      </c>
      <c r="H329" t="s">
        <v>1782</v>
      </c>
      <c r="I329" t="s">
        <v>1597</v>
      </c>
    </row>
    <row r="330" spans="1:9">
      <c r="A330" t="s">
        <v>1783</v>
      </c>
      <c r="B330" s="122">
        <v>16</v>
      </c>
      <c r="C330" t="s">
        <v>1111</v>
      </c>
      <c r="D330" t="str">
        <f t="shared" si="5"/>
        <v>128</v>
      </c>
      <c r="E330" t="s">
        <v>1265</v>
      </c>
      <c r="F330" t="s">
        <v>1599</v>
      </c>
      <c r="G330" t="s">
        <v>1784</v>
      </c>
      <c r="H330" t="s">
        <v>1785</v>
      </c>
      <c r="I330" t="s">
        <v>1602</v>
      </c>
    </row>
    <row r="331" spans="1:9">
      <c r="A331" t="s">
        <v>1786</v>
      </c>
      <c r="B331" s="122">
        <v>32</v>
      </c>
      <c r="C331" t="s">
        <v>1187</v>
      </c>
      <c r="D331" t="str">
        <f t="shared" si="5"/>
        <v>256</v>
      </c>
      <c r="E331" t="s">
        <v>1265</v>
      </c>
      <c r="F331" t="s">
        <v>1610</v>
      </c>
      <c r="G331" t="s">
        <v>1787</v>
      </c>
      <c r="H331" t="s">
        <v>1788</v>
      </c>
      <c r="I331" t="s">
        <v>1613</v>
      </c>
    </row>
    <row r="332" spans="1:9">
      <c r="A332" t="s">
        <v>1789</v>
      </c>
      <c r="B332" s="122">
        <v>48</v>
      </c>
      <c r="C332" t="s">
        <v>1194</v>
      </c>
      <c r="D332" t="str">
        <f t="shared" si="5"/>
        <v>384</v>
      </c>
      <c r="E332" t="s">
        <v>1265</v>
      </c>
      <c r="F332" t="s">
        <v>1615</v>
      </c>
      <c r="G332" t="s">
        <v>1790</v>
      </c>
      <c r="H332" t="s">
        <v>1791</v>
      </c>
      <c r="I332" t="s">
        <v>1618</v>
      </c>
    </row>
    <row r="333" spans="1:9">
      <c r="A333" t="s">
        <v>1792</v>
      </c>
      <c r="B333" s="122">
        <v>64</v>
      </c>
      <c r="C333" t="s">
        <v>1555</v>
      </c>
      <c r="D333" t="str">
        <f t="shared" si="5"/>
        <v>504</v>
      </c>
      <c r="E333" t="s">
        <v>1265</v>
      </c>
      <c r="F333" t="s">
        <v>1620</v>
      </c>
      <c r="G333" t="s">
        <v>1793</v>
      </c>
      <c r="H333" t="s">
        <v>1794</v>
      </c>
      <c r="I333" t="s">
        <v>1623</v>
      </c>
    </row>
    <row r="334" spans="1:9" s="4" customFormat="1">
      <c r="A334" s="4" t="s">
        <v>1795</v>
      </c>
      <c r="B334" s="170"/>
      <c r="D334" s="4">
        <f t="shared" si="5"/>
        <v>0</v>
      </c>
    </row>
    <row r="335" spans="1:9" s="4" customFormat="1">
      <c r="A335" s="4" t="s">
        <v>1796</v>
      </c>
      <c r="B335" s="170"/>
      <c r="D335" s="4">
        <f t="shared" si="5"/>
        <v>0</v>
      </c>
    </row>
    <row r="336" spans="1:9" s="4" customFormat="1">
      <c r="A336" s="4" t="s">
        <v>1148</v>
      </c>
      <c r="B336" s="170"/>
      <c r="D336" s="4">
        <f t="shared" si="5"/>
        <v>0</v>
      </c>
    </row>
    <row r="337" spans="1:9">
      <c r="A337" t="s">
        <v>1797</v>
      </c>
      <c r="B337" s="122">
        <v>2</v>
      </c>
      <c r="C337" t="s">
        <v>1092</v>
      </c>
      <c r="D337" t="str">
        <f t="shared" ref="D337:D370" si="6">IFERROR(REPLACE(C337,FIND(" GiB",C337,1),4,),C337)</f>
        <v>16</v>
      </c>
      <c r="E337" t="s">
        <v>1265</v>
      </c>
      <c r="F337" t="s">
        <v>1584</v>
      </c>
      <c r="G337" t="s">
        <v>1775</v>
      </c>
      <c r="H337" t="s">
        <v>1776</v>
      </c>
      <c r="I337" t="s">
        <v>1587</v>
      </c>
    </row>
    <row r="338" spans="1:9">
      <c r="A338" t="s">
        <v>1798</v>
      </c>
      <c r="B338" s="122">
        <v>4</v>
      </c>
      <c r="C338" t="s">
        <v>1096</v>
      </c>
      <c r="D338" t="str">
        <f t="shared" si="6"/>
        <v>32</v>
      </c>
      <c r="E338" t="s">
        <v>1265</v>
      </c>
      <c r="F338" t="s">
        <v>1589</v>
      </c>
      <c r="G338" t="s">
        <v>1778</v>
      </c>
      <c r="H338" t="s">
        <v>1779</v>
      </c>
      <c r="I338" t="s">
        <v>1592</v>
      </c>
    </row>
    <row r="339" spans="1:9">
      <c r="A339" t="s">
        <v>1799</v>
      </c>
      <c r="B339" s="122">
        <v>8</v>
      </c>
      <c r="C339" t="s">
        <v>1100</v>
      </c>
      <c r="D339" t="str">
        <f t="shared" si="6"/>
        <v>64</v>
      </c>
      <c r="E339" t="s">
        <v>1265</v>
      </c>
      <c r="F339" t="s">
        <v>1594</v>
      </c>
      <c r="G339" t="s">
        <v>1781</v>
      </c>
      <c r="H339" t="s">
        <v>1782</v>
      </c>
      <c r="I339" t="s">
        <v>1597</v>
      </c>
    </row>
    <row r="340" spans="1:9">
      <c r="A340" t="s">
        <v>1800</v>
      </c>
      <c r="B340" s="122">
        <v>16</v>
      </c>
      <c r="C340" t="s">
        <v>1111</v>
      </c>
      <c r="D340" t="str">
        <f t="shared" si="6"/>
        <v>128</v>
      </c>
      <c r="E340" t="s">
        <v>1265</v>
      </c>
      <c r="F340" t="s">
        <v>1599</v>
      </c>
      <c r="G340" t="s">
        <v>1784</v>
      </c>
      <c r="H340" t="s">
        <v>1785</v>
      </c>
      <c r="I340" t="s">
        <v>1602</v>
      </c>
    </row>
    <row r="341" spans="1:9">
      <c r="A341" t="s">
        <v>1801</v>
      </c>
      <c r="B341" s="122">
        <v>20</v>
      </c>
      <c r="C341" t="s">
        <v>1117</v>
      </c>
      <c r="D341" t="str">
        <f t="shared" si="6"/>
        <v>160</v>
      </c>
      <c r="E341" t="s">
        <v>1265</v>
      </c>
      <c r="F341" t="s">
        <v>1605</v>
      </c>
      <c r="G341" t="s">
        <v>1802</v>
      </c>
      <c r="H341" t="s">
        <v>1803</v>
      </c>
      <c r="I341" t="s">
        <v>1608</v>
      </c>
    </row>
    <row r="342" spans="1:9">
      <c r="A342" t="s">
        <v>1804</v>
      </c>
      <c r="B342" s="122">
        <v>32</v>
      </c>
      <c r="C342" t="s">
        <v>1187</v>
      </c>
      <c r="D342" t="str">
        <f t="shared" si="6"/>
        <v>256</v>
      </c>
      <c r="E342" t="s">
        <v>1265</v>
      </c>
      <c r="F342" t="s">
        <v>1610</v>
      </c>
      <c r="G342" t="s">
        <v>1787</v>
      </c>
      <c r="H342" t="s">
        <v>1788</v>
      </c>
      <c r="I342" t="s">
        <v>1613</v>
      </c>
    </row>
    <row r="343" spans="1:9">
      <c r="A343" t="s">
        <v>1805</v>
      </c>
      <c r="B343" s="122">
        <v>48</v>
      </c>
      <c r="C343" t="s">
        <v>1194</v>
      </c>
      <c r="D343" t="str">
        <f t="shared" si="6"/>
        <v>384</v>
      </c>
      <c r="E343" t="s">
        <v>1265</v>
      </c>
      <c r="F343" t="s">
        <v>1615</v>
      </c>
      <c r="G343" t="s">
        <v>1790</v>
      </c>
      <c r="H343" t="s">
        <v>1791</v>
      </c>
      <c r="I343" t="s">
        <v>1618</v>
      </c>
    </row>
    <row r="344" spans="1:9">
      <c r="A344" t="s">
        <v>1806</v>
      </c>
      <c r="B344" s="122">
        <v>64</v>
      </c>
      <c r="C344" t="s">
        <v>1555</v>
      </c>
      <c r="D344" t="str">
        <f t="shared" si="6"/>
        <v>504</v>
      </c>
      <c r="E344" t="s">
        <v>1265</v>
      </c>
      <c r="F344" t="s">
        <v>1620</v>
      </c>
      <c r="G344" t="s">
        <v>1793</v>
      </c>
      <c r="H344" t="s">
        <v>1794</v>
      </c>
      <c r="I344" t="s">
        <v>1623</v>
      </c>
    </row>
    <row r="345" spans="1:9">
      <c r="A345" t="s">
        <v>1807</v>
      </c>
      <c r="B345" s="122">
        <v>80</v>
      </c>
      <c r="C345" t="s">
        <v>1555</v>
      </c>
      <c r="D345" t="str">
        <f t="shared" si="6"/>
        <v>504</v>
      </c>
      <c r="E345" t="s">
        <v>1195</v>
      </c>
      <c r="F345" t="s">
        <v>1808</v>
      </c>
      <c r="G345" t="s">
        <v>1809</v>
      </c>
      <c r="H345" t="s">
        <v>1810</v>
      </c>
      <c r="I345" t="s">
        <v>1811</v>
      </c>
    </row>
    <row r="346" spans="1:9" s="4" customFormat="1">
      <c r="A346" s="4" t="s">
        <v>1771</v>
      </c>
      <c r="B346" s="170"/>
      <c r="D346" s="4">
        <f t="shared" si="6"/>
        <v>0</v>
      </c>
    </row>
    <row r="347" spans="1:9" s="4" customFormat="1">
      <c r="A347" s="4" t="s">
        <v>1812</v>
      </c>
      <c r="B347" s="170"/>
      <c r="D347" s="4">
        <f t="shared" si="6"/>
        <v>0</v>
      </c>
    </row>
    <row r="348" spans="1:9" s="4" customFormat="1">
      <c r="A348" s="4" t="s">
        <v>1813</v>
      </c>
      <c r="B348" s="170"/>
      <c r="D348" s="4">
        <f t="shared" si="6"/>
        <v>0</v>
      </c>
    </row>
    <row r="349" spans="1:9" s="4" customFormat="1">
      <c r="A349" s="4" t="s">
        <v>1814</v>
      </c>
      <c r="B349" s="170"/>
      <c r="D349" s="4">
        <f t="shared" si="6"/>
        <v>0</v>
      </c>
    </row>
    <row r="350" spans="1:9" s="4" customFormat="1">
      <c r="A350" s="4" t="s">
        <v>1148</v>
      </c>
      <c r="B350" s="170"/>
      <c r="D350" s="4">
        <f t="shared" si="6"/>
        <v>0</v>
      </c>
    </row>
    <row r="351" spans="1:9">
      <c r="A351" t="s">
        <v>1815</v>
      </c>
      <c r="B351" s="122">
        <v>2</v>
      </c>
      <c r="C351" t="s">
        <v>1092</v>
      </c>
      <c r="D351" t="str">
        <f t="shared" si="6"/>
        <v>16</v>
      </c>
      <c r="E351" t="s">
        <v>1150</v>
      </c>
      <c r="F351" t="s">
        <v>1816</v>
      </c>
      <c r="G351" t="s">
        <v>1817</v>
      </c>
      <c r="H351" t="s">
        <v>1818</v>
      </c>
      <c r="I351" t="s">
        <v>1819</v>
      </c>
    </row>
    <row r="352" spans="1:9">
      <c r="A352" t="s">
        <v>1820</v>
      </c>
      <c r="B352" s="122">
        <v>4</v>
      </c>
      <c r="C352" t="s">
        <v>1096</v>
      </c>
      <c r="D352" t="str">
        <f t="shared" si="6"/>
        <v>32</v>
      </c>
      <c r="E352" t="s">
        <v>1156</v>
      </c>
      <c r="F352" t="s">
        <v>1821</v>
      </c>
      <c r="G352" t="s">
        <v>1822</v>
      </c>
      <c r="H352" t="s">
        <v>1823</v>
      </c>
      <c r="I352" t="s">
        <v>1824</v>
      </c>
    </row>
    <row r="353" spans="1:9">
      <c r="A353" t="s">
        <v>1825</v>
      </c>
      <c r="B353" s="122">
        <v>8</v>
      </c>
      <c r="C353" t="s">
        <v>1100</v>
      </c>
      <c r="D353" t="str">
        <f t="shared" si="6"/>
        <v>64</v>
      </c>
      <c r="E353" t="s">
        <v>1162</v>
      </c>
      <c r="F353" t="s">
        <v>1826</v>
      </c>
      <c r="G353" t="s">
        <v>1827</v>
      </c>
      <c r="H353" t="s">
        <v>1828</v>
      </c>
      <c r="I353" t="s">
        <v>1829</v>
      </c>
    </row>
    <row r="354" spans="1:9">
      <c r="A354" t="s">
        <v>1830</v>
      </c>
      <c r="B354" s="122">
        <v>16</v>
      </c>
      <c r="C354" t="s">
        <v>1111</v>
      </c>
      <c r="D354" t="str">
        <f t="shared" si="6"/>
        <v>128</v>
      </c>
      <c r="E354" t="s">
        <v>1168</v>
      </c>
      <c r="F354" t="s">
        <v>1831</v>
      </c>
      <c r="G354" t="s">
        <v>1832</v>
      </c>
      <c r="H354" t="s">
        <v>1833</v>
      </c>
      <c r="I354" t="s">
        <v>1834</v>
      </c>
    </row>
    <row r="355" spans="1:9">
      <c r="A355" t="s">
        <v>1835</v>
      </c>
      <c r="B355" s="122">
        <v>20</v>
      </c>
      <c r="C355" t="s">
        <v>1117</v>
      </c>
      <c r="D355" t="str">
        <f t="shared" si="6"/>
        <v>160</v>
      </c>
      <c r="E355" t="s">
        <v>1230</v>
      </c>
      <c r="F355" t="s">
        <v>1836</v>
      </c>
      <c r="G355" t="s">
        <v>1837</v>
      </c>
      <c r="H355" t="s">
        <v>1838</v>
      </c>
      <c r="I355" t="s">
        <v>1839</v>
      </c>
    </row>
    <row r="356" spans="1:9">
      <c r="A356" t="s">
        <v>1840</v>
      </c>
      <c r="B356" s="122">
        <v>32</v>
      </c>
      <c r="C356" t="s">
        <v>1187</v>
      </c>
      <c r="D356" t="str">
        <f t="shared" si="6"/>
        <v>256</v>
      </c>
      <c r="E356" t="s">
        <v>1174</v>
      </c>
      <c r="F356" t="s">
        <v>1841</v>
      </c>
      <c r="G356" t="s">
        <v>1842</v>
      </c>
      <c r="H356" t="s">
        <v>1843</v>
      </c>
      <c r="I356" t="s">
        <v>1844</v>
      </c>
    </row>
    <row r="357" spans="1:9">
      <c r="A357" t="s">
        <v>1845</v>
      </c>
      <c r="B357" s="122">
        <v>48</v>
      </c>
      <c r="C357" t="s">
        <v>1194</v>
      </c>
      <c r="D357" t="str">
        <f t="shared" si="6"/>
        <v>384</v>
      </c>
      <c r="E357" t="s">
        <v>1181</v>
      </c>
      <c r="F357" t="s">
        <v>1846</v>
      </c>
      <c r="G357" t="s">
        <v>1847</v>
      </c>
      <c r="H357" t="s">
        <v>1848</v>
      </c>
      <c r="I357" t="s">
        <v>1849</v>
      </c>
    </row>
    <row r="358" spans="1:9">
      <c r="A358" t="s">
        <v>1850</v>
      </c>
      <c r="B358" s="122">
        <v>64</v>
      </c>
      <c r="C358" t="s">
        <v>1851</v>
      </c>
      <c r="D358" t="str">
        <f t="shared" si="6"/>
        <v>432</v>
      </c>
      <c r="E358" t="s">
        <v>1188</v>
      </c>
      <c r="F358" t="s">
        <v>1852</v>
      </c>
      <c r="G358" t="s">
        <v>1853</v>
      </c>
      <c r="H358" t="s">
        <v>1854</v>
      </c>
      <c r="I358" t="s">
        <v>1855</v>
      </c>
    </row>
    <row r="359" spans="1:9">
      <c r="A359" t="s">
        <v>1856</v>
      </c>
      <c r="B359" s="122">
        <v>64</v>
      </c>
      <c r="C359" t="s">
        <v>1851</v>
      </c>
      <c r="D359" t="str">
        <f t="shared" si="6"/>
        <v>432</v>
      </c>
      <c r="E359" t="s">
        <v>1188</v>
      </c>
      <c r="F359" t="s">
        <v>1852</v>
      </c>
      <c r="G359" t="s">
        <v>1857</v>
      </c>
      <c r="H359" t="s">
        <v>1858</v>
      </c>
      <c r="I359" t="s">
        <v>1855</v>
      </c>
    </row>
    <row r="360" spans="1:9" s="4" customFormat="1">
      <c r="A360" s="4" t="s">
        <v>1859</v>
      </c>
      <c r="B360" s="170"/>
      <c r="D360" s="4">
        <f t="shared" si="6"/>
        <v>0</v>
      </c>
    </row>
    <row r="361" spans="1:9" s="4" customFormat="1">
      <c r="A361" s="4" t="s">
        <v>1860</v>
      </c>
      <c r="B361" s="170"/>
      <c r="D361" s="4">
        <f t="shared" si="6"/>
        <v>0</v>
      </c>
    </row>
    <row r="362" spans="1:9" s="4" customFormat="1">
      <c r="A362" s="4" t="s">
        <v>1861</v>
      </c>
      <c r="B362" s="170"/>
      <c r="D362" s="4">
        <f t="shared" si="6"/>
        <v>0</v>
      </c>
    </row>
    <row r="363" spans="1:9" s="4" customFormat="1">
      <c r="A363" s="4" t="s">
        <v>1862</v>
      </c>
      <c r="B363" s="170"/>
      <c r="D363" s="4">
        <f t="shared" si="6"/>
        <v>0</v>
      </c>
    </row>
    <row r="364" spans="1:9">
      <c r="A364" t="s">
        <v>1863</v>
      </c>
      <c r="B364" s="122">
        <v>2</v>
      </c>
      <c r="C364" t="s">
        <v>1092</v>
      </c>
      <c r="D364" t="str">
        <f t="shared" si="6"/>
        <v>16</v>
      </c>
      <c r="E364" t="s">
        <v>1096</v>
      </c>
      <c r="F364" t="s">
        <v>1816</v>
      </c>
      <c r="G364" t="s">
        <v>1817</v>
      </c>
      <c r="H364" t="s">
        <v>1818</v>
      </c>
      <c r="I364" t="s">
        <v>1819</v>
      </c>
    </row>
    <row r="365" spans="1:9">
      <c r="A365" t="s">
        <v>1864</v>
      </c>
      <c r="B365" s="122">
        <v>4</v>
      </c>
      <c r="C365" t="s">
        <v>1096</v>
      </c>
      <c r="D365" t="str">
        <f t="shared" si="6"/>
        <v>32</v>
      </c>
      <c r="E365" t="s">
        <v>1100</v>
      </c>
      <c r="F365" t="s">
        <v>1821</v>
      </c>
      <c r="G365" t="s">
        <v>1822</v>
      </c>
      <c r="H365" t="s">
        <v>1823</v>
      </c>
      <c r="I365" t="s">
        <v>1824</v>
      </c>
    </row>
    <row r="366" spans="1:9">
      <c r="A366" t="s">
        <v>1865</v>
      </c>
      <c r="B366" s="122">
        <v>8</v>
      </c>
      <c r="C366" t="s">
        <v>1100</v>
      </c>
      <c r="D366" t="str">
        <f t="shared" si="6"/>
        <v>64</v>
      </c>
      <c r="E366" t="s">
        <v>1111</v>
      </c>
      <c r="F366" t="s">
        <v>1826</v>
      </c>
      <c r="G366" t="s">
        <v>1827</v>
      </c>
      <c r="H366" t="s">
        <v>1828</v>
      </c>
      <c r="I366" t="s">
        <v>1829</v>
      </c>
    </row>
    <row r="367" spans="1:9">
      <c r="A367" t="s">
        <v>1866</v>
      </c>
      <c r="B367" s="122">
        <v>16</v>
      </c>
      <c r="C367" t="s">
        <v>1111</v>
      </c>
      <c r="D367" t="str">
        <f t="shared" si="6"/>
        <v>128</v>
      </c>
      <c r="E367" t="s">
        <v>1187</v>
      </c>
      <c r="F367" t="s">
        <v>1831</v>
      </c>
      <c r="G367" t="s">
        <v>1832</v>
      </c>
      <c r="H367" t="s">
        <v>1833</v>
      </c>
      <c r="I367" t="s">
        <v>1834</v>
      </c>
    </row>
    <row r="368" spans="1:9">
      <c r="A368" t="s">
        <v>1867</v>
      </c>
      <c r="B368" s="122">
        <v>20</v>
      </c>
      <c r="C368" t="s">
        <v>1117</v>
      </c>
      <c r="D368" t="str">
        <f t="shared" si="6"/>
        <v>160</v>
      </c>
      <c r="E368" t="s">
        <v>1637</v>
      </c>
      <c r="F368" t="s">
        <v>1836</v>
      </c>
      <c r="G368" t="s">
        <v>1837</v>
      </c>
      <c r="H368" t="s">
        <v>1838</v>
      </c>
      <c r="I368" t="s">
        <v>1839</v>
      </c>
    </row>
    <row r="369" spans="1:10">
      <c r="A369" t="s">
        <v>1868</v>
      </c>
      <c r="B369" s="122">
        <v>32</v>
      </c>
      <c r="C369" t="s">
        <v>1187</v>
      </c>
      <c r="D369" t="str">
        <f t="shared" si="6"/>
        <v>256</v>
      </c>
      <c r="E369" t="s">
        <v>1209</v>
      </c>
      <c r="F369" t="s">
        <v>1841</v>
      </c>
      <c r="G369" t="s">
        <v>1842</v>
      </c>
      <c r="H369" t="s">
        <v>1843</v>
      </c>
      <c r="I369" t="s">
        <v>1844</v>
      </c>
    </row>
    <row r="370" spans="1:10">
      <c r="A370" t="s">
        <v>1869</v>
      </c>
      <c r="B370" s="122">
        <v>48</v>
      </c>
      <c r="C370" t="s">
        <v>1194</v>
      </c>
      <c r="D370" t="str">
        <f t="shared" si="6"/>
        <v>384</v>
      </c>
      <c r="E370" t="s">
        <v>1211</v>
      </c>
      <c r="F370" t="s">
        <v>1846</v>
      </c>
      <c r="G370" t="s">
        <v>1847</v>
      </c>
      <c r="H370" t="s">
        <v>1848</v>
      </c>
      <c r="I370" t="s">
        <v>1849</v>
      </c>
    </row>
    <row r="371" spans="1:10">
      <c r="A371" t="s">
        <v>1870</v>
      </c>
      <c r="B371" s="122">
        <v>64</v>
      </c>
      <c r="C371" t="s">
        <v>1851</v>
      </c>
      <c r="D371" t="str">
        <f t="shared" ref="D371:D407" si="7">IFERROR(REPLACE(C371,FIND(" GiB",C371,1),4,),C371)</f>
        <v>432</v>
      </c>
      <c r="E371" t="s">
        <v>1871</v>
      </c>
      <c r="F371" t="s">
        <v>1852</v>
      </c>
      <c r="G371" t="s">
        <v>1853</v>
      </c>
      <c r="H371" t="s">
        <v>1854</v>
      </c>
      <c r="I371" t="s">
        <v>1855</v>
      </c>
    </row>
    <row r="372" spans="1:10">
      <c r="A372" t="s">
        <v>1872</v>
      </c>
      <c r="B372" s="122">
        <v>64</v>
      </c>
      <c r="C372" t="s">
        <v>1851</v>
      </c>
      <c r="D372" t="str">
        <f t="shared" si="7"/>
        <v>432</v>
      </c>
      <c r="E372" t="s">
        <v>1871</v>
      </c>
      <c r="F372" t="s">
        <v>1852</v>
      </c>
      <c r="G372" t="s">
        <v>1857</v>
      </c>
      <c r="H372" t="s">
        <v>1858</v>
      </c>
      <c r="I372" t="s">
        <v>1855</v>
      </c>
    </row>
    <row r="373" spans="1:10" s="4" customFormat="1">
      <c r="A373" s="4" t="s">
        <v>1859</v>
      </c>
      <c r="B373" s="170"/>
      <c r="D373" s="4">
        <f t="shared" si="7"/>
        <v>0</v>
      </c>
    </row>
    <row r="374" spans="1:10" s="4" customFormat="1">
      <c r="A374" s="4" t="s">
        <v>1873</v>
      </c>
      <c r="B374" s="170"/>
      <c r="D374" s="4">
        <f t="shared" si="7"/>
        <v>0</v>
      </c>
    </row>
    <row r="375" spans="1:10" s="4" customFormat="1">
      <c r="A375" s="4" t="s">
        <v>1874</v>
      </c>
      <c r="B375" s="170"/>
      <c r="D375" s="4">
        <f t="shared" si="7"/>
        <v>0</v>
      </c>
    </row>
    <row r="376" spans="1:10" s="4" customFormat="1">
      <c r="A376" s="4" t="s">
        <v>1148</v>
      </c>
      <c r="B376" s="170"/>
      <c r="D376" s="4">
        <f t="shared" si="7"/>
        <v>0</v>
      </c>
    </row>
    <row r="377" spans="1:10">
      <c r="A377" t="s">
        <v>1875</v>
      </c>
      <c r="B377" s="122">
        <v>2</v>
      </c>
      <c r="C377" t="s">
        <v>1424</v>
      </c>
      <c r="D377" t="str">
        <f t="shared" si="7"/>
        <v>14</v>
      </c>
      <c r="E377" t="s">
        <v>1156</v>
      </c>
      <c r="F377" t="s">
        <v>1876</v>
      </c>
      <c r="G377" t="s">
        <v>1877</v>
      </c>
      <c r="H377" t="s">
        <v>1878</v>
      </c>
      <c r="I377" t="s">
        <v>1879</v>
      </c>
    </row>
    <row r="378" spans="1:10">
      <c r="A378" s="167" t="s">
        <v>1880</v>
      </c>
      <c r="B378" s="223">
        <v>4</v>
      </c>
      <c r="C378" s="167" t="s">
        <v>1429</v>
      </c>
      <c r="D378" s="167" t="str">
        <f t="shared" ref="D378" si="8">IFERROR(REPLACE(C378,FIND(" GiB",C378,1),4,),C378)</f>
        <v>28</v>
      </c>
      <c r="E378" s="167" t="s">
        <v>1162</v>
      </c>
      <c r="F378" s="167" t="s">
        <v>1881</v>
      </c>
      <c r="G378" s="167" t="s">
        <v>1882</v>
      </c>
      <c r="H378" s="167" t="s">
        <v>1883</v>
      </c>
      <c r="I378" s="167" t="s">
        <v>1884</v>
      </c>
      <c r="J378" s="167"/>
    </row>
    <row r="379" spans="1:10">
      <c r="A379" t="s">
        <v>1885</v>
      </c>
      <c r="B379" s="122">
        <v>4</v>
      </c>
      <c r="C379" t="s">
        <v>1429</v>
      </c>
      <c r="D379" t="str">
        <f t="shared" si="7"/>
        <v>28</v>
      </c>
      <c r="E379" t="s">
        <v>1162</v>
      </c>
      <c r="F379" t="s">
        <v>1881</v>
      </c>
      <c r="G379" t="s">
        <v>1882</v>
      </c>
      <c r="H379" t="s">
        <v>1883</v>
      </c>
      <c r="I379" t="s">
        <v>1884</v>
      </c>
    </row>
    <row r="380" spans="1:10">
      <c r="A380" s="167" t="s">
        <v>1886</v>
      </c>
      <c r="B380" s="223">
        <v>8</v>
      </c>
      <c r="C380" s="167" t="s">
        <v>1433</v>
      </c>
      <c r="D380" s="167" t="s">
        <v>1887</v>
      </c>
      <c r="E380" s="167" t="s">
        <v>1168</v>
      </c>
      <c r="F380" s="167" t="s">
        <v>1888</v>
      </c>
      <c r="G380" s="167" t="s">
        <v>1889</v>
      </c>
      <c r="H380" s="167" t="s">
        <v>1890</v>
      </c>
      <c r="I380" s="167" t="s">
        <v>1891</v>
      </c>
      <c r="J380" s="167"/>
    </row>
    <row r="381" spans="1:10">
      <c r="A381" t="s">
        <v>1892</v>
      </c>
      <c r="B381" s="122">
        <v>8</v>
      </c>
      <c r="C381" t="s">
        <v>1433</v>
      </c>
      <c r="D381" t="str">
        <f t="shared" si="7"/>
        <v>56</v>
      </c>
      <c r="E381" t="s">
        <v>1168</v>
      </c>
      <c r="F381" t="s">
        <v>1888</v>
      </c>
      <c r="G381" t="s">
        <v>1889</v>
      </c>
      <c r="H381" t="s">
        <v>1890</v>
      </c>
      <c r="I381" t="s">
        <v>1891</v>
      </c>
    </row>
    <row r="382" spans="1:10">
      <c r="A382" t="s">
        <v>1893</v>
      </c>
      <c r="B382" s="122">
        <v>16</v>
      </c>
      <c r="C382" t="s">
        <v>1445</v>
      </c>
      <c r="D382" t="str">
        <f t="shared" si="7"/>
        <v>112</v>
      </c>
      <c r="E382" t="s">
        <v>1174</v>
      </c>
      <c r="F382" t="s">
        <v>1894</v>
      </c>
      <c r="G382" t="s">
        <v>1895</v>
      </c>
      <c r="H382" t="s">
        <v>1896</v>
      </c>
      <c r="I382" t="s">
        <v>1897</v>
      </c>
    </row>
    <row r="383" spans="1:10">
      <c r="A383" t="s">
        <v>1898</v>
      </c>
      <c r="B383" s="122">
        <v>20</v>
      </c>
      <c r="C383" t="s">
        <v>1899</v>
      </c>
      <c r="D383" t="str">
        <f t="shared" si="7"/>
        <v>140</v>
      </c>
      <c r="E383" t="s">
        <v>1900</v>
      </c>
      <c r="F383" t="s">
        <v>1901</v>
      </c>
      <c r="G383" t="s">
        <v>1265</v>
      </c>
      <c r="H383" t="s">
        <v>1265</v>
      </c>
      <c r="I383" t="s">
        <v>1902</v>
      </c>
    </row>
    <row r="384" spans="1:10">
      <c r="A384" t="s">
        <v>1903</v>
      </c>
      <c r="B384" s="122">
        <v>20</v>
      </c>
      <c r="C384" t="s">
        <v>1899</v>
      </c>
      <c r="D384" t="str">
        <f t="shared" si="7"/>
        <v>140</v>
      </c>
      <c r="E384" t="s">
        <v>1900</v>
      </c>
      <c r="F384" t="s">
        <v>1901</v>
      </c>
      <c r="G384" t="s">
        <v>1904</v>
      </c>
      <c r="H384" t="s">
        <v>1905</v>
      </c>
      <c r="I384" t="s">
        <v>1902</v>
      </c>
    </row>
    <row r="385" spans="1:9" s="4" customFormat="1">
      <c r="A385" s="4" t="s">
        <v>1906</v>
      </c>
      <c r="B385" s="170"/>
      <c r="D385" s="4">
        <f t="shared" si="7"/>
        <v>0</v>
      </c>
    </row>
    <row r="386" spans="1:9" s="4" customFormat="1">
      <c r="A386" s="4" t="s">
        <v>1907</v>
      </c>
      <c r="B386" s="170"/>
      <c r="D386" s="4">
        <f t="shared" si="7"/>
        <v>0</v>
      </c>
    </row>
    <row r="387" spans="1:9" s="4" customFormat="1">
      <c r="A387" s="4" t="s">
        <v>1908</v>
      </c>
      <c r="B387" s="170"/>
      <c r="D387" s="4">
        <f t="shared" si="7"/>
        <v>0</v>
      </c>
    </row>
    <row r="388" spans="1:9" s="4" customFormat="1">
      <c r="A388" s="4" t="s">
        <v>1148</v>
      </c>
      <c r="B388" s="170"/>
      <c r="D388" s="4">
        <f t="shared" si="7"/>
        <v>0</v>
      </c>
    </row>
    <row r="389" spans="1:9">
      <c r="A389" t="s">
        <v>1909</v>
      </c>
      <c r="B389" s="122">
        <v>2</v>
      </c>
      <c r="C389" t="s">
        <v>1424</v>
      </c>
      <c r="D389" t="str">
        <f t="shared" si="7"/>
        <v>14</v>
      </c>
      <c r="E389" t="s">
        <v>1429</v>
      </c>
      <c r="F389" t="s">
        <v>1876</v>
      </c>
      <c r="G389" t="s">
        <v>1877</v>
      </c>
      <c r="H389" t="s">
        <v>1878</v>
      </c>
      <c r="I389" t="s">
        <v>1879</v>
      </c>
    </row>
    <row r="390" spans="1:9">
      <c r="A390" t="s">
        <v>1910</v>
      </c>
      <c r="B390" s="122">
        <v>4</v>
      </c>
      <c r="C390" t="s">
        <v>1429</v>
      </c>
      <c r="D390" t="str">
        <f t="shared" si="7"/>
        <v>28</v>
      </c>
      <c r="E390" t="s">
        <v>1433</v>
      </c>
      <c r="F390" t="s">
        <v>1881</v>
      </c>
      <c r="G390" t="s">
        <v>1882</v>
      </c>
      <c r="H390" t="s">
        <v>1883</v>
      </c>
      <c r="I390" t="s">
        <v>1884</v>
      </c>
    </row>
    <row r="391" spans="1:9">
      <c r="A391" t="s">
        <v>1911</v>
      </c>
      <c r="B391" s="122">
        <v>8</v>
      </c>
      <c r="C391" t="s">
        <v>1433</v>
      </c>
      <c r="D391" t="str">
        <f t="shared" si="7"/>
        <v>56</v>
      </c>
      <c r="E391" t="s">
        <v>1445</v>
      </c>
      <c r="F391" t="s">
        <v>1888</v>
      </c>
      <c r="G391" t="s">
        <v>1889</v>
      </c>
      <c r="H391" t="s">
        <v>1890</v>
      </c>
      <c r="I391" t="s">
        <v>1891</v>
      </c>
    </row>
    <row r="392" spans="1:9">
      <c r="A392" t="s">
        <v>1912</v>
      </c>
      <c r="B392" s="122">
        <v>16</v>
      </c>
      <c r="C392" t="s">
        <v>1445</v>
      </c>
      <c r="D392" t="str">
        <f t="shared" si="7"/>
        <v>112</v>
      </c>
      <c r="E392" t="s">
        <v>1913</v>
      </c>
      <c r="F392" t="s">
        <v>1894</v>
      </c>
      <c r="G392" t="s">
        <v>1895</v>
      </c>
      <c r="H392" t="s">
        <v>1896</v>
      </c>
      <c r="I392" t="s">
        <v>1897</v>
      </c>
    </row>
    <row r="393" spans="1:9">
      <c r="A393" t="s">
        <v>1914</v>
      </c>
      <c r="B393" s="122">
        <v>20</v>
      </c>
      <c r="C393" t="s">
        <v>1899</v>
      </c>
      <c r="D393" t="str">
        <f t="shared" si="7"/>
        <v>140</v>
      </c>
      <c r="E393" t="s">
        <v>1915</v>
      </c>
      <c r="F393" t="s">
        <v>1901</v>
      </c>
      <c r="G393" t="s">
        <v>1265</v>
      </c>
      <c r="H393" t="s">
        <v>1265</v>
      </c>
      <c r="I393" t="s">
        <v>1902</v>
      </c>
    </row>
    <row r="394" spans="1:9">
      <c r="A394" t="s">
        <v>1916</v>
      </c>
      <c r="B394" s="122">
        <v>20</v>
      </c>
      <c r="C394" t="s">
        <v>1899</v>
      </c>
      <c r="D394" t="str">
        <f t="shared" si="7"/>
        <v>140</v>
      </c>
      <c r="E394" t="s">
        <v>1915</v>
      </c>
      <c r="F394" t="s">
        <v>1901</v>
      </c>
      <c r="G394" t="s">
        <v>1904</v>
      </c>
      <c r="H394" t="s">
        <v>1905</v>
      </c>
      <c r="I394" t="s">
        <v>1902</v>
      </c>
    </row>
    <row r="395" spans="1:9" s="4" customFormat="1">
      <c r="A395" s="4" t="s">
        <v>1917</v>
      </c>
      <c r="B395" s="170"/>
      <c r="D395" s="4">
        <f t="shared" si="7"/>
        <v>0</v>
      </c>
    </row>
    <row r="396" spans="1:9" s="4" customFormat="1">
      <c r="A396" s="4" t="s">
        <v>1918</v>
      </c>
      <c r="B396" s="170"/>
      <c r="D396" s="4">
        <f t="shared" si="7"/>
        <v>0</v>
      </c>
    </row>
    <row r="397" spans="1:9" s="4" customFormat="1">
      <c r="A397" s="4" t="s">
        <v>1919</v>
      </c>
      <c r="B397" s="170"/>
      <c r="D397" s="4">
        <f t="shared" si="7"/>
        <v>0</v>
      </c>
    </row>
    <row r="398" spans="1:9" s="4" customFormat="1">
      <c r="A398" s="4" t="s">
        <v>1148</v>
      </c>
      <c r="B398" s="170"/>
      <c r="D398" s="4">
        <f t="shared" si="7"/>
        <v>0</v>
      </c>
    </row>
    <row r="399" spans="1:9" s="4" customFormat="1">
      <c r="A399" s="4" t="s">
        <v>1920</v>
      </c>
      <c r="B399" s="170"/>
      <c r="D399" s="4">
        <f t="shared" si="7"/>
        <v>0</v>
      </c>
    </row>
    <row r="400" spans="1:9">
      <c r="A400" t="s">
        <v>1921</v>
      </c>
      <c r="B400" s="122">
        <v>2</v>
      </c>
      <c r="C400" t="s">
        <v>1429</v>
      </c>
      <c r="D400" t="str">
        <f t="shared" si="7"/>
        <v>28</v>
      </c>
      <c r="E400" t="s">
        <v>1194</v>
      </c>
      <c r="F400" t="s">
        <v>1922</v>
      </c>
      <c r="G400" s="167" t="s">
        <v>1922</v>
      </c>
      <c r="H400" s="167" t="s">
        <v>1922</v>
      </c>
      <c r="I400" t="s">
        <v>1923</v>
      </c>
    </row>
    <row r="401" spans="1:9">
      <c r="A401" t="s">
        <v>1924</v>
      </c>
      <c r="B401" s="122">
        <v>4</v>
      </c>
      <c r="C401" t="s">
        <v>1433</v>
      </c>
      <c r="D401" t="str">
        <f t="shared" si="7"/>
        <v>56</v>
      </c>
      <c r="E401" t="s">
        <v>1211</v>
      </c>
      <c r="F401" t="s">
        <v>1925</v>
      </c>
      <c r="G401" s="167" t="s">
        <v>1925</v>
      </c>
      <c r="H401" s="167" t="s">
        <v>1925</v>
      </c>
      <c r="I401" t="s">
        <v>1926</v>
      </c>
    </row>
    <row r="402" spans="1:9">
      <c r="A402" t="s">
        <v>1927</v>
      </c>
      <c r="B402" s="122">
        <v>8</v>
      </c>
      <c r="C402" t="s">
        <v>1445</v>
      </c>
      <c r="D402" t="str">
        <f t="shared" si="7"/>
        <v>112</v>
      </c>
      <c r="E402" t="s">
        <v>1928</v>
      </c>
      <c r="F402" t="s">
        <v>1929</v>
      </c>
      <c r="G402" s="167" t="s">
        <v>1929</v>
      </c>
      <c r="H402" s="167" t="s">
        <v>1929</v>
      </c>
      <c r="I402" t="s">
        <v>1930</v>
      </c>
    </row>
    <row r="403" spans="1:9">
      <c r="A403" t="s">
        <v>1931</v>
      </c>
      <c r="B403" s="122">
        <v>16</v>
      </c>
      <c r="C403" t="s">
        <v>1913</v>
      </c>
      <c r="D403" t="str">
        <f t="shared" si="7"/>
        <v>224</v>
      </c>
      <c r="E403" t="s">
        <v>1932</v>
      </c>
      <c r="F403" t="s">
        <v>1933</v>
      </c>
      <c r="G403" s="167" t="s">
        <v>1933</v>
      </c>
      <c r="H403" s="167" t="s">
        <v>1933</v>
      </c>
      <c r="I403" t="s">
        <v>1934</v>
      </c>
    </row>
    <row r="404" spans="1:9">
      <c r="A404" t="s">
        <v>1935</v>
      </c>
      <c r="B404" s="122">
        <v>32</v>
      </c>
      <c r="C404" t="s">
        <v>1936</v>
      </c>
      <c r="D404" t="str">
        <f t="shared" si="7"/>
        <v>448</v>
      </c>
      <c r="E404" t="s">
        <v>1937</v>
      </c>
      <c r="F404" t="s">
        <v>1938</v>
      </c>
      <c r="G404" s="167" t="s">
        <v>1938</v>
      </c>
      <c r="H404" s="167" t="s">
        <v>1938</v>
      </c>
      <c r="I404" t="s">
        <v>1939</v>
      </c>
    </row>
    <row r="405" spans="1:9" s="4" customFormat="1">
      <c r="A405" s="4" t="s">
        <v>1940</v>
      </c>
      <c r="B405" s="170"/>
      <c r="D405" s="4">
        <f t="shared" si="7"/>
        <v>0</v>
      </c>
    </row>
    <row r="406" spans="1:9" s="4" customFormat="1">
      <c r="A406" s="4" t="s">
        <v>1941</v>
      </c>
      <c r="B406" s="170"/>
      <c r="D406" s="4">
        <f t="shared" si="7"/>
        <v>0</v>
      </c>
    </row>
    <row r="407" spans="1:9">
      <c r="A407" t="s">
        <v>1942</v>
      </c>
      <c r="B407" s="122">
        <v>2</v>
      </c>
      <c r="C407" t="s">
        <v>1429</v>
      </c>
      <c r="D407" t="str">
        <f t="shared" si="7"/>
        <v>28</v>
      </c>
      <c r="E407" t="s">
        <v>1433</v>
      </c>
      <c r="F407" t="s">
        <v>1922</v>
      </c>
      <c r="G407" s="167" t="s">
        <v>1922</v>
      </c>
      <c r="H407" s="167" t="s">
        <v>1922</v>
      </c>
      <c r="I407" t="s">
        <v>1923</v>
      </c>
    </row>
    <row r="408" spans="1:9">
      <c r="A408" t="s">
        <v>1943</v>
      </c>
      <c r="B408" s="122">
        <v>4</v>
      </c>
      <c r="C408" t="s">
        <v>1433</v>
      </c>
      <c r="D408" t="str">
        <f t="shared" ref="D408:D442" si="9">IFERROR(REPLACE(C408,FIND(" GiB",C408,1),4,),C408)</f>
        <v>56</v>
      </c>
      <c r="E408" t="s">
        <v>1445</v>
      </c>
      <c r="F408" t="s">
        <v>1925</v>
      </c>
      <c r="G408" s="167" t="s">
        <v>1925</v>
      </c>
      <c r="H408" s="167" t="s">
        <v>1925</v>
      </c>
      <c r="I408" t="s">
        <v>1926</v>
      </c>
    </row>
    <row r="409" spans="1:9">
      <c r="A409" t="s">
        <v>1944</v>
      </c>
      <c r="B409" s="122">
        <v>8</v>
      </c>
      <c r="C409" t="s">
        <v>1445</v>
      </c>
      <c r="D409" t="str">
        <f t="shared" si="9"/>
        <v>112</v>
      </c>
      <c r="E409" t="s">
        <v>1913</v>
      </c>
      <c r="F409" t="s">
        <v>1929</v>
      </c>
      <c r="G409" s="167" t="s">
        <v>1929</v>
      </c>
      <c r="H409" s="167" t="s">
        <v>1929</v>
      </c>
      <c r="I409" t="s">
        <v>1930</v>
      </c>
    </row>
    <row r="410" spans="1:9">
      <c r="A410" t="s">
        <v>1945</v>
      </c>
      <c r="B410" s="122">
        <v>16</v>
      </c>
      <c r="C410" t="s">
        <v>1913</v>
      </c>
      <c r="D410" t="str">
        <f t="shared" si="9"/>
        <v>224</v>
      </c>
      <c r="E410" t="s">
        <v>1936</v>
      </c>
      <c r="F410" t="s">
        <v>1933</v>
      </c>
      <c r="G410" s="167" t="s">
        <v>1933</v>
      </c>
      <c r="H410" s="167" t="s">
        <v>1933</v>
      </c>
      <c r="I410" t="s">
        <v>1934</v>
      </c>
    </row>
    <row r="411" spans="1:9">
      <c r="A411" t="s">
        <v>1946</v>
      </c>
      <c r="B411" s="122">
        <v>32</v>
      </c>
      <c r="C411" t="s">
        <v>1936</v>
      </c>
      <c r="D411" t="str">
        <f t="shared" si="9"/>
        <v>448</v>
      </c>
      <c r="E411" t="s">
        <v>1947</v>
      </c>
      <c r="F411" t="s">
        <v>1938</v>
      </c>
      <c r="G411" s="167" t="s">
        <v>1938</v>
      </c>
      <c r="H411" s="167" t="s">
        <v>1938</v>
      </c>
      <c r="I411" t="s">
        <v>1939</v>
      </c>
    </row>
    <row r="412" spans="1:9" s="4" customFormat="1">
      <c r="A412" s="4" t="s">
        <v>1948</v>
      </c>
      <c r="B412" s="170"/>
      <c r="D412" s="4">
        <f t="shared" si="9"/>
        <v>0</v>
      </c>
    </row>
    <row r="413" spans="1:9" s="4" customFormat="1">
      <c r="A413" s="4" t="s">
        <v>1949</v>
      </c>
      <c r="B413" s="170"/>
      <c r="D413" s="4">
        <f t="shared" si="9"/>
        <v>0</v>
      </c>
    </row>
    <row r="414" spans="1:9" s="4" customFormat="1">
      <c r="A414" s="4" t="s">
        <v>1950</v>
      </c>
      <c r="B414" s="170"/>
      <c r="D414" s="4">
        <f t="shared" si="9"/>
        <v>0</v>
      </c>
    </row>
    <row r="415" spans="1:9" s="4" customFormat="1">
      <c r="A415" s="4" t="s">
        <v>1951</v>
      </c>
      <c r="B415" s="170"/>
      <c r="D415" s="4">
        <f t="shared" si="9"/>
        <v>0</v>
      </c>
    </row>
    <row r="416" spans="1:9" s="4" customFormat="1">
      <c r="A416" s="4" t="s">
        <v>1148</v>
      </c>
      <c r="B416" s="170"/>
      <c r="D416" s="4">
        <f t="shared" si="9"/>
        <v>0</v>
      </c>
    </row>
    <row r="417" spans="1:9">
      <c r="A417" t="s">
        <v>1952</v>
      </c>
      <c r="B417" s="122">
        <v>8</v>
      </c>
      <c r="C417" t="s">
        <v>1953</v>
      </c>
      <c r="D417" t="str">
        <f t="shared" si="9"/>
        <v>218.75</v>
      </c>
      <c r="E417" t="s">
        <v>1187</v>
      </c>
      <c r="F417" t="s">
        <v>1954</v>
      </c>
      <c r="G417" t="s">
        <v>1955</v>
      </c>
      <c r="H417" t="s">
        <v>1956</v>
      </c>
      <c r="I417" t="s">
        <v>1957</v>
      </c>
    </row>
    <row r="418" spans="1:9">
      <c r="A418" t="s">
        <v>1958</v>
      </c>
      <c r="B418" s="122">
        <v>16</v>
      </c>
      <c r="C418" t="s">
        <v>1959</v>
      </c>
      <c r="D418" t="str">
        <f t="shared" si="9"/>
        <v>437.5</v>
      </c>
      <c r="E418" t="s">
        <v>1209</v>
      </c>
      <c r="F418" t="s">
        <v>1960</v>
      </c>
      <c r="G418" t="s">
        <v>1961</v>
      </c>
      <c r="H418" t="s">
        <v>1962</v>
      </c>
      <c r="I418" t="s">
        <v>1963</v>
      </c>
    </row>
    <row r="419" spans="1:9">
      <c r="A419" t="s">
        <v>1964</v>
      </c>
      <c r="B419" s="122">
        <v>32</v>
      </c>
      <c r="C419" t="s">
        <v>1180</v>
      </c>
      <c r="D419" t="str">
        <f t="shared" si="9"/>
        <v>192</v>
      </c>
      <c r="E419" t="s">
        <v>1641</v>
      </c>
      <c r="F419" t="s">
        <v>1965</v>
      </c>
      <c r="G419" t="s">
        <v>1966</v>
      </c>
      <c r="H419" t="s">
        <v>1967</v>
      </c>
      <c r="I419" t="s">
        <v>1968</v>
      </c>
    </row>
    <row r="420" spans="1:9">
      <c r="A420" t="s">
        <v>1969</v>
      </c>
      <c r="B420" s="122">
        <v>32</v>
      </c>
      <c r="C420" t="s">
        <v>1187</v>
      </c>
      <c r="D420" t="str">
        <f t="shared" si="9"/>
        <v>256</v>
      </c>
      <c r="E420" t="s">
        <v>1641</v>
      </c>
      <c r="F420" t="s">
        <v>1970</v>
      </c>
      <c r="G420" t="s">
        <v>1971</v>
      </c>
      <c r="H420" t="s">
        <v>1972</v>
      </c>
      <c r="I420" t="s">
        <v>1973</v>
      </c>
    </row>
    <row r="421" spans="1:9">
      <c r="A421" t="s">
        <v>1974</v>
      </c>
      <c r="B421" s="122">
        <v>32</v>
      </c>
      <c r="C421" t="s">
        <v>1975</v>
      </c>
      <c r="D421" t="str">
        <f t="shared" si="9"/>
        <v>875</v>
      </c>
      <c r="E421" t="s">
        <v>1641</v>
      </c>
      <c r="F421" t="s">
        <v>1976</v>
      </c>
      <c r="G421" t="s">
        <v>1977</v>
      </c>
      <c r="H421" t="s">
        <v>1978</v>
      </c>
      <c r="I421" t="s">
        <v>1979</v>
      </c>
    </row>
    <row r="422" spans="1:9">
      <c r="A422" t="s">
        <v>1980</v>
      </c>
      <c r="B422" s="122">
        <v>64</v>
      </c>
      <c r="C422" t="s">
        <v>1209</v>
      </c>
      <c r="D422" t="str">
        <f t="shared" si="9"/>
        <v>512</v>
      </c>
      <c r="E422" t="s">
        <v>1981</v>
      </c>
      <c r="F422" t="s">
        <v>1982</v>
      </c>
      <c r="G422" t="s">
        <v>1983</v>
      </c>
      <c r="H422" t="s">
        <v>1984</v>
      </c>
      <c r="I422" t="s">
        <v>1985</v>
      </c>
    </row>
    <row r="423" spans="1:9">
      <c r="A423" t="s">
        <v>1986</v>
      </c>
      <c r="B423" s="122">
        <v>64</v>
      </c>
      <c r="C423" t="s">
        <v>1900</v>
      </c>
      <c r="D423" t="str">
        <f t="shared" si="9"/>
        <v>1,000</v>
      </c>
      <c r="E423" t="s">
        <v>1981</v>
      </c>
      <c r="F423" t="s">
        <v>1987</v>
      </c>
      <c r="G423" t="s">
        <v>1988</v>
      </c>
      <c r="H423" t="s">
        <v>1989</v>
      </c>
      <c r="I423" t="s">
        <v>1990</v>
      </c>
    </row>
    <row r="424" spans="1:9">
      <c r="A424" t="s">
        <v>1991</v>
      </c>
      <c r="B424" s="122">
        <v>64</v>
      </c>
      <c r="C424" t="s">
        <v>1900</v>
      </c>
      <c r="D424" t="str">
        <f t="shared" si="9"/>
        <v>1,000</v>
      </c>
      <c r="E424" t="s">
        <v>1992</v>
      </c>
      <c r="F424" t="s">
        <v>1987</v>
      </c>
      <c r="G424" t="s">
        <v>1988</v>
      </c>
      <c r="H424" t="s">
        <v>1989</v>
      </c>
      <c r="I424" t="s">
        <v>1990</v>
      </c>
    </row>
    <row r="425" spans="1:9">
      <c r="A425" t="s">
        <v>1993</v>
      </c>
      <c r="B425" s="122">
        <v>64</v>
      </c>
      <c r="C425" t="s">
        <v>1994</v>
      </c>
      <c r="D425" t="str">
        <f t="shared" si="9"/>
        <v>1,750</v>
      </c>
      <c r="E425" t="s">
        <v>1981</v>
      </c>
      <c r="F425" t="s">
        <v>1995</v>
      </c>
      <c r="G425" t="s">
        <v>1996</v>
      </c>
      <c r="H425" t="s">
        <v>1997</v>
      </c>
      <c r="I425" t="s">
        <v>1998</v>
      </c>
    </row>
    <row r="426" spans="1:9">
      <c r="A426" t="s">
        <v>1999</v>
      </c>
      <c r="B426" s="122">
        <v>64</v>
      </c>
      <c r="C426" t="s">
        <v>1994</v>
      </c>
      <c r="D426" t="str">
        <f t="shared" si="9"/>
        <v>1,750</v>
      </c>
      <c r="E426" t="s">
        <v>1992</v>
      </c>
      <c r="F426" t="s">
        <v>1995</v>
      </c>
      <c r="G426" t="s">
        <v>1996</v>
      </c>
      <c r="H426" t="s">
        <v>1997</v>
      </c>
      <c r="I426" t="s">
        <v>1998</v>
      </c>
    </row>
    <row r="427" spans="1:9">
      <c r="A427" t="s">
        <v>2000</v>
      </c>
      <c r="B427" s="122">
        <v>128</v>
      </c>
      <c r="C427" t="s">
        <v>2001</v>
      </c>
      <c r="D427" t="str">
        <f t="shared" si="9"/>
        <v>2,000</v>
      </c>
      <c r="E427" t="s">
        <v>2002</v>
      </c>
      <c r="F427" t="s">
        <v>2003</v>
      </c>
      <c r="G427" t="s">
        <v>2004</v>
      </c>
      <c r="H427" t="s">
        <v>2005</v>
      </c>
      <c r="I427" t="s">
        <v>2006</v>
      </c>
    </row>
    <row r="428" spans="1:9">
      <c r="A428" t="s">
        <v>2007</v>
      </c>
      <c r="B428" s="122">
        <v>128</v>
      </c>
      <c r="C428" t="s">
        <v>2001</v>
      </c>
      <c r="D428" t="str">
        <f t="shared" si="9"/>
        <v>2,000</v>
      </c>
      <c r="E428" t="s">
        <v>2008</v>
      </c>
      <c r="F428" t="s">
        <v>2003</v>
      </c>
      <c r="G428" t="s">
        <v>2004</v>
      </c>
      <c r="H428" t="s">
        <v>2005</v>
      </c>
      <c r="I428" t="s">
        <v>2006</v>
      </c>
    </row>
    <row r="429" spans="1:9">
      <c r="A429" t="s">
        <v>2009</v>
      </c>
      <c r="B429" s="122">
        <v>128</v>
      </c>
      <c r="C429" t="s">
        <v>2010</v>
      </c>
      <c r="D429" t="str">
        <f t="shared" si="9"/>
        <v>3,800</v>
      </c>
      <c r="E429" t="s">
        <v>2002</v>
      </c>
      <c r="F429" t="s">
        <v>2011</v>
      </c>
      <c r="G429" t="s">
        <v>2012</v>
      </c>
      <c r="H429" t="s">
        <v>2013</v>
      </c>
      <c r="I429" t="s">
        <v>2014</v>
      </c>
    </row>
    <row r="430" spans="1:9">
      <c r="A430" t="s">
        <v>2015</v>
      </c>
      <c r="B430" s="122">
        <v>128</v>
      </c>
      <c r="C430" t="s">
        <v>2010</v>
      </c>
      <c r="D430" t="str">
        <f t="shared" si="9"/>
        <v>3,800</v>
      </c>
      <c r="E430" t="s">
        <v>2008</v>
      </c>
      <c r="F430" t="s">
        <v>2011</v>
      </c>
      <c r="G430" t="s">
        <v>2012</v>
      </c>
      <c r="H430" t="s">
        <v>2013</v>
      </c>
      <c r="I430" t="s">
        <v>2014</v>
      </c>
    </row>
    <row r="431" spans="1:9" s="4" customFormat="1">
      <c r="A431" s="4" t="s">
        <v>2016</v>
      </c>
      <c r="B431" s="170"/>
      <c r="D431" s="4">
        <f t="shared" si="9"/>
        <v>0</v>
      </c>
    </row>
    <row r="432" spans="1:9" s="4" customFormat="1">
      <c r="A432" s="4" t="s">
        <v>2017</v>
      </c>
      <c r="B432" s="170"/>
      <c r="D432" s="4">
        <f t="shared" si="9"/>
        <v>0</v>
      </c>
    </row>
    <row r="433" spans="1:9" s="4" customFormat="1">
      <c r="A433" s="4" t="s">
        <v>2018</v>
      </c>
      <c r="B433" s="170"/>
      <c r="D433" s="4">
        <f t="shared" si="9"/>
        <v>0</v>
      </c>
    </row>
    <row r="434" spans="1:9" s="4" customFormat="1">
      <c r="A434" s="4" t="s">
        <v>2019</v>
      </c>
      <c r="B434" s="170"/>
      <c r="D434" s="4">
        <f t="shared" si="9"/>
        <v>0</v>
      </c>
    </row>
    <row r="435" spans="1:9" s="4" customFormat="1">
      <c r="A435" s="4" t="s">
        <v>2020</v>
      </c>
      <c r="B435" s="170"/>
      <c r="D435" s="4">
        <f t="shared" si="9"/>
        <v>0</v>
      </c>
    </row>
    <row r="436" spans="1:9">
      <c r="A436" t="s">
        <v>2021</v>
      </c>
      <c r="B436" s="122">
        <v>32</v>
      </c>
      <c r="C436" t="s">
        <v>1975</v>
      </c>
      <c r="D436" t="str">
        <f t="shared" si="9"/>
        <v>875</v>
      </c>
      <c r="E436" t="s">
        <v>1641</v>
      </c>
      <c r="F436" t="s">
        <v>2022</v>
      </c>
      <c r="G436" t="s">
        <v>2023</v>
      </c>
      <c r="H436" t="s">
        <v>2024</v>
      </c>
      <c r="I436" t="s">
        <v>2025</v>
      </c>
    </row>
    <row r="437" spans="1:9">
      <c r="A437" t="s">
        <v>2026</v>
      </c>
      <c r="B437" s="122">
        <v>64</v>
      </c>
      <c r="C437" t="s">
        <v>1641</v>
      </c>
      <c r="D437" t="str">
        <f t="shared" si="9"/>
        <v>1,024</v>
      </c>
      <c r="E437" t="s">
        <v>1981</v>
      </c>
      <c r="F437" t="s">
        <v>1987</v>
      </c>
      <c r="G437" t="s">
        <v>2027</v>
      </c>
      <c r="H437" t="s">
        <v>2028</v>
      </c>
      <c r="I437" t="s">
        <v>2029</v>
      </c>
    </row>
    <row r="438" spans="1:9">
      <c r="A438" t="s">
        <v>2030</v>
      </c>
      <c r="B438" s="122">
        <v>64</v>
      </c>
      <c r="C438" t="s">
        <v>2031</v>
      </c>
      <c r="D438" t="str">
        <f t="shared" si="9"/>
        <v>1,792</v>
      </c>
      <c r="E438" t="s">
        <v>1981</v>
      </c>
      <c r="F438" t="s">
        <v>2032</v>
      </c>
      <c r="G438" t="s">
        <v>2033</v>
      </c>
      <c r="H438" t="s">
        <v>2034</v>
      </c>
      <c r="I438" t="s">
        <v>2035</v>
      </c>
    </row>
    <row r="439" spans="1:9">
      <c r="A439" t="s">
        <v>2036</v>
      </c>
      <c r="B439" s="122">
        <v>128</v>
      </c>
      <c r="C439" t="s">
        <v>1981</v>
      </c>
      <c r="D439" t="str">
        <f t="shared" si="9"/>
        <v>2,048</v>
      </c>
      <c r="E439" t="s">
        <v>2002</v>
      </c>
      <c r="F439" t="s">
        <v>2037</v>
      </c>
      <c r="G439" t="s">
        <v>2038</v>
      </c>
      <c r="H439" t="s">
        <v>2039</v>
      </c>
      <c r="I439" t="s">
        <v>2040</v>
      </c>
    </row>
    <row r="440" spans="1:9">
      <c r="A440" t="s">
        <v>2041</v>
      </c>
      <c r="B440" s="122">
        <v>128</v>
      </c>
      <c r="C440" t="s">
        <v>2042</v>
      </c>
      <c r="D440" t="str">
        <f t="shared" si="9"/>
        <v>3,892</v>
      </c>
      <c r="E440" t="s">
        <v>2002</v>
      </c>
      <c r="F440" t="s">
        <v>2043</v>
      </c>
      <c r="G440" t="s">
        <v>2044</v>
      </c>
      <c r="H440" t="s">
        <v>2045</v>
      </c>
      <c r="I440" t="s">
        <v>2046</v>
      </c>
    </row>
    <row r="441" spans="1:9">
      <c r="A441" t="s">
        <v>2047</v>
      </c>
      <c r="B441" s="122">
        <v>192</v>
      </c>
      <c r="C441" t="s">
        <v>1981</v>
      </c>
      <c r="D441" t="str">
        <f t="shared" si="9"/>
        <v>2,048</v>
      </c>
      <c r="E441" t="s">
        <v>2002</v>
      </c>
      <c r="F441" t="s">
        <v>2048</v>
      </c>
      <c r="G441" t="s">
        <v>2049</v>
      </c>
      <c r="H441" t="s">
        <v>2050</v>
      </c>
      <c r="I441" t="s">
        <v>2051</v>
      </c>
    </row>
    <row r="442" spans="1:9">
      <c r="A442" t="s">
        <v>2052</v>
      </c>
      <c r="B442" s="122">
        <v>192</v>
      </c>
      <c r="C442" t="s">
        <v>2002</v>
      </c>
      <c r="D442" t="str">
        <f t="shared" si="9"/>
        <v>4,096</v>
      </c>
      <c r="E442" t="s">
        <v>2002</v>
      </c>
      <c r="F442" t="s">
        <v>2053</v>
      </c>
      <c r="G442" t="s">
        <v>2054</v>
      </c>
      <c r="H442" t="s">
        <v>2055</v>
      </c>
      <c r="I442" t="s">
        <v>2056</v>
      </c>
    </row>
    <row r="443" spans="1:9">
      <c r="A443" t="s">
        <v>2057</v>
      </c>
      <c r="B443" s="122">
        <v>32</v>
      </c>
      <c r="C443" t="s">
        <v>1975</v>
      </c>
      <c r="D443" t="str">
        <f t="shared" ref="D443:D469" si="10">IFERROR(REPLACE(C443,FIND(" GiB",C443,1),4,),C443)</f>
        <v>875</v>
      </c>
      <c r="E443" t="s">
        <v>1265</v>
      </c>
      <c r="F443" t="s">
        <v>2058</v>
      </c>
      <c r="G443" t="s">
        <v>2059</v>
      </c>
      <c r="H443" t="s">
        <v>2060</v>
      </c>
      <c r="I443" t="s">
        <v>2061</v>
      </c>
    </row>
    <row r="444" spans="1:9">
      <c r="A444" t="s">
        <v>2062</v>
      </c>
      <c r="B444" s="122">
        <v>64</v>
      </c>
      <c r="C444" t="s">
        <v>1641</v>
      </c>
      <c r="D444" t="str">
        <f t="shared" si="10"/>
        <v>1,024</v>
      </c>
      <c r="E444" t="s">
        <v>1265</v>
      </c>
      <c r="F444" t="s">
        <v>2063</v>
      </c>
      <c r="G444" t="s">
        <v>2064</v>
      </c>
      <c r="H444" t="s">
        <v>2065</v>
      </c>
      <c r="I444" t="s">
        <v>2066</v>
      </c>
    </row>
    <row r="445" spans="1:9">
      <c r="A445" t="s">
        <v>2067</v>
      </c>
      <c r="B445" s="122">
        <v>64</v>
      </c>
      <c r="C445" t="s">
        <v>2031</v>
      </c>
      <c r="D445" t="str">
        <f t="shared" si="10"/>
        <v>1,792</v>
      </c>
      <c r="E445" t="s">
        <v>1265</v>
      </c>
      <c r="F445" t="s">
        <v>2068</v>
      </c>
      <c r="G445" t="s">
        <v>2069</v>
      </c>
      <c r="H445" t="s">
        <v>2070</v>
      </c>
      <c r="I445" t="s">
        <v>2071</v>
      </c>
    </row>
    <row r="446" spans="1:9">
      <c r="A446" t="s">
        <v>2072</v>
      </c>
      <c r="B446" s="122">
        <v>128</v>
      </c>
      <c r="C446" t="s">
        <v>1981</v>
      </c>
      <c r="D446" t="str">
        <f t="shared" si="10"/>
        <v>2,048</v>
      </c>
      <c r="E446" t="s">
        <v>1265</v>
      </c>
      <c r="F446" t="s">
        <v>2073</v>
      </c>
      <c r="G446" t="s">
        <v>2074</v>
      </c>
      <c r="H446" t="s">
        <v>2075</v>
      </c>
      <c r="I446" t="s">
        <v>2076</v>
      </c>
    </row>
    <row r="447" spans="1:9">
      <c r="A447" t="s">
        <v>2077</v>
      </c>
      <c r="B447" s="122">
        <v>128</v>
      </c>
      <c r="C447" t="s">
        <v>2042</v>
      </c>
      <c r="D447" t="str">
        <f t="shared" si="10"/>
        <v>3,892</v>
      </c>
      <c r="E447" t="s">
        <v>1265</v>
      </c>
      <c r="F447" t="s">
        <v>2078</v>
      </c>
      <c r="G447" t="s">
        <v>2079</v>
      </c>
      <c r="H447" t="s">
        <v>2080</v>
      </c>
      <c r="I447" t="s">
        <v>2081</v>
      </c>
    </row>
    <row r="448" spans="1:9">
      <c r="A448" t="s">
        <v>2082</v>
      </c>
      <c r="B448" s="122">
        <v>192</v>
      </c>
      <c r="C448" t="s">
        <v>1981</v>
      </c>
      <c r="D448" t="str">
        <f t="shared" si="10"/>
        <v>2,048</v>
      </c>
      <c r="E448" t="s">
        <v>1265</v>
      </c>
      <c r="F448" t="s">
        <v>2083</v>
      </c>
      <c r="G448" t="s">
        <v>2084</v>
      </c>
      <c r="H448" t="s">
        <v>2085</v>
      </c>
      <c r="I448" t="s">
        <v>2086</v>
      </c>
    </row>
    <row r="449" spans="1:10">
      <c r="A449" t="s">
        <v>2087</v>
      </c>
      <c r="B449" s="122">
        <v>192</v>
      </c>
      <c r="C449" t="s">
        <v>2002</v>
      </c>
      <c r="D449" t="str">
        <f t="shared" si="10"/>
        <v>4,096</v>
      </c>
      <c r="E449" t="s">
        <v>1265</v>
      </c>
      <c r="F449" t="s">
        <v>2088</v>
      </c>
      <c r="G449" t="s">
        <v>2089</v>
      </c>
      <c r="H449" t="s">
        <v>2090</v>
      </c>
      <c r="I449" t="s">
        <v>2091</v>
      </c>
    </row>
    <row r="450" spans="1:10">
      <c r="A450" t="s">
        <v>2092</v>
      </c>
      <c r="B450" s="122">
        <v>208</v>
      </c>
      <c r="C450" t="s">
        <v>2093</v>
      </c>
      <c r="D450" t="str">
        <f t="shared" si="10"/>
        <v>2,850</v>
      </c>
      <c r="E450" t="s">
        <v>2002</v>
      </c>
      <c r="F450" t="s">
        <v>2094</v>
      </c>
      <c r="G450" t="s">
        <v>2095</v>
      </c>
      <c r="H450" t="s">
        <v>2096</v>
      </c>
      <c r="I450" t="s">
        <v>2097</v>
      </c>
    </row>
    <row r="451" spans="1:10">
      <c r="A451" t="s">
        <v>2098</v>
      </c>
      <c r="B451" s="122">
        <v>208</v>
      </c>
      <c r="C451" t="s">
        <v>2099</v>
      </c>
      <c r="D451" t="str">
        <f t="shared" si="10"/>
        <v>5,700</v>
      </c>
      <c r="E451" t="s">
        <v>2002</v>
      </c>
      <c r="F451" t="s">
        <v>2100</v>
      </c>
      <c r="G451" t="s">
        <v>2101</v>
      </c>
      <c r="H451" t="s">
        <v>2102</v>
      </c>
      <c r="I451" t="s">
        <v>2103</v>
      </c>
    </row>
    <row r="452" spans="1:10">
      <c r="A452" t="s">
        <v>2104</v>
      </c>
      <c r="B452" s="122">
        <v>416</v>
      </c>
      <c r="C452" t="s">
        <v>2099</v>
      </c>
      <c r="D452" t="str">
        <f t="shared" si="10"/>
        <v>5,700</v>
      </c>
      <c r="E452" t="s">
        <v>2105</v>
      </c>
      <c r="F452" t="s">
        <v>2106</v>
      </c>
      <c r="G452" t="s">
        <v>2107</v>
      </c>
      <c r="H452" t="s">
        <v>2108</v>
      </c>
      <c r="I452" t="s">
        <v>2109</v>
      </c>
    </row>
    <row r="453" spans="1:10">
      <c r="A453" t="s">
        <v>2110</v>
      </c>
      <c r="B453" s="122">
        <v>416</v>
      </c>
      <c r="C453" t="s">
        <v>2111</v>
      </c>
      <c r="D453" t="str">
        <f t="shared" si="10"/>
        <v>11,400</v>
      </c>
      <c r="E453" t="s">
        <v>2105</v>
      </c>
      <c r="F453" t="s">
        <v>2112</v>
      </c>
      <c r="G453" t="s">
        <v>2113</v>
      </c>
      <c r="H453" t="s">
        <v>2114</v>
      </c>
      <c r="I453" t="s">
        <v>2115</v>
      </c>
    </row>
    <row r="454" spans="1:10" s="4" customFormat="1">
      <c r="A454" s="4" t="s">
        <v>2116</v>
      </c>
      <c r="B454" s="170"/>
      <c r="D454" s="4">
        <f t="shared" si="10"/>
        <v>0</v>
      </c>
    </row>
    <row r="455" spans="1:10" s="4" customFormat="1">
      <c r="A455" s="4" t="s">
        <v>2117</v>
      </c>
      <c r="B455" s="170"/>
      <c r="D455" s="4">
        <f t="shared" si="10"/>
        <v>0</v>
      </c>
    </row>
    <row r="456" spans="1:10" s="4" customFormat="1">
      <c r="A456" s="4" t="s">
        <v>1148</v>
      </c>
      <c r="B456" s="170"/>
      <c r="D456" s="4">
        <f t="shared" si="10"/>
        <v>0</v>
      </c>
    </row>
    <row r="457" spans="1:10">
      <c r="A457" t="s">
        <v>1066</v>
      </c>
      <c r="B457" s="122" t="s">
        <v>2118</v>
      </c>
      <c r="C457" t="s">
        <v>1068</v>
      </c>
      <c r="D457" t="str">
        <f t="shared" si="10"/>
        <v>RAM</v>
      </c>
      <c r="E457" t="s">
        <v>2119</v>
      </c>
      <c r="F457" t="s">
        <v>1071</v>
      </c>
      <c r="G457" t="s">
        <v>1072</v>
      </c>
      <c r="H457" t="s">
        <v>1073</v>
      </c>
      <c r="I457" t="s">
        <v>2120</v>
      </c>
      <c r="J457" t="s">
        <v>1075</v>
      </c>
    </row>
    <row r="458" spans="1:10">
      <c r="A458" t="s">
        <v>2121</v>
      </c>
      <c r="C458" t="s">
        <v>1424</v>
      </c>
      <c r="D458" t="str">
        <f t="shared" si="10"/>
        <v>14</v>
      </c>
      <c r="E458" t="s">
        <v>1429</v>
      </c>
      <c r="F458" t="s">
        <v>1876</v>
      </c>
      <c r="G458" t="s">
        <v>1877</v>
      </c>
      <c r="H458" t="s">
        <v>1878</v>
      </c>
      <c r="I458" t="s">
        <v>1879</v>
      </c>
    </row>
    <row r="459" spans="1:10">
      <c r="A459" t="s">
        <v>2122</v>
      </c>
      <c r="C459" t="s">
        <v>1429</v>
      </c>
      <c r="D459" t="str">
        <f t="shared" si="10"/>
        <v>28</v>
      </c>
      <c r="E459" t="s">
        <v>1433</v>
      </c>
      <c r="F459" t="s">
        <v>1881</v>
      </c>
      <c r="G459" t="s">
        <v>1882</v>
      </c>
      <c r="H459" t="s">
        <v>1883</v>
      </c>
      <c r="I459" t="s">
        <v>1884</v>
      </c>
    </row>
    <row r="460" spans="1:10">
      <c r="A460" t="s">
        <v>2123</v>
      </c>
      <c r="C460" t="s">
        <v>1429</v>
      </c>
      <c r="D460" t="str">
        <f t="shared" si="10"/>
        <v>28</v>
      </c>
      <c r="E460" t="s">
        <v>1433</v>
      </c>
      <c r="F460" t="s">
        <v>1881</v>
      </c>
      <c r="G460" t="s">
        <v>1882</v>
      </c>
      <c r="H460" t="s">
        <v>1883</v>
      </c>
      <c r="I460" t="s">
        <v>1884</v>
      </c>
    </row>
    <row r="461" spans="1:10">
      <c r="A461" t="s">
        <v>2124</v>
      </c>
      <c r="B461" s="122">
        <v>2</v>
      </c>
      <c r="C461" t="s">
        <v>1096</v>
      </c>
      <c r="D461" t="str">
        <f t="shared" si="10"/>
        <v>32</v>
      </c>
      <c r="E461" t="s">
        <v>1156</v>
      </c>
      <c r="F461" t="s">
        <v>1589</v>
      </c>
      <c r="G461" t="s">
        <v>2125</v>
      </c>
      <c r="H461" t="s">
        <v>2126</v>
      </c>
      <c r="I461" t="s">
        <v>1592</v>
      </c>
    </row>
    <row r="462" spans="1:10">
      <c r="A462" t="s">
        <v>640</v>
      </c>
      <c r="B462" s="122">
        <v>2</v>
      </c>
      <c r="C462" t="s">
        <v>1096</v>
      </c>
      <c r="D462" t="str">
        <f t="shared" si="10"/>
        <v>32</v>
      </c>
      <c r="E462" t="s">
        <v>1222</v>
      </c>
      <c r="F462" t="s">
        <v>1655</v>
      </c>
      <c r="G462" t="s">
        <v>1731</v>
      </c>
      <c r="H462" t="s">
        <v>1732</v>
      </c>
      <c r="I462" t="s">
        <v>1733</v>
      </c>
    </row>
    <row r="463" spans="1:10">
      <c r="A463" t="s">
        <v>2127</v>
      </c>
      <c r="B463" s="122">
        <v>2</v>
      </c>
      <c r="C463" t="s">
        <v>1096</v>
      </c>
      <c r="D463" t="str">
        <f t="shared" si="10"/>
        <v>32</v>
      </c>
      <c r="E463" t="s">
        <v>1100</v>
      </c>
      <c r="F463" t="s">
        <v>1821</v>
      </c>
      <c r="G463" t="s">
        <v>1822</v>
      </c>
      <c r="H463" t="s">
        <v>1823</v>
      </c>
      <c r="I463" t="s">
        <v>1824</v>
      </c>
    </row>
    <row r="464" spans="1:10">
      <c r="A464" t="s">
        <v>2128</v>
      </c>
      <c r="B464" s="122">
        <v>2</v>
      </c>
      <c r="C464" t="s">
        <v>1096</v>
      </c>
      <c r="D464" t="str">
        <f t="shared" si="10"/>
        <v>32</v>
      </c>
      <c r="E464" t="s">
        <v>1265</v>
      </c>
      <c r="F464" t="s">
        <v>1589</v>
      </c>
      <c r="G464" t="s">
        <v>1778</v>
      </c>
      <c r="H464" t="s">
        <v>1779</v>
      </c>
      <c r="I464" t="s">
        <v>1592</v>
      </c>
    </row>
    <row r="465" spans="1:9">
      <c r="A465" t="s">
        <v>2129</v>
      </c>
      <c r="C465" t="s">
        <v>1433</v>
      </c>
      <c r="D465" t="str">
        <f t="shared" si="10"/>
        <v>56</v>
      </c>
      <c r="E465" t="s">
        <v>1445</v>
      </c>
      <c r="F465" t="s">
        <v>1888</v>
      </c>
      <c r="G465" t="s">
        <v>1889</v>
      </c>
      <c r="H465" t="s">
        <v>1890</v>
      </c>
      <c r="I465" t="s">
        <v>1891</v>
      </c>
    </row>
    <row r="466" spans="1:9">
      <c r="A466" t="s">
        <v>2130</v>
      </c>
      <c r="B466" s="122">
        <v>2</v>
      </c>
      <c r="C466" t="s">
        <v>1100</v>
      </c>
      <c r="D466" t="str">
        <f t="shared" si="10"/>
        <v>64</v>
      </c>
      <c r="E466" t="s">
        <v>1162</v>
      </c>
      <c r="F466" t="s">
        <v>1594</v>
      </c>
      <c r="G466" t="s">
        <v>2131</v>
      </c>
      <c r="H466" t="s">
        <v>2132</v>
      </c>
      <c r="I466" t="s">
        <v>1597</v>
      </c>
    </row>
    <row r="467" spans="1:9">
      <c r="A467" t="s">
        <v>664</v>
      </c>
      <c r="B467" s="122">
        <v>2</v>
      </c>
      <c r="C467" t="s">
        <v>1100</v>
      </c>
      <c r="D467" t="str">
        <f t="shared" si="10"/>
        <v>64</v>
      </c>
      <c r="E467" t="s">
        <v>1226</v>
      </c>
      <c r="F467" t="s">
        <v>1658</v>
      </c>
      <c r="G467" t="s">
        <v>1735</v>
      </c>
      <c r="H467" t="s">
        <v>1736</v>
      </c>
      <c r="I467" t="s">
        <v>1737</v>
      </c>
    </row>
    <row r="468" spans="1:9">
      <c r="A468" t="s">
        <v>2133</v>
      </c>
      <c r="B468" s="122">
        <v>2</v>
      </c>
      <c r="C468" t="s">
        <v>1100</v>
      </c>
      <c r="D468" t="str">
        <f t="shared" si="10"/>
        <v>64</v>
      </c>
      <c r="E468" t="s">
        <v>1111</v>
      </c>
      <c r="F468" t="s">
        <v>1826</v>
      </c>
      <c r="G468" t="s">
        <v>1827</v>
      </c>
      <c r="H468" t="s">
        <v>1828</v>
      </c>
      <c r="I468" t="s">
        <v>1829</v>
      </c>
    </row>
    <row r="469" spans="1:9">
      <c r="A469" t="s">
        <v>2134</v>
      </c>
      <c r="B469" s="122">
        <v>2</v>
      </c>
      <c r="C469" t="s">
        <v>1100</v>
      </c>
      <c r="D469" t="str">
        <f t="shared" si="10"/>
        <v>64</v>
      </c>
      <c r="E469" t="s">
        <v>1265</v>
      </c>
      <c r="F469" t="s">
        <v>1594</v>
      </c>
      <c r="G469" t="s">
        <v>1781</v>
      </c>
      <c r="H469" t="s">
        <v>1782</v>
      </c>
      <c r="I469" t="s">
        <v>1597</v>
      </c>
    </row>
    <row r="470" spans="1:9">
      <c r="A470" t="s">
        <v>2135</v>
      </c>
      <c r="B470" s="122">
        <v>2</v>
      </c>
      <c r="C470" t="s">
        <v>1953</v>
      </c>
      <c r="D470" t="str">
        <f t="shared" ref="D470:D501" si="11">IFERROR(REPLACE(C470,FIND(" GiB",C470,1),4,),C470)</f>
        <v>218.75</v>
      </c>
      <c r="E470" t="s">
        <v>1187</v>
      </c>
      <c r="F470" t="s">
        <v>1954</v>
      </c>
      <c r="G470" t="s">
        <v>1955</v>
      </c>
      <c r="H470" t="s">
        <v>1956</v>
      </c>
      <c r="I470" t="s">
        <v>1957</v>
      </c>
    </row>
    <row r="471" spans="1:9">
      <c r="A471" t="s">
        <v>2136</v>
      </c>
      <c r="C471" t="s">
        <v>1433</v>
      </c>
      <c r="D471" t="str">
        <f t="shared" si="11"/>
        <v>56</v>
      </c>
      <c r="E471" t="s">
        <v>1445</v>
      </c>
      <c r="F471" t="s">
        <v>1888</v>
      </c>
      <c r="G471" t="s">
        <v>1889</v>
      </c>
      <c r="H471" t="s">
        <v>1890</v>
      </c>
      <c r="I471" t="s">
        <v>1891</v>
      </c>
    </row>
    <row r="472" spans="1:9">
      <c r="A472" t="s">
        <v>2137</v>
      </c>
      <c r="B472" s="122">
        <v>4</v>
      </c>
      <c r="C472" t="s">
        <v>1100</v>
      </c>
      <c r="D472" t="str">
        <f t="shared" si="11"/>
        <v>64</v>
      </c>
      <c r="E472" t="s">
        <v>1162</v>
      </c>
      <c r="F472" t="s">
        <v>1594</v>
      </c>
      <c r="G472" t="s">
        <v>2131</v>
      </c>
      <c r="H472" t="s">
        <v>2132</v>
      </c>
      <c r="I472" t="s">
        <v>1597</v>
      </c>
    </row>
    <row r="473" spans="1:9">
      <c r="A473" t="s">
        <v>621</v>
      </c>
      <c r="B473" s="122">
        <v>4</v>
      </c>
      <c r="C473" t="s">
        <v>1100</v>
      </c>
      <c r="D473" t="str">
        <f t="shared" si="11"/>
        <v>64</v>
      </c>
      <c r="E473" t="s">
        <v>1226</v>
      </c>
      <c r="F473" t="s">
        <v>1658</v>
      </c>
      <c r="G473" t="s">
        <v>1735</v>
      </c>
      <c r="H473" t="s">
        <v>1736</v>
      </c>
      <c r="I473" t="s">
        <v>1737</v>
      </c>
    </row>
    <row r="474" spans="1:9">
      <c r="A474" t="s">
        <v>2138</v>
      </c>
      <c r="B474" s="122">
        <v>4</v>
      </c>
      <c r="C474" t="s">
        <v>1100</v>
      </c>
      <c r="D474" t="str">
        <f t="shared" si="11"/>
        <v>64</v>
      </c>
      <c r="E474" t="s">
        <v>1111</v>
      </c>
      <c r="F474" t="s">
        <v>1826</v>
      </c>
      <c r="G474" t="s">
        <v>1827</v>
      </c>
      <c r="H474" t="s">
        <v>1828</v>
      </c>
      <c r="I474" t="s">
        <v>1829</v>
      </c>
    </row>
    <row r="475" spans="1:9">
      <c r="A475" t="s">
        <v>2139</v>
      </c>
      <c r="B475" s="122">
        <v>4</v>
      </c>
      <c r="C475" t="s">
        <v>1100</v>
      </c>
      <c r="D475" t="str">
        <f t="shared" si="11"/>
        <v>64</v>
      </c>
      <c r="E475" t="s">
        <v>1265</v>
      </c>
      <c r="F475" t="s">
        <v>1594</v>
      </c>
      <c r="G475" t="s">
        <v>1781</v>
      </c>
      <c r="H475" t="s">
        <v>1782</v>
      </c>
      <c r="I475" t="s">
        <v>1597</v>
      </c>
    </row>
    <row r="476" spans="1:9">
      <c r="A476" t="s">
        <v>2140</v>
      </c>
      <c r="C476" t="s">
        <v>1445</v>
      </c>
      <c r="D476" t="str">
        <f t="shared" si="11"/>
        <v>112</v>
      </c>
      <c r="E476" t="s">
        <v>1913</v>
      </c>
      <c r="F476" t="s">
        <v>1894</v>
      </c>
      <c r="G476" t="s">
        <v>1895</v>
      </c>
      <c r="H476" t="s">
        <v>1896</v>
      </c>
      <c r="I476" t="s">
        <v>1897</v>
      </c>
    </row>
    <row r="477" spans="1:9">
      <c r="A477" t="s">
        <v>2141</v>
      </c>
      <c r="B477" s="122">
        <v>4</v>
      </c>
      <c r="C477" t="s">
        <v>1111</v>
      </c>
      <c r="D477" t="str">
        <f t="shared" si="11"/>
        <v>128</v>
      </c>
      <c r="E477" t="s">
        <v>1168</v>
      </c>
      <c r="F477" t="s">
        <v>1599</v>
      </c>
      <c r="G477" t="s">
        <v>2142</v>
      </c>
      <c r="H477" t="s">
        <v>2143</v>
      </c>
      <c r="I477" t="s">
        <v>1602</v>
      </c>
    </row>
    <row r="478" spans="1:9">
      <c r="A478" t="s">
        <v>670</v>
      </c>
      <c r="B478" s="122">
        <v>4</v>
      </c>
      <c r="C478" t="s">
        <v>1111</v>
      </c>
      <c r="D478" t="str">
        <f t="shared" si="11"/>
        <v>128</v>
      </c>
      <c r="E478" t="s">
        <v>1230</v>
      </c>
      <c r="F478" t="s">
        <v>1664</v>
      </c>
      <c r="G478" t="s">
        <v>1739</v>
      </c>
      <c r="H478" t="s">
        <v>1740</v>
      </c>
      <c r="I478" t="s">
        <v>1741</v>
      </c>
    </row>
    <row r="479" spans="1:9">
      <c r="A479" t="s">
        <v>2144</v>
      </c>
      <c r="B479" s="122">
        <v>4</v>
      </c>
      <c r="C479" t="s">
        <v>1111</v>
      </c>
      <c r="D479" t="str">
        <f t="shared" si="11"/>
        <v>128</v>
      </c>
      <c r="E479" t="s">
        <v>1187</v>
      </c>
      <c r="F479" t="s">
        <v>1831</v>
      </c>
      <c r="G479" t="s">
        <v>1832</v>
      </c>
      <c r="H479" t="s">
        <v>1833</v>
      </c>
      <c r="I479" t="s">
        <v>1834</v>
      </c>
    </row>
    <row r="480" spans="1:9">
      <c r="A480" t="s">
        <v>2145</v>
      </c>
      <c r="B480" s="122">
        <v>4</v>
      </c>
      <c r="C480" t="s">
        <v>1111</v>
      </c>
      <c r="D480" t="str">
        <f t="shared" si="11"/>
        <v>128</v>
      </c>
      <c r="E480" t="s">
        <v>1265</v>
      </c>
      <c r="F480" t="s">
        <v>1599</v>
      </c>
      <c r="G480" t="s">
        <v>1784</v>
      </c>
      <c r="H480" t="s">
        <v>1785</v>
      </c>
      <c r="I480" t="s">
        <v>1602</v>
      </c>
    </row>
    <row r="481" spans="1:9">
      <c r="A481" t="s">
        <v>2146</v>
      </c>
      <c r="B481" s="122">
        <v>4</v>
      </c>
      <c r="C481" t="s">
        <v>1953</v>
      </c>
      <c r="D481" t="str">
        <f t="shared" si="11"/>
        <v>218.75</v>
      </c>
      <c r="E481" t="s">
        <v>1187</v>
      </c>
      <c r="F481" t="s">
        <v>1954</v>
      </c>
      <c r="G481" t="s">
        <v>1955</v>
      </c>
      <c r="H481" t="s">
        <v>1956</v>
      </c>
      <c r="I481" t="s">
        <v>1957</v>
      </c>
    </row>
    <row r="482" spans="1:9">
      <c r="A482" t="s">
        <v>2147</v>
      </c>
      <c r="C482" t="s">
        <v>1913</v>
      </c>
      <c r="D482" t="str">
        <f t="shared" si="11"/>
        <v>224</v>
      </c>
      <c r="E482" t="s">
        <v>1932</v>
      </c>
      <c r="F482" t="s">
        <v>1933</v>
      </c>
      <c r="G482" t="s">
        <v>1265</v>
      </c>
      <c r="H482" t="s">
        <v>1265</v>
      </c>
      <c r="I482" t="s">
        <v>1934</v>
      </c>
    </row>
    <row r="483" spans="1:9">
      <c r="A483" t="s">
        <v>2148</v>
      </c>
      <c r="B483" s="122">
        <v>4</v>
      </c>
      <c r="C483" t="s">
        <v>1959</v>
      </c>
      <c r="D483" t="str">
        <f t="shared" si="11"/>
        <v>437.5</v>
      </c>
      <c r="E483" t="s">
        <v>1187</v>
      </c>
      <c r="F483" t="s">
        <v>1960</v>
      </c>
      <c r="G483" t="s">
        <v>1961</v>
      </c>
      <c r="H483" t="s">
        <v>1962</v>
      </c>
      <c r="I483" t="s">
        <v>1963</v>
      </c>
    </row>
    <row r="484" spans="1:9">
      <c r="A484" t="s">
        <v>2149</v>
      </c>
      <c r="C484" t="s">
        <v>1445</v>
      </c>
      <c r="D484" t="str">
        <f t="shared" si="11"/>
        <v>112</v>
      </c>
      <c r="E484" t="s">
        <v>1913</v>
      </c>
      <c r="F484" t="s">
        <v>1894</v>
      </c>
      <c r="G484" t="s">
        <v>1895</v>
      </c>
      <c r="H484" t="s">
        <v>1896</v>
      </c>
      <c r="I484" t="s">
        <v>1897</v>
      </c>
    </row>
    <row r="485" spans="1:9">
      <c r="A485" t="s">
        <v>2150</v>
      </c>
      <c r="B485" s="122">
        <v>8</v>
      </c>
      <c r="C485" t="s">
        <v>1111</v>
      </c>
      <c r="D485" t="str">
        <f t="shared" si="11"/>
        <v>128</v>
      </c>
      <c r="E485" t="s">
        <v>1168</v>
      </c>
      <c r="F485" t="s">
        <v>1599</v>
      </c>
      <c r="G485" t="s">
        <v>2142</v>
      </c>
      <c r="H485" t="s">
        <v>2143</v>
      </c>
      <c r="I485" t="s">
        <v>1602</v>
      </c>
    </row>
    <row r="486" spans="1:9">
      <c r="A486" t="s">
        <v>2151</v>
      </c>
      <c r="B486" s="122">
        <v>8</v>
      </c>
      <c r="C486" t="s">
        <v>1111</v>
      </c>
      <c r="D486" t="str">
        <f t="shared" si="11"/>
        <v>128</v>
      </c>
      <c r="E486" t="s">
        <v>1230</v>
      </c>
      <c r="F486" t="s">
        <v>1664</v>
      </c>
      <c r="G486" t="s">
        <v>1739</v>
      </c>
      <c r="H486" t="s">
        <v>1740</v>
      </c>
      <c r="I486" t="s">
        <v>1741</v>
      </c>
    </row>
    <row r="487" spans="1:9">
      <c r="A487" t="s">
        <v>2152</v>
      </c>
      <c r="B487" s="122">
        <v>8</v>
      </c>
      <c r="C487" t="s">
        <v>1111</v>
      </c>
      <c r="D487" t="str">
        <f t="shared" si="11"/>
        <v>128</v>
      </c>
      <c r="E487" t="s">
        <v>1187</v>
      </c>
      <c r="F487" t="s">
        <v>1831</v>
      </c>
      <c r="G487" t="s">
        <v>1832</v>
      </c>
      <c r="H487" t="s">
        <v>1833</v>
      </c>
      <c r="I487" t="s">
        <v>1834</v>
      </c>
    </row>
    <row r="488" spans="1:9">
      <c r="A488" t="s">
        <v>2153</v>
      </c>
      <c r="B488" s="122">
        <v>8</v>
      </c>
      <c r="C488" t="s">
        <v>1111</v>
      </c>
      <c r="D488" t="str">
        <f t="shared" si="11"/>
        <v>128</v>
      </c>
      <c r="E488" t="s">
        <v>1265</v>
      </c>
      <c r="F488" t="s">
        <v>1599</v>
      </c>
      <c r="G488" t="s">
        <v>1784</v>
      </c>
      <c r="H488" t="s">
        <v>1785</v>
      </c>
      <c r="I488" t="s">
        <v>1602</v>
      </c>
    </row>
    <row r="489" spans="1:9">
      <c r="A489" t="s">
        <v>2154</v>
      </c>
      <c r="C489" t="s">
        <v>1913</v>
      </c>
      <c r="D489" t="str">
        <f t="shared" si="11"/>
        <v>224</v>
      </c>
      <c r="E489" t="s">
        <v>1932</v>
      </c>
      <c r="F489" t="s">
        <v>1933</v>
      </c>
      <c r="G489" t="s">
        <v>1265</v>
      </c>
      <c r="H489" t="s">
        <v>1265</v>
      </c>
      <c r="I489" t="s">
        <v>1934</v>
      </c>
    </row>
    <row r="490" spans="1:9">
      <c r="A490" t="s">
        <v>2155</v>
      </c>
      <c r="B490" s="122" t="s">
        <v>2156</v>
      </c>
      <c r="C490" t="s">
        <v>1187</v>
      </c>
      <c r="D490" t="str">
        <f t="shared" si="11"/>
        <v>256</v>
      </c>
      <c r="E490" t="s">
        <v>1174</v>
      </c>
      <c r="F490" t="s">
        <v>1610</v>
      </c>
      <c r="G490" t="s">
        <v>2157</v>
      </c>
      <c r="H490" t="s">
        <v>2158</v>
      </c>
      <c r="I490" t="s">
        <v>1613</v>
      </c>
    </row>
    <row r="491" spans="1:9">
      <c r="A491" t="s">
        <v>633</v>
      </c>
      <c r="B491" s="122" t="s">
        <v>2156</v>
      </c>
      <c r="C491" t="s">
        <v>1187</v>
      </c>
      <c r="D491" t="str">
        <f t="shared" si="11"/>
        <v>256</v>
      </c>
      <c r="E491" t="s">
        <v>1181</v>
      </c>
      <c r="F491" t="s">
        <v>1670</v>
      </c>
      <c r="G491" t="s">
        <v>1748</v>
      </c>
      <c r="H491" t="s">
        <v>1749</v>
      </c>
      <c r="I491" t="s">
        <v>1750</v>
      </c>
    </row>
    <row r="492" spans="1:9">
      <c r="A492" t="s">
        <v>2159</v>
      </c>
      <c r="B492" s="122" t="s">
        <v>2156</v>
      </c>
      <c r="C492" t="s">
        <v>1187</v>
      </c>
      <c r="D492" t="str">
        <f t="shared" si="11"/>
        <v>256</v>
      </c>
      <c r="E492" t="s">
        <v>1209</v>
      </c>
      <c r="F492" t="s">
        <v>1841</v>
      </c>
      <c r="G492" t="s">
        <v>1842</v>
      </c>
      <c r="H492" t="s">
        <v>1843</v>
      </c>
      <c r="I492" t="s">
        <v>1844</v>
      </c>
    </row>
    <row r="493" spans="1:9">
      <c r="A493" t="s">
        <v>2160</v>
      </c>
      <c r="B493" s="122" t="s">
        <v>2156</v>
      </c>
      <c r="C493" t="s">
        <v>1187</v>
      </c>
      <c r="D493" t="str">
        <f t="shared" si="11"/>
        <v>256</v>
      </c>
      <c r="E493" t="s">
        <v>1265</v>
      </c>
      <c r="F493" t="s">
        <v>1610</v>
      </c>
      <c r="G493" t="s">
        <v>1787</v>
      </c>
      <c r="H493" t="s">
        <v>1788</v>
      </c>
      <c r="I493" t="s">
        <v>1613</v>
      </c>
    </row>
    <row r="494" spans="1:9">
      <c r="A494" t="s">
        <v>2161</v>
      </c>
      <c r="C494" t="s">
        <v>1959</v>
      </c>
      <c r="D494" t="str">
        <f t="shared" si="11"/>
        <v>437.5</v>
      </c>
      <c r="E494" t="s">
        <v>1187</v>
      </c>
      <c r="F494" t="s">
        <v>1960</v>
      </c>
      <c r="G494" t="s">
        <v>1961</v>
      </c>
      <c r="H494" t="s">
        <v>1962</v>
      </c>
      <c r="I494" t="s">
        <v>1963</v>
      </c>
    </row>
    <row r="495" spans="1:9">
      <c r="A495" t="s">
        <v>2162</v>
      </c>
      <c r="B495" s="122" t="s">
        <v>2156</v>
      </c>
      <c r="C495" t="s">
        <v>1936</v>
      </c>
      <c r="D495" t="str">
        <f t="shared" si="11"/>
        <v>448</v>
      </c>
      <c r="E495" t="s">
        <v>1937</v>
      </c>
      <c r="F495" t="s">
        <v>1938</v>
      </c>
      <c r="G495" t="s">
        <v>1265</v>
      </c>
      <c r="H495" t="s">
        <v>1265</v>
      </c>
      <c r="I495" t="s">
        <v>1939</v>
      </c>
    </row>
    <row r="496" spans="1:9">
      <c r="A496" t="s">
        <v>2163</v>
      </c>
      <c r="B496" s="122" t="s">
        <v>2156</v>
      </c>
      <c r="C496" t="s">
        <v>1975</v>
      </c>
      <c r="D496" t="str">
        <f t="shared" si="11"/>
        <v>875</v>
      </c>
      <c r="E496" t="s">
        <v>1641</v>
      </c>
      <c r="F496" t="s">
        <v>1976</v>
      </c>
      <c r="G496" t="s">
        <v>1977</v>
      </c>
      <c r="H496" t="s">
        <v>1978</v>
      </c>
      <c r="I496" t="s">
        <v>1979</v>
      </c>
    </row>
    <row r="497" spans="1:9">
      <c r="A497" t="s">
        <v>2164</v>
      </c>
      <c r="B497" s="122" t="s">
        <v>2165</v>
      </c>
      <c r="C497" t="s">
        <v>1187</v>
      </c>
      <c r="D497" t="str">
        <f t="shared" si="11"/>
        <v>256</v>
      </c>
      <c r="E497" t="s">
        <v>1174</v>
      </c>
      <c r="F497" t="s">
        <v>1610</v>
      </c>
      <c r="G497" t="s">
        <v>2157</v>
      </c>
      <c r="H497" t="s">
        <v>2158</v>
      </c>
      <c r="I497" t="s">
        <v>1613</v>
      </c>
    </row>
    <row r="498" spans="1:9">
      <c r="A498" t="s">
        <v>2166</v>
      </c>
      <c r="B498" s="122" t="s">
        <v>2165</v>
      </c>
      <c r="C498" t="s">
        <v>1187</v>
      </c>
      <c r="D498" t="str">
        <f t="shared" si="11"/>
        <v>256</v>
      </c>
      <c r="E498" t="s">
        <v>1181</v>
      </c>
      <c r="F498" t="s">
        <v>1670</v>
      </c>
      <c r="G498" t="s">
        <v>1748</v>
      </c>
      <c r="H498" t="s">
        <v>1749</v>
      </c>
      <c r="I498" t="s">
        <v>1750</v>
      </c>
    </row>
    <row r="499" spans="1:9">
      <c r="A499" t="s">
        <v>2167</v>
      </c>
      <c r="B499" s="122" t="s">
        <v>2165</v>
      </c>
      <c r="C499" t="s">
        <v>1187</v>
      </c>
      <c r="D499" t="str">
        <f t="shared" si="11"/>
        <v>256</v>
      </c>
      <c r="E499" t="s">
        <v>1209</v>
      </c>
      <c r="F499" t="s">
        <v>1841</v>
      </c>
      <c r="G499" t="s">
        <v>1842</v>
      </c>
      <c r="H499" t="s">
        <v>1843</v>
      </c>
      <c r="I499" t="s">
        <v>1844</v>
      </c>
    </row>
    <row r="500" spans="1:9">
      <c r="A500" t="s">
        <v>2168</v>
      </c>
      <c r="B500" s="122" t="s">
        <v>2165</v>
      </c>
      <c r="C500" t="s">
        <v>1187</v>
      </c>
      <c r="D500" t="str">
        <f t="shared" si="11"/>
        <v>256</v>
      </c>
      <c r="E500" t="s">
        <v>1265</v>
      </c>
      <c r="F500" t="s">
        <v>1610</v>
      </c>
      <c r="G500" t="s">
        <v>1787</v>
      </c>
      <c r="H500" t="s">
        <v>1788</v>
      </c>
      <c r="I500" t="s">
        <v>1613</v>
      </c>
    </row>
    <row r="501" spans="1:9">
      <c r="A501" t="s">
        <v>2169</v>
      </c>
      <c r="B501" s="122" t="s">
        <v>2170</v>
      </c>
      <c r="C501" t="s">
        <v>1851</v>
      </c>
      <c r="D501" t="str">
        <f t="shared" si="11"/>
        <v>432</v>
      </c>
      <c r="E501" t="s">
        <v>1871</v>
      </c>
      <c r="F501" t="s">
        <v>1852</v>
      </c>
      <c r="G501" t="s">
        <v>1857</v>
      </c>
      <c r="H501" t="s">
        <v>1858</v>
      </c>
      <c r="I501" t="s">
        <v>1855</v>
      </c>
    </row>
    <row r="502" spans="1:9">
      <c r="A502" t="s">
        <v>2171</v>
      </c>
      <c r="B502" s="122" t="s">
        <v>2165</v>
      </c>
      <c r="C502" t="s">
        <v>1936</v>
      </c>
      <c r="D502" t="str">
        <f t="shared" ref="D502:D526" si="12">IFERROR(REPLACE(C502,FIND(" GiB",C502,1),4,),C502)</f>
        <v>448</v>
      </c>
      <c r="E502" t="s">
        <v>1937</v>
      </c>
      <c r="F502" t="s">
        <v>1938</v>
      </c>
      <c r="G502" t="s">
        <v>1265</v>
      </c>
      <c r="H502" t="s">
        <v>1265</v>
      </c>
      <c r="I502" t="s">
        <v>1939</v>
      </c>
    </row>
    <row r="503" spans="1:9">
      <c r="A503" t="s">
        <v>2172</v>
      </c>
      <c r="B503" s="122" t="s">
        <v>2170</v>
      </c>
      <c r="C503" t="s">
        <v>1555</v>
      </c>
      <c r="D503" t="str">
        <f t="shared" si="12"/>
        <v>504</v>
      </c>
      <c r="E503" t="s">
        <v>1195</v>
      </c>
      <c r="F503" t="s">
        <v>1756</v>
      </c>
      <c r="G503" t="s">
        <v>1757</v>
      </c>
      <c r="H503" t="s">
        <v>1758</v>
      </c>
      <c r="I503" t="s">
        <v>1759</v>
      </c>
    </row>
    <row r="504" spans="1:9">
      <c r="A504" t="s">
        <v>2173</v>
      </c>
      <c r="B504" s="122" t="s">
        <v>2170</v>
      </c>
      <c r="C504" t="s">
        <v>1555</v>
      </c>
      <c r="D504" t="str">
        <f t="shared" si="12"/>
        <v>504</v>
      </c>
      <c r="E504" t="s">
        <v>1265</v>
      </c>
      <c r="F504" t="s">
        <v>1620</v>
      </c>
      <c r="G504" t="s">
        <v>1793</v>
      </c>
      <c r="H504" t="s">
        <v>1794</v>
      </c>
      <c r="I504" t="s">
        <v>1623</v>
      </c>
    </row>
    <row r="505" spans="1:9">
      <c r="A505" t="s">
        <v>2174</v>
      </c>
      <c r="B505" s="122" t="s">
        <v>2170</v>
      </c>
      <c r="C505" t="s">
        <v>1209</v>
      </c>
      <c r="D505" t="str">
        <f t="shared" si="12"/>
        <v>512</v>
      </c>
      <c r="E505" t="s">
        <v>1188</v>
      </c>
      <c r="F505" t="s">
        <v>1620</v>
      </c>
      <c r="G505" t="s">
        <v>2175</v>
      </c>
      <c r="H505" t="s">
        <v>2176</v>
      </c>
      <c r="I505" t="s">
        <v>1623</v>
      </c>
    </row>
    <row r="506" spans="1:9">
      <c r="A506" t="s">
        <v>2177</v>
      </c>
      <c r="B506" s="122" t="s">
        <v>2165</v>
      </c>
      <c r="C506" t="s">
        <v>1975</v>
      </c>
      <c r="D506" t="str">
        <f t="shared" si="12"/>
        <v>875</v>
      </c>
      <c r="E506" t="s">
        <v>1641</v>
      </c>
      <c r="F506" t="s">
        <v>1976</v>
      </c>
      <c r="G506" t="s">
        <v>1977</v>
      </c>
      <c r="H506" t="s">
        <v>1978</v>
      </c>
      <c r="I506" t="s">
        <v>1979</v>
      </c>
    </row>
    <row r="507" spans="1:9">
      <c r="A507" t="s">
        <v>2178</v>
      </c>
      <c r="B507" s="122" t="s">
        <v>2170</v>
      </c>
      <c r="C507" t="s">
        <v>1994</v>
      </c>
      <c r="D507" t="str">
        <f t="shared" si="12"/>
        <v>1,750</v>
      </c>
      <c r="E507" t="s">
        <v>1981</v>
      </c>
      <c r="F507" t="s">
        <v>1995</v>
      </c>
      <c r="G507" t="s">
        <v>1996</v>
      </c>
      <c r="H507" t="s">
        <v>1997</v>
      </c>
      <c r="I507" t="s">
        <v>1998</v>
      </c>
    </row>
    <row r="508" spans="1:9">
      <c r="A508" t="s">
        <v>2179</v>
      </c>
      <c r="B508" s="122" t="s">
        <v>2180</v>
      </c>
      <c r="C508" t="s">
        <v>1625</v>
      </c>
      <c r="D508" t="str">
        <f t="shared" si="12"/>
        <v>672</v>
      </c>
      <c r="E508" t="s">
        <v>1195</v>
      </c>
      <c r="F508" t="s">
        <v>1626</v>
      </c>
      <c r="G508" t="s">
        <v>2181</v>
      </c>
      <c r="H508" t="s">
        <v>2182</v>
      </c>
      <c r="I508" t="s">
        <v>1629</v>
      </c>
    </row>
    <row r="509" spans="1:9">
      <c r="A509" t="s">
        <v>2183</v>
      </c>
      <c r="B509" s="122" t="s">
        <v>2184</v>
      </c>
      <c r="C509" t="s">
        <v>1851</v>
      </c>
      <c r="D509" t="str">
        <f t="shared" si="12"/>
        <v>432</v>
      </c>
      <c r="E509" t="s">
        <v>1871</v>
      </c>
      <c r="F509" t="s">
        <v>1852</v>
      </c>
      <c r="G509" t="s">
        <v>1857</v>
      </c>
      <c r="H509" t="s">
        <v>1858</v>
      </c>
      <c r="I509" t="s">
        <v>1855</v>
      </c>
    </row>
    <row r="510" spans="1:9">
      <c r="A510" t="s">
        <v>656</v>
      </c>
      <c r="B510" s="122" t="s">
        <v>2184</v>
      </c>
      <c r="C510" t="s">
        <v>1555</v>
      </c>
      <c r="D510" t="str">
        <f t="shared" si="12"/>
        <v>504</v>
      </c>
      <c r="E510" t="s">
        <v>1195</v>
      </c>
      <c r="F510" t="s">
        <v>1756</v>
      </c>
      <c r="G510" t="s">
        <v>1757</v>
      </c>
      <c r="H510" t="s">
        <v>1758</v>
      </c>
      <c r="I510" t="s">
        <v>1759</v>
      </c>
    </row>
    <row r="511" spans="1:9">
      <c r="A511" t="s">
        <v>2185</v>
      </c>
      <c r="B511" s="122" t="s">
        <v>2184</v>
      </c>
      <c r="C511" t="s">
        <v>1555</v>
      </c>
      <c r="D511" t="str">
        <f t="shared" si="12"/>
        <v>504</v>
      </c>
      <c r="E511" t="s">
        <v>1265</v>
      </c>
      <c r="F511" t="s">
        <v>1620</v>
      </c>
      <c r="G511" t="s">
        <v>1793</v>
      </c>
      <c r="H511" t="s">
        <v>1794</v>
      </c>
      <c r="I511" t="s">
        <v>1623</v>
      </c>
    </row>
    <row r="512" spans="1:9">
      <c r="A512" t="s">
        <v>2186</v>
      </c>
      <c r="B512" s="122" t="s">
        <v>2184</v>
      </c>
      <c r="C512" t="s">
        <v>1209</v>
      </c>
      <c r="D512" t="str">
        <f t="shared" si="12"/>
        <v>512</v>
      </c>
      <c r="E512" t="s">
        <v>1188</v>
      </c>
      <c r="F512" t="s">
        <v>1620</v>
      </c>
      <c r="G512" t="s">
        <v>2175</v>
      </c>
      <c r="H512" t="s">
        <v>2176</v>
      </c>
      <c r="I512" t="s">
        <v>1623</v>
      </c>
    </row>
    <row r="513" spans="1:10">
      <c r="A513" t="s">
        <v>2187</v>
      </c>
      <c r="B513" s="122" t="s">
        <v>2184</v>
      </c>
      <c r="C513" t="s">
        <v>1994</v>
      </c>
      <c r="D513" t="str">
        <f t="shared" si="12"/>
        <v>1,750</v>
      </c>
      <c r="E513" t="s">
        <v>1981</v>
      </c>
      <c r="F513" t="s">
        <v>1995</v>
      </c>
      <c r="G513" t="s">
        <v>1996</v>
      </c>
      <c r="H513" t="s">
        <v>1997</v>
      </c>
      <c r="I513" t="s">
        <v>1998</v>
      </c>
    </row>
    <row r="514" spans="1:10">
      <c r="A514" t="s">
        <v>2188</v>
      </c>
      <c r="B514" s="122" t="s">
        <v>2189</v>
      </c>
      <c r="C514" t="s">
        <v>2010</v>
      </c>
      <c r="D514" t="str">
        <f t="shared" si="12"/>
        <v>3,800</v>
      </c>
      <c r="E514" t="s">
        <v>2002</v>
      </c>
      <c r="F514" t="s">
        <v>2011</v>
      </c>
      <c r="G514" t="s">
        <v>2012</v>
      </c>
      <c r="H514" t="s">
        <v>2013</v>
      </c>
      <c r="I514" t="s">
        <v>2014</v>
      </c>
    </row>
    <row r="515" spans="1:10">
      <c r="A515" t="s">
        <v>2190</v>
      </c>
      <c r="B515" s="122" t="s">
        <v>2191</v>
      </c>
      <c r="C515" t="s">
        <v>1625</v>
      </c>
      <c r="D515" t="str">
        <f t="shared" si="12"/>
        <v>672</v>
      </c>
      <c r="E515" t="s">
        <v>1195</v>
      </c>
      <c r="F515" t="s">
        <v>1626</v>
      </c>
      <c r="G515" t="s">
        <v>2181</v>
      </c>
      <c r="H515" t="s">
        <v>2182</v>
      </c>
      <c r="I515" t="s">
        <v>1629</v>
      </c>
    </row>
    <row r="516" spans="1:10">
      <c r="A516" t="s">
        <v>2192</v>
      </c>
      <c r="B516" s="122" t="s">
        <v>2193</v>
      </c>
      <c r="C516" t="s">
        <v>2010</v>
      </c>
      <c r="D516" t="str">
        <f t="shared" si="12"/>
        <v>3,800</v>
      </c>
      <c r="E516" t="s">
        <v>2002</v>
      </c>
      <c r="F516" t="s">
        <v>2011</v>
      </c>
      <c r="G516" t="s">
        <v>2012</v>
      </c>
      <c r="H516" t="s">
        <v>2013</v>
      </c>
      <c r="I516" t="s">
        <v>2014</v>
      </c>
    </row>
    <row r="517" spans="1:10">
      <c r="A517" t="s">
        <v>2194</v>
      </c>
      <c r="B517" s="122">
        <v>8</v>
      </c>
      <c r="C517" t="s">
        <v>1100</v>
      </c>
      <c r="D517" t="str">
        <f t="shared" si="12"/>
        <v>64</v>
      </c>
      <c r="E517" t="s">
        <v>1116</v>
      </c>
      <c r="F517" t="s">
        <v>2195</v>
      </c>
      <c r="G517" t="s">
        <v>2196</v>
      </c>
      <c r="H517" t="s">
        <v>2197</v>
      </c>
      <c r="I517" t="s">
        <v>2198</v>
      </c>
      <c r="J517" t="s">
        <v>2199</v>
      </c>
    </row>
    <row r="518" spans="1:10">
      <c r="A518" t="s">
        <v>2200</v>
      </c>
      <c r="B518" s="122">
        <v>16</v>
      </c>
      <c r="C518" t="s">
        <v>1111</v>
      </c>
      <c r="D518" t="str">
        <f t="shared" si="12"/>
        <v>128</v>
      </c>
      <c r="E518" t="s">
        <v>1117</v>
      </c>
      <c r="F518" t="s">
        <v>2201</v>
      </c>
      <c r="G518" t="s">
        <v>2202</v>
      </c>
      <c r="H518" t="s">
        <v>2203</v>
      </c>
      <c r="I518" t="s">
        <v>2204</v>
      </c>
      <c r="J518" t="s">
        <v>2205</v>
      </c>
    </row>
    <row r="519" spans="1:10">
      <c r="A519" t="s">
        <v>2206</v>
      </c>
      <c r="B519" s="122">
        <v>32</v>
      </c>
      <c r="C519" t="s">
        <v>1187</v>
      </c>
      <c r="D519" t="str">
        <f t="shared" si="12"/>
        <v>256</v>
      </c>
      <c r="E519" t="s">
        <v>1637</v>
      </c>
      <c r="F519" t="s">
        <v>2207</v>
      </c>
      <c r="G519" t="s">
        <v>2208</v>
      </c>
      <c r="H519" t="s">
        <v>2209</v>
      </c>
      <c r="I519" t="s">
        <v>2210</v>
      </c>
      <c r="J519" t="s">
        <v>2211</v>
      </c>
    </row>
    <row r="520" spans="1:10">
      <c r="A520" t="s">
        <v>2212</v>
      </c>
      <c r="B520" s="122">
        <v>48</v>
      </c>
      <c r="C520" t="s">
        <v>1194</v>
      </c>
      <c r="D520" t="str">
        <f t="shared" si="12"/>
        <v>384</v>
      </c>
      <c r="E520" t="s">
        <v>2213</v>
      </c>
      <c r="F520" t="s">
        <v>2214</v>
      </c>
      <c r="G520" t="s">
        <v>2215</v>
      </c>
      <c r="H520" t="s">
        <v>2216</v>
      </c>
      <c r="I520" t="s">
        <v>2217</v>
      </c>
      <c r="J520" t="s">
        <v>2218</v>
      </c>
    </row>
    <row r="521" spans="1:10">
      <c r="A521" t="s">
        <v>2219</v>
      </c>
      <c r="B521" s="122">
        <v>64</v>
      </c>
      <c r="C521" t="s">
        <v>1209</v>
      </c>
      <c r="D521" t="str">
        <f t="shared" si="12"/>
        <v>512</v>
      </c>
      <c r="E521" t="s">
        <v>2220</v>
      </c>
      <c r="F521" t="s">
        <v>2221</v>
      </c>
      <c r="G521" t="s">
        <v>2222</v>
      </c>
      <c r="H521" t="s">
        <v>2223</v>
      </c>
      <c r="I521" t="s">
        <v>2224</v>
      </c>
      <c r="J521" t="s">
        <v>2225</v>
      </c>
    </row>
    <row r="522" spans="1:10">
      <c r="A522" t="s">
        <v>2226</v>
      </c>
      <c r="B522" s="122">
        <v>80</v>
      </c>
      <c r="C522" t="s">
        <v>2220</v>
      </c>
      <c r="D522" t="str">
        <f t="shared" si="12"/>
        <v>640</v>
      </c>
      <c r="E522" t="s">
        <v>1174</v>
      </c>
      <c r="F522" t="s">
        <v>2227</v>
      </c>
      <c r="G522" t="s">
        <v>2228</v>
      </c>
      <c r="H522" t="s">
        <v>2229</v>
      </c>
      <c r="I522" t="s">
        <v>2230</v>
      </c>
      <c r="J522" t="s">
        <v>2231</v>
      </c>
    </row>
    <row r="523" spans="1:10">
      <c r="A523" t="s">
        <v>2232</v>
      </c>
      <c r="B523" s="122">
        <v>4</v>
      </c>
      <c r="C523" t="s">
        <v>1096</v>
      </c>
      <c r="D523" t="str">
        <f t="shared" si="12"/>
        <v>32</v>
      </c>
      <c r="E523" t="s">
        <v>2233</v>
      </c>
      <c r="F523" t="s">
        <v>2234</v>
      </c>
      <c r="G523" t="s">
        <v>2235</v>
      </c>
      <c r="H523" t="s">
        <v>1265</v>
      </c>
      <c r="I523" t="s">
        <v>2236</v>
      </c>
    </row>
    <row r="524" spans="1:10">
      <c r="A524" t="s">
        <v>2237</v>
      </c>
      <c r="B524" s="122">
        <v>8</v>
      </c>
      <c r="C524" t="s">
        <v>1100</v>
      </c>
      <c r="D524" t="str">
        <f t="shared" si="12"/>
        <v>64</v>
      </c>
      <c r="E524" t="s">
        <v>2238</v>
      </c>
      <c r="F524" t="s">
        <v>2196</v>
      </c>
      <c r="G524" t="s">
        <v>2239</v>
      </c>
      <c r="H524" t="s">
        <v>1265</v>
      </c>
      <c r="I524" t="s">
        <v>2199</v>
      </c>
    </row>
    <row r="525" spans="1:10">
      <c r="A525" t="s">
        <v>2240</v>
      </c>
      <c r="B525" s="122">
        <v>16</v>
      </c>
      <c r="C525" t="s">
        <v>1111</v>
      </c>
      <c r="D525" t="str">
        <f t="shared" si="12"/>
        <v>128</v>
      </c>
      <c r="E525" t="s">
        <v>2241</v>
      </c>
      <c r="F525" t="s">
        <v>2202</v>
      </c>
      <c r="G525" t="s">
        <v>2242</v>
      </c>
      <c r="H525" t="s">
        <v>1265</v>
      </c>
      <c r="I525" t="s">
        <v>2205</v>
      </c>
    </row>
    <row r="526" spans="1:10">
      <c r="A526" t="s">
        <v>2243</v>
      </c>
      <c r="B526" s="122">
        <v>32</v>
      </c>
      <c r="C526" t="s">
        <v>1187</v>
      </c>
      <c r="D526" t="str">
        <f t="shared" si="12"/>
        <v>256</v>
      </c>
      <c r="E526" t="s">
        <v>2244</v>
      </c>
      <c r="F526" t="s">
        <v>2208</v>
      </c>
      <c r="G526" t="s">
        <v>2245</v>
      </c>
      <c r="H526" t="s">
        <v>1265</v>
      </c>
      <c r="I526" t="s">
        <v>2211</v>
      </c>
    </row>
    <row r="527" spans="1:10">
      <c r="A527" t="s">
        <v>2246</v>
      </c>
      <c r="B527" s="122">
        <v>6</v>
      </c>
      <c r="C527" t="s">
        <v>1433</v>
      </c>
      <c r="D527" t="str">
        <f t="shared" ref="D527:D546" si="13">IFERROR(REPLACE(C527,FIND(" GiB",C527,1),4,),C527)</f>
        <v>56</v>
      </c>
      <c r="E527" t="s">
        <v>2247</v>
      </c>
      <c r="F527" t="s">
        <v>2248</v>
      </c>
      <c r="G527" t="s">
        <v>2249</v>
      </c>
      <c r="H527" t="s">
        <v>2250</v>
      </c>
      <c r="I527" t="s">
        <v>2251</v>
      </c>
      <c r="J527" t="s">
        <v>2252</v>
      </c>
    </row>
    <row r="528" spans="1:10">
      <c r="A528" t="s">
        <v>2253</v>
      </c>
      <c r="B528" s="122">
        <v>12</v>
      </c>
      <c r="C528" t="s">
        <v>1445</v>
      </c>
      <c r="D528" t="str">
        <f t="shared" si="13"/>
        <v>112</v>
      </c>
      <c r="E528" t="s">
        <v>2254</v>
      </c>
      <c r="F528" t="s">
        <v>2255</v>
      </c>
      <c r="G528" t="s">
        <v>2256</v>
      </c>
      <c r="H528" t="s">
        <v>2257</v>
      </c>
      <c r="I528" t="s">
        <v>2258</v>
      </c>
      <c r="J528" t="s">
        <v>2259</v>
      </c>
    </row>
    <row r="529" spans="1:10">
      <c r="A529" t="s">
        <v>2260</v>
      </c>
      <c r="B529" s="122">
        <v>24</v>
      </c>
      <c r="C529" t="s">
        <v>1913</v>
      </c>
      <c r="D529" t="str">
        <f t="shared" si="13"/>
        <v>224</v>
      </c>
      <c r="E529" t="s">
        <v>2261</v>
      </c>
      <c r="F529" t="s">
        <v>2262</v>
      </c>
      <c r="G529" t="s">
        <v>2263</v>
      </c>
      <c r="H529" t="s">
        <v>2264</v>
      </c>
      <c r="I529" t="s">
        <v>2265</v>
      </c>
      <c r="J529" t="s">
        <v>2266</v>
      </c>
    </row>
    <row r="530" spans="1:10">
      <c r="A530" t="s">
        <v>2267</v>
      </c>
      <c r="B530" s="122">
        <v>24</v>
      </c>
      <c r="C530" t="s">
        <v>1913</v>
      </c>
      <c r="D530" t="str">
        <f t="shared" si="13"/>
        <v>224</v>
      </c>
      <c r="E530" t="s">
        <v>2261</v>
      </c>
      <c r="F530" t="s">
        <v>2262</v>
      </c>
      <c r="G530" t="s">
        <v>2268</v>
      </c>
      <c r="H530" t="s">
        <v>2269</v>
      </c>
      <c r="I530" t="s">
        <v>2270</v>
      </c>
      <c r="J530" t="s">
        <v>2271</v>
      </c>
    </row>
    <row r="531" spans="1:10">
      <c r="A531" t="s">
        <v>2272</v>
      </c>
      <c r="B531" s="122">
        <v>6</v>
      </c>
      <c r="C531" t="s">
        <v>1433</v>
      </c>
      <c r="D531" t="str">
        <f t="shared" si="13"/>
        <v>56</v>
      </c>
      <c r="E531" t="s">
        <v>2247</v>
      </c>
      <c r="F531" t="s">
        <v>2273</v>
      </c>
      <c r="G531" t="s">
        <v>2274</v>
      </c>
      <c r="H531" t="s">
        <v>1082</v>
      </c>
      <c r="I531" t="s">
        <v>1082</v>
      </c>
      <c r="J531" t="s">
        <v>1082</v>
      </c>
    </row>
    <row r="532" spans="1:10">
      <c r="A532" t="s">
        <v>2275</v>
      </c>
      <c r="B532" s="122">
        <v>12</v>
      </c>
      <c r="C532" t="s">
        <v>1445</v>
      </c>
      <c r="D532" t="str">
        <f t="shared" si="13"/>
        <v>112</v>
      </c>
      <c r="E532" t="s">
        <v>2254</v>
      </c>
      <c r="F532" t="s">
        <v>2276</v>
      </c>
      <c r="G532" t="s">
        <v>2277</v>
      </c>
      <c r="H532" t="s">
        <v>1082</v>
      </c>
      <c r="I532" t="s">
        <v>1082</v>
      </c>
      <c r="J532" t="s">
        <v>1082</v>
      </c>
    </row>
    <row r="533" spans="1:10">
      <c r="A533" t="s">
        <v>2278</v>
      </c>
      <c r="B533" s="122">
        <v>24</v>
      </c>
      <c r="C533" t="s">
        <v>1913</v>
      </c>
      <c r="D533" t="str">
        <f t="shared" si="13"/>
        <v>224</v>
      </c>
      <c r="E533" t="s">
        <v>2261</v>
      </c>
      <c r="F533" t="s">
        <v>2262</v>
      </c>
      <c r="G533" t="s">
        <v>2279</v>
      </c>
      <c r="H533" t="s">
        <v>1082</v>
      </c>
      <c r="I533" t="s">
        <v>1082</v>
      </c>
      <c r="J533" t="s">
        <v>1082</v>
      </c>
    </row>
    <row r="534" spans="1:10">
      <c r="A534" t="s">
        <v>2280</v>
      </c>
      <c r="B534" s="122">
        <v>24</v>
      </c>
      <c r="C534" t="s">
        <v>1913</v>
      </c>
      <c r="D534" t="str">
        <f t="shared" si="13"/>
        <v>224</v>
      </c>
      <c r="E534" t="s">
        <v>2261</v>
      </c>
      <c r="F534" t="s">
        <v>2262</v>
      </c>
      <c r="G534" t="s">
        <v>2281</v>
      </c>
      <c r="H534" t="s">
        <v>1082</v>
      </c>
      <c r="I534" t="s">
        <v>1082</v>
      </c>
      <c r="J534" t="s">
        <v>1082</v>
      </c>
    </row>
    <row r="535" spans="1:10">
      <c r="A535" t="s">
        <v>2282</v>
      </c>
      <c r="B535" s="122">
        <v>6</v>
      </c>
      <c r="C535" t="s">
        <v>1445</v>
      </c>
      <c r="D535" t="str">
        <f t="shared" si="13"/>
        <v>112</v>
      </c>
      <c r="E535" t="s">
        <v>2283</v>
      </c>
      <c r="F535" t="s">
        <v>2284</v>
      </c>
      <c r="G535" t="s">
        <v>2285</v>
      </c>
      <c r="H535" t="s">
        <v>2286</v>
      </c>
      <c r="I535" t="s">
        <v>2287</v>
      </c>
      <c r="J535" t="s">
        <v>2288</v>
      </c>
    </row>
    <row r="536" spans="1:10">
      <c r="A536" t="s">
        <v>2289</v>
      </c>
      <c r="B536" s="122">
        <v>12</v>
      </c>
      <c r="C536" t="s">
        <v>1913</v>
      </c>
      <c r="D536" t="str">
        <f t="shared" si="13"/>
        <v>224</v>
      </c>
      <c r="E536" t="s">
        <v>1625</v>
      </c>
      <c r="F536" t="s">
        <v>2290</v>
      </c>
      <c r="G536" t="s">
        <v>2291</v>
      </c>
      <c r="H536" t="s">
        <v>2292</v>
      </c>
      <c r="I536" t="s">
        <v>2293</v>
      </c>
      <c r="J536" t="s">
        <v>2294</v>
      </c>
    </row>
    <row r="537" spans="1:10">
      <c r="A537" t="s">
        <v>2295</v>
      </c>
      <c r="B537" s="122">
        <v>24</v>
      </c>
      <c r="C537" t="s">
        <v>1936</v>
      </c>
      <c r="D537" t="str">
        <f t="shared" si="13"/>
        <v>448</v>
      </c>
      <c r="E537" t="s">
        <v>1643</v>
      </c>
      <c r="F537" t="s">
        <v>2296</v>
      </c>
      <c r="G537" t="s">
        <v>2297</v>
      </c>
      <c r="H537" t="s">
        <v>2298</v>
      </c>
      <c r="I537" t="s">
        <v>2299</v>
      </c>
      <c r="J537" t="s">
        <v>2300</v>
      </c>
    </row>
    <row r="538" spans="1:10">
      <c r="A538" t="s">
        <v>2301</v>
      </c>
      <c r="B538" s="122">
        <v>24</v>
      </c>
      <c r="C538" t="s">
        <v>1936</v>
      </c>
      <c r="D538" t="str">
        <f t="shared" si="13"/>
        <v>448</v>
      </c>
      <c r="E538" t="s">
        <v>1643</v>
      </c>
      <c r="F538" t="s">
        <v>2296</v>
      </c>
      <c r="G538" t="s">
        <v>2302</v>
      </c>
      <c r="H538" t="s">
        <v>2303</v>
      </c>
      <c r="I538" t="s">
        <v>2304</v>
      </c>
      <c r="J538" t="s">
        <v>2305</v>
      </c>
    </row>
    <row r="539" spans="1:10">
      <c r="A539" t="s">
        <v>2306</v>
      </c>
      <c r="B539" s="122">
        <v>6</v>
      </c>
      <c r="C539" t="s">
        <v>1445</v>
      </c>
      <c r="D539" t="str">
        <f t="shared" si="13"/>
        <v>112</v>
      </c>
      <c r="E539" t="s">
        <v>2283</v>
      </c>
      <c r="F539" t="s">
        <v>2307</v>
      </c>
      <c r="G539" t="s">
        <v>2308</v>
      </c>
      <c r="H539" t="s">
        <v>2309</v>
      </c>
      <c r="I539" t="s">
        <v>2310</v>
      </c>
      <c r="J539" t="s">
        <v>2311</v>
      </c>
    </row>
    <row r="540" spans="1:10">
      <c r="A540" t="s">
        <v>2312</v>
      </c>
      <c r="B540" s="122">
        <v>12</v>
      </c>
      <c r="C540" t="s">
        <v>1913</v>
      </c>
      <c r="D540" t="str">
        <f t="shared" si="13"/>
        <v>224</v>
      </c>
      <c r="E540" t="s">
        <v>1625</v>
      </c>
      <c r="F540" t="s">
        <v>2313</v>
      </c>
      <c r="G540" t="s">
        <v>2314</v>
      </c>
      <c r="H540" t="s">
        <v>2315</v>
      </c>
      <c r="I540" t="s">
        <v>2316</v>
      </c>
      <c r="J540" t="s">
        <v>2317</v>
      </c>
    </row>
    <row r="541" spans="1:10">
      <c r="A541" t="s">
        <v>2318</v>
      </c>
      <c r="B541" s="122">
        <v>24</v>
      </c>
      <c r="C541" t="s">
        <v>1936</v>
      </c>
      <c r="D541" t="str">
        <f t="shared" si="13"/>
        <v>448</v>
      </c>
      <c r="E541" t="s">
        <v>1643</v>
      </c>
      <c r="F541" t="s">
        <v>2319</v>
      </c>
      <c r="G541" t="s">
        <v>2320</v>
      </c>
      <c r="H541" t="s">
        <v>2321</v>
      </c>
      <c r="I541" t="s">
        <v>2322</v>
      </c>
      <c r="J541" t="s">
        <v>2323</v>
      </c>
    </row>
    <row r="542" spans="1:10">
      <c r="A542" t="s">
        <v>2324</v>
      </c>
      <c r="B542" s="122">
        <v>24</v>
      </c>
      <c r="C542" t="s">
        <v>1936</v>
      </c>
      <c r="D542" t="str">
        <f t="shared" si="13"/>
        <v>448</v>
      </c>
      <c r="E542" t="s">
        <v>1643</v>
      </c>
      <c r="F542" t="s">
        <v>2319</v>
      </c>
      <c r="G542" t="s">
        <v>2325</v>
      </c>
      <c r="H542" t="s">
        <v>2326</v>
      </c>
      <c r="I542" t="s">
        <v>2327</v>
      </c>
      <c r="J542" t="s">
        <v>2328</v>
      </c>
    </row>
    <row r="543" spans="1:10">
      <c r="A543" t="s">
        <v>2329</v>
      </c>
      <c r="B543" s="122">
        <v>4</v>
      </c>
      <c r="C543" t="s">
        <v>1429</v>
      </c>
      <c r="D543" t="str">
        <f t="shared" si="13"/>
        <v>28</v>
      </c>
      <c r="E543" t="s">
        <v>2330</v>
      </c>
      <c r="F543" t="s">
        <v>2331</v>
      </c>
      <c r="G543" t="s">
        <v>2332</v>
      </c>
      <c r="H543" t="s">
        <v>2333</v>
      </c>
      <c r="I543" t="s">
        <v>2334</v>
      </c>
      <c r="J543" t="s">
        <v>2335</v>
      </c>
    </row>
    <row r="544" spans="1:10">
      <c r="A544" t="s">
        <v>2336</v>
      </c>
      <c r="B544" s="122">
        <v>8</v>
      </c>
      <c r="C544" t="s">
        <v>1433</v>
      </c>
      <c r="D544" t="str">
        <f t="shared" si="13"/>
        <v>56</v>
      </c>
      <c r="E544" t="s">
        <v>2337</v>
      </c>
      <c r="F544" t="s">
        <v>2331</v>
      </c>
      <c r="G544" t="s">
        <v>2338</v>
      </c>
      <c r="H544" t="s">
        <v>2339</v>
      </c>
      <c r="I544" t="s">
        <v>2340</v>
      </c>
      <c r="J544" t="s">
        <v>2341</v>
      </c>
    </row>
    <row r="545" spans="1:10">
      <c r="A545" t="s">
        <v>2342</v>
      </c>
      <c r="B545" s="122">
        <v>16</v>
      </c>
      <c r="C545" t="s">
        <v>2343</v>
      </c>
      <c r="D545" t="str">
        <f t="shared" si="13"/>
        <v>110</v>
      </c>
      <c r="E545" t="s">
        <v>2337</v>
      </c>
      <c r="F545" t="s">
        <v>2331</v>
      </c>
      <c r="G545" t="s">
        <v>2344</v>
      </c>
      <c r="H545" t="s">
        <v>2345</v>
      </c>
      <c r="I545" t="s">
        <v>2346</v>
      </c>
      <c r="J545" t="s">
        <v>2347</v>
      </c>
    </row>
    <row r="546" spans="1:10">
      <c r="A546" t="s">
        <v>2348</v>
      </c>
      <c r="B546" s="122">
        <v>64</v>
      </c>
      <c r="C546" t="s">
        <v>2349</v>
      </c>
      <c r="D546" t="str">
        <f t="shared" si="13"/>
        <v>440</v>
      </c>
      <c r="E546" t="s">
        <v>2350</v>
      </c>
      <c r="F546" t="s">
        <v>2351</v>
      </c>
      <c r="G546" t="s">
        <v>2352</v>
      </c>
      <c r="H546" t="s">
        <v>2353</v>
      </c>
      <c r="I546" t="s">
        <v>2354</v>
      </c>
      <c r="J546" t="s">
        <v>2355</v>
      </c>
    </row>
    <row r="547" spans="1:10">
      <c r="A547" t="s">
        <v>2356</v>
      </c>
      <c r="B547" s="122">
        <v>6</v>
      </c>
      <c r="C547" t="s">
        <v>1433</v>
      </c>
      <c r="D547" t="str">
        <f t="shared" ref="D547:D562" si="14">IFERROR(REPLACE(C547,FIND(" GiB",C547,1),4,),C547)</f>
        <v>56</v>
      </c>
      <c r="E547" t="s">
        <v>2247</v>
      </c>
      <c r="F547" t="s">
        <v>2357</v>
      </c>
      <c r="G547" t="s">
        <v>2358</v>
      </c>
      <c r="H547" t="s">
        <v>2359</v>
      </c>
      <c r="I547" t="s">
        <v>2360</v>
      </c>
      <c r="J547" t="s">
        <v>2361</v>
      </c>
    </row>
    <row r="548" spans="1:10">
      <c r="A548" t="s">
        <v>2362</v>
      </c>
      <c r="B548" s="122">
        <v>12</v>
      </c>
      <c r="C548" t="s">
        <v>1445</v>
      </c>
      <c r="D548" t="str">
        <f t="shared" si="14"/>
        <v>112</v>
      </c>
      <c r="E548" t="s">
        <v>2254</v>
      </c>
      <c r="F548" t="s">
        <v>2363</v>
      </c>
      <c r="G548" t="s">
        <v>2364</v>
      </c>
      <c r="H548" t="s">
        <v>2365</v>
      </c>
      <c r="I548" t="s">
        <v>2366</v>
      </c>
      <c r="J548" t="s">
        <v>2367</v>
      </c>
    </row>
    <row r="549" spans="1:10">
      <c r="A549" t="s">
        <v>2368</v>
      </c>
      <c r="B549" s="122">
        <v>24</v>
      </c>
      <c r="C549" t="s">
        <v>1913</v>
      </c>
      <c r="D549" t="str">
        <f t="shared" si="14"/>
        <v>224</v>
      </c>
      <c r="E549" t="s">
        <v>2261</v>
      </c>
      <c r="F549" t="s">
        <v>2369</v>
      </c>
      <c r="G549" t="s">
        <v>2370</v>
      </c>
      <c r="H549" t="s">
        <v>2371</v>
      </c>
      <c r="I549" t="s">
        <v>2372</v>
      </c>
      <c r="J549" t="s">
        <v>2373</v>
      </c>
    </row>
    <row r="550" spans="1:10">
      <c r="A550" t="s">
        <v>2374</v>
      </c>
      <c r="B550" s="122">
        <v>12</v>
      </c>
      <c r="C550" t="s">
        <v>1445</v>
      </c>
      <c r="D550" t="str">
        <f t="shared" si="14"/>
        <v>112</v>
      </c>
      <c r="E550" t="s">
        <v>2375</v>
      </c>
      <c r="F550" t="s">
        <v>2357</v>
      </c>
      <c r="G550" t="s">
        <v>2376</v>
      </c>
      <c r="H550" t="s">
        <v>2377</v>
      </c>
      <c r="I550" t="s">
        <v>2378</v>
      </c>
      <c r="J550" t="s">
        <v>2379</v>
      </c>
    </row>
    <row r="551" spans="1:10">
      <c r="A551" t="s">
        <v>2380</v>
      </c>
      <c r="B551" s="122">
        <v>24</v>
      </c>
      <c r="C551" t="s">
        <v>1913</v>
      </c>
      <c r="D551" t="str">
        <f t="shared" si="14"/>
        <v>224</v>
      </c>
      <c r="E551" t="s">
        <v>2381</v>
      </c>
      <c r="F551" t="s">
        <v>2363</v>
      </c>
      <c r="G551" t="s">
        <v>2382</v>
      </c>
      <c r="H551" t="s">
        <v>2383</v>
      </c>
      <c r="I551" t="s">
        <v>2384</v>
      </c>
      <c r="J551" t="s">
        <v>2385</v>
      </c>
    </row>
    <row r="552" spans="1:10">
      <c r="A552" t="s">
        <v>2386</v>
      </c>
      <c r="B552" s="122">
        <v>48</v>
      </c>
      <c r="C552" t="s">
        <v>1936</v>
      </c>
      <c r="D552" t="str">
        <f t="shared" si="14"/>
        <v>448</v>
      </c>
      <c r="E552" t="s">
        <v>2387</v>
      </c>
      <c r="F552" t="s">
        <v>2369</v>
      </c>
      <c r="G552" t="s">
        <v>2388</v>
      </c>
      <c r="H552" t="s">
        <v>2389</v>
      </c>
      <c r="I552" t="s">
        <v>2390</v>
      </c>
      <c r="J552" t="s">
        <v>2391</v>
      </c>
    </row>
    <row r="553" spans="1:10">
      <c r="A553" t="s">
        <v>2392</v>
      </c>
      <c r="B553" s="122">
        <v>4</v>
      </c>
      <c r="C553" t="s">
        <v>1424</v>
      </c>
      <c r="D553" t="str">
        <f t="shared" si="14"/>
        <v>14</v>
      </c>
      <c r="E553" t="s">
        <v>2393</v>
      </c>
      <c r="F553" t="s">
        <v>2394</v>
      </c>
      <c r="G553" t="s">
        <v>2395</v>
      </c>
      <c r="H553" t="s">
        <v>2396</v>
      </c>
      <c r="I553" t="s">
        <v>2397</v>
      </c>
      <c r="J553" t="s">
        <v>2398</v>
      </c>
    </row>
    <row r="554" spans="1:10">
      <c r="A554" t="s">
        <v>2399</v>
      </c>
      <c r="B554" s="122">
        <v>8</v>
      </c>
      <c r="C554" t="s">
        <v>1429</v>
      </c>
      <c r="D554" t="str">
        <f t="shared" si="14"/>
        <v>28</v>
      </c>
      <c r="E554" t="s">
        <v>2400</v>
      </c>
      <c r="F554" t="s">
        <v>2401</v>
      </c>
      <c r="G554" t="s">
        <v>2402</v>
      </c>
      <c r="H554" t="s">
        <v>2403</v>
      </c>
      <c r="I554" t="s">
        <v>2404</v>
      </c>
      <c r="J554" t="s">
        <v>2405</v>
      </c>
    </row>
    <row r="555" spans="1:10">
      <c r="A555" t="s">
        <v>2406</v>
      </c>
      <c r="B555" s="122">
        <v>16</v>
      </c>
      <c r="C555" t="s">
        <v>1433</v>
      </c>
      <c r="D555" t="str">
        <f t="shared" si="14"/>
        <v>56</v>
      </c>
      <c r="E555" t="s">
        <v>2407</v>
      </c>
      <c r="F555" t="s">
        <v>2408</v>
      </c>
      <c r="G555" t="s">
        <v>2409</v>
      </c>
      <c r="H555" t="s">
        <v>2410</v>
      </c>
      <c r="I555" t="s">
        <v>2411</v>
      </c>
      <c r="J555" t="s">
        <v>2412</v>
      </c>
    </row>
    <row r="556" spans="1:10">
      <c r="A556" t="s">
        <v>2413</v>
      </c>
      <c r="B556" s="122">
        <v>32</v>
      </c>
      <c r="C556" t="s">
        <v>1445</v>
      </c>
      <c r="D556" t="str">
        <f t="shared" si="14"/>
        <v>112</v>
      </c>
      <c r="E556" t="s">
        <v>2414</v>
      </c>
      <c r="F556" t="s">
        <v>2415</v>
      </c>
      <c r="G556" t="s">
        <v>2416</v>
      </c>
      <c r="H556" t="s">
        <v>2417</v>
      </c>
      <c r="I556" t="s">
        <v>2418</v>
      </c>
      <c r="J556" t="s">
        <v>2419</v>
      </c>
    </row>
    <row r="557" spans="1:10">
      <c r="A557" t="s">
        <v>2420</v>
      </c>
      <c r="B557" s="122">
        <v>6</v>
      </c>
      <c r="C557" t="s">
        <v>1445</v>
      </c>
      <c r="D557" t="str">
        <f t="shared" si="14"/>
        <v>112</v>
      </c>
      <c r="E557" t="s">
        <v>2283</v>
      </c>
      <c r="F557" t="s">
        <v>2421</v>
      </c>
      <c r="G557" t="s">
        <v>2285</v>
      </c>
      <c r="H557" t="s">
        <v>2286</v>
      </c>
      <c r="I557" t="s">
        <v>2287</v>
      </c>
      <c r="J557" t="s">
        <v>2288</v>
      </c>
    </row>
    <row r="558" spans="1:10">
      <c r="A558" t="s">
        <v>2422</v>
      </c>
      <c r="B558" s="122">
        <v>12</v>
      </c>
      <c r="C558" t="s">
        <v>1913</v>
      </c>
      <c r="D558" t="str">
        <f t="shared" si="14"/>
        <v>224</v>
      </c>
      <c r="E558" t="s">
        <v>1625</v>
      </c>
      <c r="F558" t="s">
        <v>2423</v>
      </c>
      <c r="G558" t="s">
        <v>2424</v>
      </c>
      <c r="H558" t="s">
        <v>2292</v>
      </c>
      <c r="I558" t="s">
        <v>2293</v>
      </c>
      <c r="J558" t="s">
        <v>2425</v>
      </c>
    </row>
    <row r="559" spans="1:10">
      <c r="A559" t="s">
        <v>2426</v>
      </c>
      <c r="B559" s="122">
        <v>24</v>
      </c>
      <c r="C559" t="s">
        <v>1936</v>
      </c>
      <c r="D559" t="str">
        <f t="shared" si="14"/>
        <v>448</v>
      </c>
      <c r="E559" t="s">
        <v>1643</v>
      </c>
      <c r="F559" t="s">
        <v>2427</v>
      </c>
      <c r="G559" t="s">
        <v>2297</v>
      </c>
      <c r="H559" t="s">
        <v>2298</v>
      </c>
      <c r="I559" t="s">
        <v>2299</v>
      </c>
      <c r="J559" t="s">
        <v>2300</v>
      </c>
    </row>
    <row r="560" spans="1:10">
      <c r="A560" t="s">
        <v>2428</v>
      </c>
      <c r="B560" s="122">
        <v>24</v>
      </c>
      <c r="C560" t="s">
        <v>1936</v>
      </c>
      <c r="D560" t="str">
        <f t="shared" si="14"/>
        <v>448</v>
      </c>
      <c r="E560" t="s">
        <v>1643</v>
      </c>
      <c r="F560" t="s">
        <v>2427</v>
      </c>
      <c r="G560" t="s">
        <v>2429</v>
      </c>
      <c r="H560" t="s">
        <v>2303</v>
      </c>
      <c r="I560" t="s">
        <v>2304</v>
      </c>
      <c r="J560" t="s">
        <v>2430</v>
      </c>
    </row>
    <row r="561" spans="1:10">
      <c r="A561" t="s">
        <v>2431</v>
      </c>
      <c r="B561" s="122">
        <v>40</v>
      </c>
      <c r="C561" t="s">
        <v>1625</v>
      </c>
      <c r="D561" t="str">
        <f t="shared" si="14"/>
        <v>672</v>
      </c>
      <c r="E561" t="s">
        <v>2432</v>
      </c>
      <c r="F561" t="s">
        <v>2433</v>
      </c>
      <c r="G561" t="s">
        <v>2434</v>
      </c>
      <c r="H561" t="s">
        <v>2435</v>
      </c>
      <c r="I561" t="s">
        <v>1265</v>
      </c>
      <c r="J561" t="s">
        <v>2436</v>
      </c>
    </row>
    <row r="562" spans="1:10">
      <c r="A562" t="s">
        <v>2437</v>
      </c>
      <c r="B562" s="122">
        <v>96</v>
      </c>
      <c r="C562" t="s">
        <v>2438</v>
      </c>
      <c r="D562" t="str">
        <f t="shared" si="14"/>
        <v>900</v>
      </c>
      <c r="E562" t="s">
        <v>2439</v>
      </c>
      <c r="F562" t="s">
        <v>2440</v>
      </c>
      <c r="G562" t="s">
        <v>2441</v>
      </c>
      <c r="H562" t="s">
        <v>2442</v>
      </c>
      <c r="I562" t="s">
        <v>2443</v>
      </c>
      <c r="J562" t="s">
        <v>2444</v>
      </c>
    </row>
    <row r="563" spans="1:10">
      <c r="A563" t="s">
        <v>2445</v>
      </c>
      <c r="B563" s="122">
        <v>8</v>
      </c>
      <c r="C563" t="s">
        <v>1433</v>
      </c>
      <c r="D563" t="str">
        <f t="shared" ref="D563:D577" si="15">IFERROR(REPLACE(C563,FIND(" GiB",C563,1),4,),C563)</f>
        <v>56</v>
      </c>
      <c r="E563" t="s">
        <v>1900</v>
      </c>
      <c r="F563" t="s">
        <v>2446</v>
      </c>
      <c r="G563" t="s">
        <v>2447</v>
      </c>
      <c r="H563" t="s">
        <v>2448</v>
      </c>
      <c r="I563" t="s">
        <v>2449</v>
      </c>
    </row>
    <row r="564" spans="1:10">
      <c r="A564" t="s">
        <v>2450</v>
      </c>
      <c r="B564" s="122">
        <v>8</v>
      </c>
      <c r="C564" t="s">
        <v>1445</v>
      </c>
      <c r="D564" t="str">
        <f t="shared" si="15"/>
        <v>112</v>
      </c>
      <c r="E564" t="s">
        <v>1900</v>
      </c>
      <c r="F564" t="s">
        <v>2451</v>
      </c>
      <c r="G564" t="s">
        <v>2452</v>
      </c>
      <c r="H564" t="s">
        <v>2453</v>
      </c>
      <c r="I564" t="s">
        <v>2454</v>
      </c>
    </row>
    <row r="565" spans="1:10">
      <c r="A565" t="s">
        <v>2455</v>
      </c>
      <c r="B565" s="122">
        <v>16</v>
      </c>
      <c r="C565" t="s">
        <v>1445</v>
      </c>
      <c r="D565" t="str">
        <f t="shared" si="15"/>
        <v>112</v>
      </c>
      <c r="E565" t="s">
        <v>2001</v>
      </c>
      <c r="F565" t="s">
        <v>2456</v>
      </c>
      <c r="G565" t="s">
        <v>2457</v>
      </c>
      <c r="H565" t="s">
        <v>2458</v>
      </c>
      <c r="I565" t="s">
        <v>2459</v>
      </c>
    </row>
    <row r="566" spans="1:10">
      <c r="A566" t="s">
        <v>2460</v>
      </c>
      <c r="B566" s="122">
        <v>16</v>
      </c>
      <c r="C566" t="s">
        <v>1445</v>
      </c>
      <c r="D566" t="str">
        <f t="shared" si="15"/>
        <v>112</v>
      </c>
      <c r="E566" t="s">
        <v>2001</v>
      </c>
      <c r="F566" t="s">
        <v>2461</v>
      </c>
      <c r="G566" t="s">
        <v>2462</v>
      </c>
      <c r="H566" t="s">
        <v>2463</v>
      </c>
      <c r="I566" t="s">
        <v>2464</v>
      </c>
    </row>
    <row r="567" spans="1:10">
      <c r="A567" t="s">
        <v>2465</v>
      </c>
      <c r="B567" s="122">
        <v>16</v>
      </c>
      <c r="C567" t="s">
        <v>1913</v>
      </c>
      <c r="D567" t="str">
        <f t="shared" si="15"/>
        <v>224</v>
      </c>
      <c r="E567" t="s">
        <v>2001</v>
      </c>
      <c r="F567" t="s">
        <v>2466</v>
      </c>
      <c r="G567" t="s">
        <v>2467</v>
      </c>
      <c r="H567" t="s">
        <v>2468</v>
      </c>
      <c r="I567" t="s">
        <v>2469</v>
      </c>
    </row>
    <row r="568" spans="1:10">
      <c r="A568" t="s">
        <v>2470</v>
      </c>
      <c r="B568" s="122">
        <v>16</v>
      </c>
      <c r="C568" t="s">
        <v>1913</v>
      </c>
      <c r="D568" t="str">
        <f t="shared" si="15"/>
        <v>224</v>
      </c>
      <c r="E568" t="s">
        <v>2001</v>
      </c>
      <c r="F568" t="s">
        <v>2471</v>
      </c>
      <c r="G568" t="s">
        <v>2472</v>
      </c>
      <c r="H568" t="s">
        <v>2473</v>
      </c>
      <c r="I568" t="s">
        <v>2474</v>
      </c>
    </row>
    <row r="569" spans="1:10">
      <c r="A569" t="s">
        <v>2475</v>
      </c>
      <c r="B569" s="122">
        <v>8</v>
      </c>
      <c r="C569" t="s">
        <v>1433</v>
      </c>
      <c r="D569" t="str">
        <f t="shared" si="15"/>
        <v>56</v>
      </c>
      <c r="E569" t="s">
        <v>1900</v>
      </c>
      <c r="F569" t="s">
        <v>2476</v>
      </c>
      <c r="G569" t="s">
        <v>1082</v>
      </c>
      <c r="H569" t="s">
        <v>1082</v>
      </c>
      <c r="I569" t="s">
        <v>1082</v>
      </c>
    </row>
    <row r="570" spans="1:10">
      <c r="A570" t="s">
        <v>2477</v>
      </c>
      <c r="B570" s="122">
        <v>8</v>
      </c>
      <c r="C570" t="s">
        <v>1445</v>
      </c>
      <c r="D570" t="str">
        <f t="shared" si="15"/>
        <v>112</v>
      </c>
      <c r="E570" t="s">
        <v>1900</v>
      </c>
      <c r="F570" t="s">
        <v>2478</v>
      </c>
      <c r="G570" t="s">
        <v>1082</v>
      </c>
      <c r="H570" t="s">
        <v>1082</v>
      </c>
      <c r="I570" t="s">
        <v>1082</v>
      </c>
    </row>
    <row r="571" spans="1:10">
      <c r="A571" t="s">
        <v>2479</v>
      </c>
      <c r="B571" s="122">
        <v>16</v>
      </c>
      <c r="C571" t="s">
        <v>1445</v>
      </c>
      <c r="D571" t="str">
        <f t="shared" si="15"/>
        <v>112</v>
      </c>
      <c r="E571" t="s">
        <v>2001</v>
      </c>
      <c r="F571" t="s">
        <v>2480</v>
      </c>
      <c r="G571" t="s">
        <v>1082</v>
      </c>
      <c r="H571" t="s">
        <v>1082</v>
      </c>
      <c r="I571" t="s">
        <v>1082</v>
      </c>
    </row>
    <row r="572" spans="1:10">
      <c r="A572" t="s">
        <v>2481</v>
      </c>
      <c r="B572" s="122">
        <v>16</v>
      </c>
      <c r="C572" t="s">
        <v>1445</v>
      </c>
      <c r="D572" t="str">
        <f t="shared" si="15"/>
        <v>112</v>
      </c>
      <c r="E572" t="s">
        <v>2001</v>
      </c>
      <c r="F572" t="s">
        <v>2358</v>
      </c>
      <c r="G572" t="s">
        <v>1082</v>
      </c>
      <c r="H572" t="s">
        <v>1082</v>
      </c>
      <c r="I572" t="s">
        <v>1082</v>
      </c>
    </row>
    <row r="573" spans="1:10">
      <c r="A573" t="s">
        <v>2482</v>
      </c>
      <c r="B573" s="122">
        <v>16</v>
      </c>
      <c r="C573" t="s">
        <v>1913</v>
      </c>
      <c r="D573" t="str">
        <f t="shared" si="15"/>
        <v>224</v>
      </c>
      <c r="E573" t="s">
        <v>2001</v>
      </c>
      <c r="F573" t="s">
        <v>2483</v>
      </c>
      <c r="G573" t="s">
        <v>1082</v>
      </c>
      <c r="H573" t="s">
        <v>1082</v>
      </c>
      <c r="I573" t="s">
        <v>1082</v>
      </c>
    </row>
    <row r="574" spans="1:10">
      <c r="A574" t="s">
        <v>2484</v>
      </c>
      <c r="B574" s="122">
        <v>16</v>
      </c>
      <c r="C574" t="s">
        <v>1913</v>
      </c>
      <c r="D574" t="str">
        <f t="shared" si="15"/>
        <v>224</v>
      </c>
      <c r="E574" t="s">
        <v>2001</v>
      </c>
      <c r="F574" t="s">
        <v>2485</v>
      </c>
      <c r="G574" t="s">
        <v>1082</v>
      </c>
      <c r="H574" t="s">
        <v>1082</v>
      </c>
      <c r="I574" t="s">
        <v>1082</v>
      </c>
    </row>
    <row r="575" spans="1:10">
      <c r="A575" t="s">
        <v>2486</v>
      </c>
      <c r="B575" s="122">
        <v>60</v>
      </c>
      <c r="C575" t="s">
        <v>2487</v>
      </c>
      <c r="D575" t="str">
        <f t="shared" si="15"/>
        <v>228</v>
      </c>
      <c r="E575" t="s">
        <v>2414</v>
      </c>
      <c r="F575" t="s">
        <v>2488</v>
      </c>
      <c r="G575" t="s">
        <v>2489</v>
      </c>
      <c r="H575" t="s">
        <v>2490</v>
      </c>
      <c r="I575" t="s">
        <v>2491</v>
      </c>
    </row>
    <row r="576" spans="1:10">
      <c r="A576" t="s">
        <v>2492</v>
      </c>
      <c r="B576" s="122">
        <v>120</v>
      </c>
      <c r="C576" t="s">
        <v>2493</v>
      </c>
      <c r="D576" t="str">
        <f t="shared" si="15"/>
        <v>456</v>
      </c>
      <c r="E576" t="s">
        <v>2438</v>
      </c>
      <c r="F576" t="s">
        <v>2494</v>
      </c>
      <c r="G576" t="s">
        <v>2495</v>
      </c>
      <c r="H576" t="s">
        <v>2496</v>
      </c>
      <c r="I576" t="s">
        <v>2497</v>
      </c>
    </row>
    <row r="577" spans="1:9">
      <c r="A577" t="s">
        <v>2498</v>
      </c>
      <c r="B577" s="122">
        <v>120</v>
      </c>
      <c r="C577" t="s">
        <v>1936</v>
      </c>
      <c r="D577" t="str">
        <f t="shared" si="15"/>
        <v>448</v>
      </c>
      <c r="E577" t="s">
        <v>2499</v>
      </c>
      <c r="F577" t="s">
        <v>2494</v>
      </c>
      <c r="G577" t="s">
        <v>2495</v>
      </c>
      <c r="H577" t="s">
        <v>2496</v>
      </c>
      <c r="I577" t="s">
        <v>2500</v>
      </c>
    </row>
    <row r="578" spans="1:9">
      <c r="A578" t="s">
        <v>2501</v>
      </c>
      <c r="B578" s="122" t="s">
        <v>2502</v>
      </c>
      <c r="C578" t="s">
        <v>1936</v>
      </c>
      <c r="E578" t="s">
        <v>2499</v>
      </c>
      <c r="F578" t="s">
        <v>2494</v>
      </c>
      <c r="G578" t="s">
        <v>2495</v>
      </c>
      <c r="H578" t="s">
        <v>2496</v>
      </c>
      <c r="I578" t="s">
        <v>2500</v>
      </c>
    </row>
    <row r="579" spans="1:9">
      <c r="A579" t="s">
        <v>2503</v>
      </c>
      <c r="B579" s="122" t="s">
        <v>2504</v>
      </c>
      <c r="C579" t="s">
        <v>1936</v>
      </c>
      <c r="E579" t="s">
        <v>2499</v>
      </c>
      <c r="F579" t="s">
        <v>2494</v>
      </c>
      <c r="G579" t="s">
        <v>2495</v>
      </c>
      <c r="H579" t="s">
        <v>2496</v>
      </c>
      <c r="I579" t="s">
        <v>2500</v>
      </c>
    </row>
    <row r="580" spans="1:9">
      <c r="A580" t="s">
        <v>2505</v>
      </c>
      <c r="B580" s="122" t="s">
        <v>2506</v>
      </c>
      <c r="C580" t="s">
        <v>1936</v>
      </c>
      <c r="E580" t="s">
        <v>2499</v>
      </c>
      <c r="F580" t="s">
        <v>2494</v>
      </c>
      <c r="G580" t="s">
        <v>2495</v>
      </c>
      <c r="H580" t="s">
        <v>2496</v>
      </c>
      <c r="I580" t="s">
        <v>2500</v>
      </c>
    </row>
    <row r="581" spans="1:9">
      <c r="A581" t="s">
        <v>2507</v>
      </c>
      <c r="B581" s="122" t="s">
        <v>2508</v>
      </c>
      <c r="C581" t="s">
        <v>1936</v>
      </c>
      <c r="E581" t="s">
        <v>2499</v>
      </c>
      <c r="F581" t="s">
        <v>2494</v>
      </c>
      <c r="G581" t="s">
        <v>2495</v>
      </c>
      <c r="H581" t="s">
        <v>2496</v>
      </c>
      <c r="I581" t="s">
        <v>2500</v>
      </c>
    </row>
    <row r="582" spans="1:9">
      <c r="A582" t="s">
        <v>2509</v>
      </c>
      <c r="B582" s="122">
        <v>44</v>
      </c>
      <c r="C582" t="s">
        <v>2407</v>
      </c>
      <c r="E582" t="s">
        <v>2414</v>
      </c>
      <c r="F582" t="s">
        <v>2510</v>
      </c>
      <c r="G582" t="s">
        <v>2511</v>
      </c>
      <c r="H582" t="s">
        <v>2512</v>
      </c>
      <c r="I582" t="s">
        <v>2513</v>
      </c>
    </row>
  </sheetData>
  <autoFilter ref="A1:K582" xr:uid="{BC989B70-BCAF-49D9-A9CD-4DA172E27EC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H181"/>
  <sheetViews>
    <sheetView workbookViewId="0">
      <selection activeCell="Q13" sqref="Q13"/>
    </sheetView>
  </sheetViews>
  <sheetFormatPr defaultRowHeight="14.5"/>
  <cols>
    <col min="1" max="1" width="30" bestFit="1" customWidth="1"/>
    <col min="2" max="2" width="27.81640625" bestFit="1" customWidth="1"/>
    <col min="3" max="3" width="25.54296875" bestFit="1" customWidth="1"/>
  </cols>
  <sheetData>
    <row r="1" spans="1:8">
      <c r="A1" t="s">
        <v>2514</v>
      </c>
      <c r="B1" t="s">
        <v>2515</v>
      </c>
      <c r="C1" t="s">
        <v>2516</v>
      </c>
      <c r="D1" t="s">
        <v>2517</v>
      </c>
      <c r="E1" t="s">
        <v>2518</v>
      </c>
      <c r="F1" t="s">
        <v>2519</v>
      </c>
      <c r="G1" t="s">
        <v>2520</v>
      </c>
      <c r="H1" t="s">
        <v>2521</v>
      </c>
    </row>
    <row r="2" spans="1:8">
      <c r="A2" t="s">
        <v>2522</v>
      </c>
      <c r="B2" t="s">
        <v>2522</v>
      </c>
      <c r="C2" t="s">
        <v>2523</v>
      </c>
      <c r="D2">
        <v>86.362353021693934</v>
      </c>
      <c r="E2">
        <v>99.989207847212683</v>
      </c>
      <c r="F2">
        <v>100</v>
      </c>
      <c r="G2" t="s">
        <v>2524</v>
      </c>
      <c r="H2" t="s">
        <v>2525</v>
      </c>
    </row>
    <row r="3" spans="1:8">
      <c r="A3" t="s">
        <v>2526</v>
      </c>
      <c r="B3" t="s">
        <v>2526</v>
      </c>
      <c r="C3" t="s">
        <v>2523</v>
      </c>
      <c r="D3">
        <v>85.581940314946394</v>
      </c>
      <c r="E3">
        <v>100</v>
      </c>
      <c r="F3">
        <v>100</v>
      </c>
      <c r="G3" t="s">
        <v>2527</v>
      </c>
      <c r="H3" t="s">
        <v>2528</v>
      </c>
    </row>
    <row r="4" spans="1:8">
      <c r="A4" t="s">
        <v>2529</v>
      </c>
      <c r="B4" t="s">
        <v>2529</v>
      </c>
      <c r="C4" t="s">
        <v>2523</v>
      </c>
      <c r="D4">
        <v>82.839597759504727</v>
      </c>
      <c r="E4">
        <v>99.988095483959654</v>
      </c>
      <c r="F4">
        <v>100</v>
      </c>
      <c r="G4" t="s">
        <v>2530</v>
      </c>
      <c r="H4" t="s">
        <v>2531</v>
      </c>
    </row>
    <row r="5" spans="1:8">
      <c r="A5" t="s">
        <v>2532</v>
      </c>
      <c r="B5" t="s">
        <v>2532</v>
      </c>
      <c r="C5" t="s">
        <v>2523</v>
      </c>
      <c r="D5">
        <v>81.259366537855087</v>
      </c>
      <c r="E5">
        <v>99.988144880917858</v>
      </c>
      <c r="F5">
        <v>100</v>
      </c>
      <c r="G5" t="s">
        <v>2533</v>
      </c>
      <c r="H5" t="s">
        <v>2534</v>
      </c>
    </row>
    <row r="6" spans="1:8">
      <c r="A6" t="s">
        <v>2535</v>
      </c>
      <c r="B6" t="s">
        <v>2535</v>
      </c>
      <c r="C6" t="s">
        <v>2523</v>
      </c>
      <c r="D6">
        <v>80.64761326033269</v>
      </c>
      <c r="E6">
        <v>99.976581101190462</v>
      </c>
      <c r="F6">
        <v>100</v>
      </c>
      <c r="G6" t="s">
        <v>2536</v>
      </c>
      <c r="H6" t="s">
        <v>2537</v>
      </c>
    </row>
    <row r="7" spans="1:8">
      <c r="A7" t="s">
        <v>2538</v>
      </c>
      <c r="B7" t="s">
        <v>2538</v>
      </c>
      <c r="C7" t="s">
        <v>2523</v>
      </c>
      <c r="D7">
        <v>79.224302509974152</v>
      </c>
      <c r="E7">
        <v>99.838833567792861</v>
      </c>
      <c r="F7">
        <v>100</v>
      </c>
      <c r="G7" t="s">
        <v>2539</v>
      </c>
      <c r="H7" t="s">
        <v>2540</v>
      </c>
    </row>
    <row r="8" spans="1:8">
      <c r="A8" t="s">
        <v>2541</v>
      </c>
      <c r="B8" t="s">
        <v>2541</v>
      </c>
      <c r="C8" t="s">
        <v>2523</v>
      </c>
      <c r="D8">
        <v>78.700748997709155</v>
      </c>
      <c r="E8">
        <v>99.856615137266729</v>
      </c>
      <c r="F8">
        <v>100</v>
      </c>
      <c r="G8" t="s">
        <v>2542</v>
      </c>
      <c r="H8" t="s">
        <v>2543</v>
      </c>
    </row>
    <row r="9" spans="1:8">
      <c r="A9" t="s">
        <v>2544</v>
      </c>
      <c r="B9" t="s">
        <v>2544</v>
      </c>
      <c r="C9" t="s">
        <v>2523</v>
      </c>
      <c r="D9">
        <v>77.842665377137536</v>
      </c>
      <c r="E9">
        <v>99.731724745472661</v>
      </c>
      <c r="F9">
        <v>100</v>
      </c>
      <c r="G9" t="s">
        <v>2545</v>
      </c>
      <c r="H9" t="s">
        <v>2546</v>
      </c>
    </row>
    <row r="10" spans="1:8">
      <c r="A10" t="s">
        <v>2547</v>
      </c>
      <c r="B10" t="s">
        <v>2547</v>
      </c>
      <c r="C10" t="s">
        <v>2523</v>
      </c>
      <c r="D10">
        <v>77.764769937844619</v>
      </c>
      <c r="E10">
        <v>99.742917387625752</v>
      </c>
      <c r="F10">
        <v>100</v>
      </c>
      <c r="G10" t="s">
        <v>2548</v>
      </c>
      <c r="H10" t="s">
        <v>2549</v>
      </c>
    </row>
    <row r="11" spans="1:8">
      <c r="A11" t="s">
        <v>2550</v>
      </c>
      <c r="B11" t="s">
        <v>2550</v>
      </c>
      <c r="C11" t="s">
        <v>2523</v>
      </c>
      <c r="D11">
        <v>77.413663402290965</v>
      </c>
      <c r="E11">
        <v>99.756395674101441</v>
      </c>
      <c r="F11">
        <v>100</v>
      </c>
      <c r="G11" t="s">
        <v>2551</v>
      </c>
      <c r="H11" t="s">
        <v>2552</v>
      </c>
    </row>
    <row r="12" spans="1:8">
      <c r="A12" t="s">
        <v>2553</v>
      </c>
      <c r="B12" t="s">
        <v>2553</v>
      </c>
      <c r="C12" t="s">
        <v>2523</v>
      </c>
      <c r="D12">
        <v>76.376388572383817</v>
      </c>
      <c r="E12">
        <v>99.727866166169079</v>
      </c>
      <c r="F12">
        <v>100</v>
      </c>
      <c r="G12" t="s">
        <v>2554</v>
      </c>
      <c r="H12" t="s">
        <v>2555</v>
      </c>
    </row>
    <row r="13" spans="1:8">
      <c r="A13" t="s">
        <v>2556</v>
      </c>
      <c r="B13" t="s">
        <v>2556</v>
      </c>
      <c r="C13" t="s">
        <v>2523</v>
      </c>
      <c r="D13">
        <v>76.199344971798538</v>
      </c>
      <c r="E13">
        <v>99.832583958272878</v>
      </c>
      <c r="F13">
        <v>100</v>
      </c>
      <c r="G13" t="s">
        <v>2557</v>
      </c>
      <c r="H13" t="s">
        <v>2558</v>
      </c>
    </row>
    <row r="14" spans="1:8">
      <c r="A14" t="s">
        <v>2559</v>
      </c>
      <c r="B14" t="s">
        <v>2559</v>
      </c>
      <c r="C14" t="s">
        <v>2523</v>
      </c>
      <c r="D14">
        <v>74.508202498856534</v>
      </c>
      <c r="E14">
        <v>99.608419227020363</v>
      </c>
      <c r="F14">
        <v>100</v>
      </c>
      <c r="G14" t="s">
        <v>2560</v>
      </c>
      <c r="H14" t="s">
        <v>2561</v>
      </c>
    </row>
    <row r="15" spans="1:8">
      <c r="A15" t="s">
        <v>2562</v>
      </c>
      <c r="B15" t="s">
        <v>2562</v>
      </c>
      <c r="C15" t="s">
        <v>2523</v>
      </c>
      <c r="D15">
        <v>74.112653136374007</v>
      </c>
      <c r="E15">
        <v>99.661986112452382</v>
      </c>
      <c r="F15">
        <v>100</v>
      </c>
      <c r="G15" t="s">
        <v>2563</v>
      </c>
      <c r="H15" t="s">
        <v>2564</v>
      </c>
    </row>
    <row r="16" spans="1:8">
      <c r="A16" t="s">
        <v>2565</v>
      </c>
      <c r="B16" t="s">
        <v>363</v>
      </c>
      <c r="C16" t="s">
        <v>2566</v>
      </c>
      <c r="D16">
        <v>73.728853277254359</v>
      </c>
      <c r="E16">
        <v>98.79196933088366</v>
      </c>
      <c r="F16">
        <v>100</v>
      </c>
      <c r="G16" t="s">
        <v>2567</v>
      </c>
    </row>
    <row r="17" spans="1:8">
      <c r="A17" t="s">
        <v>2568</v>
      </c>
      <c r="B17" t="s">
        <v>2568</v>
      </c>
      <c r="C17" t="s">
        <v>2523</v>
      </c>
      <c r="D17">
        <v>72.703074648396168</v>
      </c>
      <c r="E17">
        <v>99.789393068602919</v>
      </c>
      <c r="F17">
        <v>100</v>
      </c>
      <c r="G17" t="s">
        <v>2569</v>
      </c>
      <c r="H17" t="s">
        <v>2570</v>
      </c>
    </row>
    <row r="18" spans="1:8">
      <c r="A18" t="s">
        <v>366</v>
      </c>
      <c r="B18" t="s">
        <v>366</v>
      </c>
      <c r="C18" t="s">
        <v>2566</v>
      </c>
      <c r="D18">
        <v>63.751436628701242</v>
      </c>
      <c r="E18">
        <v>99.990991490621425</v>
      </c>
      <c r="F18">
        <v>100</v>
      </c>
      <c r="G18" t="s">
        <v>2571</v>
      </c>
    </row>
    <row r="19" spans="1:8">
      <c r="A19" t="s">
        <v>2572</v>
      </c>
      <c r="B19" t="s">
        <v>526</v>
      </c>
      <c r="C19" t="s">
        <v>2566</v>
      </c>
      <c r="D19">
        <v>57.00010293931971</v>
      </c>
      <c r="E19">
        <v>91.915094731251415</v>
      </c>
      <c r="F19">
        <v>100</v>
      </c>
      <c r="G19" t="s">
        <v>2573</v>
      </c>
    </row>
    <row r="20" spans="1:8">
      <c r="A20" t="s">
        <v>2574</v>
      </c>
      <c r="B20" t="s">
        <v>359</v>
      </c>
      <c r="C20" t="s">
        <v>2566</v>
      </c>
      <c r="D20">
        <v>56.69498929799299</v>
      </c>
      <c r="E20">
        <v>97.9026406691532</v>
      </c>
      <c r="F20">
        <v>100</v>
      </c>
      <c r="G20" t="s">
        <v>2575</v>
      </c>
    </row>
    <row r="21" spans="1:8">
      <c r="A21" t="s">
        <v>2576</v>
      </c>
      <c r="B21" t="s">
        <v>307</v>
      </c>
      <c r="C21" t="s">
        <v>2566</v>
      </c>
      <c r="D21">
        <v>56.180780461869894</v>
      </c>
      <c r="E21">
        <v>95.091487015415424</v>
      </c>
      <c r="F21">
        <v>100</v>
      </c>
      <c r="G21" t="s">
        <v>2577</v>
      </c>
    </row>
    <row r="22" spans="1:8">
      <c r="A22" t="s">
        <v>2578</v>
      </c>
      <c r="B22" t="s">
        <v>360</v>
      </c>
      <c r="C22" t="s">
        <v>2566</v>
      </c>
      <c r="D22">
        <v>50.007178378322479</v>
      </c>
      <c r="E22">
        <v>93.014053998678918</v>
      </c>
      <c r="F22">
        <v>100</v>
      </c>
      <c r="G22" t="s">
        <v>2579</v>
      </c>
    </row>
    <row r="23" spans="1:8">
      <c r="A23" t="s">
        <v>2580</v>
      </c>
      <c r="B23" t="s">
        <v>362</v>
      </c>
      <c r="C23" t="s">
        <v>2566</v>
      </c>
      <c r="D23">
        <v>41.564583810934735</v>
      </c>
      <c r="E23">
        <v>92.467145974105037</v>
      </c>
      <c r="F23">
        <v>99.987594604492202</v>
      </c>
      <c r="G23" t="s">
        <v>2581</v>
      </c>
    </row>
    <row r="24" spans="1:8">
      <c r="A24" t="s">
        <v>2582</v>
      </c>
      <c r="B24" t="s">
        <v>392</v>
      </c>
      <c r="C24" t="s">
        <v>2566</v>
      </c>
      <c r="D24">
        <v>40.452658125285417</v>
      </c>
      <c r="E24">
        <v>61.123054335079289</v>
      </c>
      <c r="F24">
        <v>100</v>
      </c>
      <c r="G24" t="s">
        <v>2583</v>
      </c>
    </row>
    <row r="25" spans="1:8">
      <c r="A25" t="s">
        <v>2584</v>
      </c>
      <c r="B25" t="s">
        <v>361</v>
      </c>
      <c r="C25" t="s">
        <v>2566</v>
      </c>
      <c r="D25">
        <v>37.982180586766049</v>
      </c>
      <c r="E25">
        <v>86.368487714567962</v>
      </c>
      <c r="F25">
        <v>99.963485717773395</v>
      </c>
      <c r="G25" t="s">
        <v>2585</v>
      </c>
    </row>
    <row r="26" spans="1:8">
      <c r="A26" t="s">
        <v>2586</v>
      </c>
      <c r="B26" t="s">
        <v>519</v>
      </c>
      <c r="C26" t="s">
        <v>2587</v>
      </c>
      <c r="D26">
        <v>36.320690451577327</v>
      </c>
      <c r="E26">
        <v>62.293379757327635</v>
      </c>
      <c r="F26">
        <v>99.811790466308594</v>
      </c>
      <c r="G26" t="s">
        <v>2588</v>
      </c>
      <c r="H26" t="s">
        <v>2589</v>
      </c>
    </row>
    <row r="27" spans="1:8">
      <c r="A27" t="s">
        <v>2590</v>
      </c>
      <c r="B27" t="s">
        <v>495</v>
      </c>
      <c r="C27" t="s">
        <v>2587</v>
      </c>
      <c r="D27">
        <v>36.154584667694813</v>
      </c>
      <c r="E27">
        <v>58.520116144846888</v>
      </c>
      <c r="F27">
        <v>95.505722045898395</v>
      </c>
      <c r="G27" t="s">
        <v>2591</v>
      </c>
      <c r="H27" t="s">
        <v>2592</v>
      </c>
    </row>
    <row r="28" spans="1:8">
      <c r="A28" t="s">
        <v>2593</v>
      </c>
      <c r="B28" t="s">
        <v>654</v>
      </c>
      <c r="C28" t="s">
        <v>2587</v>
      </c>
      <c r="D28">
        <v>33.655699708119428</v>
      </c>
      <c r="E28">
        <v>65.731590757163914</v>
      </c>
      <c r="F28">
        <v>99.976036071777301</v>
      </c>
      <c r="G28" t="s">
        <v>2594</v>
      </c>
      <c r="H28" t="s">
        <v>2595</v>
      </c>
    </row>
    <row r="29" spans="1:8">
      <c r="A29" t="s">
        <v>2596</v>
      </c>
      <c r="B29" t="s">
        <v>315</v>
      </c>
      <c r="C29" t="s">
        <v>2566</v>
      </c>
      <c r="D29">
        <v>32.92628322264278</v>
      </c>
      <c r="E29">
        <v>42.475803726871177</v>
      </c>
      <c r="F29">
        <v>99.556083679199205</v>
      </c>
      <c r="G29" t="s">
        <v>2597</v>
      </c>
    </row>
    <row r="30" spans="1:8">
      <c r="A30" t="s">
        <v>2598</v>
      </c>
      <c r="B30" t="s">
        <v>357</v>
      </c>
      <c r="C30" t="s">
        <v>2566</v>
      </c>
      <c r="D30">
        <v>29.290328560642205</v>
      </c>
      <c r="E30">
        <v>68.718357587975575</v>
      </c>
      <c r="F30">
        <v>99.840972900390597</v>
      </c>
      <c r="G30" t="s">
        <v>2599</v>
      </c>
    </row>
    <row r="31" spans="1:8">
      <c r="A31" t="s">
        <v>2600</v>
      </c>
      <c r="B31" t="s">
        <v>571</v>
      </c>
      <c r="C31" t="s">
        <v>2566</v>
      </c>
      <c r="D31">
        <v>28.572279491007357</v>
      </c>
      <c r="E31">
        <v>66.651313216597927</v>
      </c>
      <c r="F31">
        <v>100</v>
      </c>
      <c r="G31" t="s">
        <v>2601</v>
      </c>
    </row>
    <row r="32" spans="1:8">
      <c r="A32" t="s">
        <v>2602</v>
      </c>
      <c r="B32" t="s">
        <v>388</v>
      </c>
      <c r="C32" t="s">
        <v>2566</v>
      </c>
      <c r="D32">
        <v>27.801807592003577</v>
      </c>
      <c r="E32">
        <v>42.003888716965015</v>
      </c>
      <c r="F32">
        <v>100</v>
      </c>
      <c r="G32" t="s">
        <v>2603</v>
      </c>
    </row>
    <row r="33" spans="1:8">
      <c r="A33" t="s">
        <v>2604</v>
      </c>
      <c r="B33" t="s">
        <v>396</v>
      </c>
      <c r="C33" t="s">
        <v>2566</v>
      </c>
      <c r="D33">
        <v>26.457324019541247</v>
      </c>
      <c r="E33">
        <v>39.64024844181494</v>
      </c>
      <c r="F33">
        <v>99.624114990234403</v>
      </c>
      <c r="G33" t="s">
        <v>2605</v>
      </c>
    </row>
    <row r="34" spans="1:8">
      <c r="A34" t="s">
        <v>521</v>
      </c>
      <c r="B34" t="s">
        <v>521</v>
      </c>
      <c r="C34" t="s">
        <v>2566</v>
      </c>
      <c r="D34">
        <v>25.571516712467417</v>
      </c>
      <c r="E34">
        <v>30.413172995620652</v>
      </c>
      <c r="F34">
        <v>94.4444444444444</v>
      </c>
      <c r="G34" t="s">
        <v>2606</v>
      </c>
    </row>
    <row r="35" spans="1:8">
      <c r="A35" t="s">
        <v>2607</v>
      </c>
      <c r="B35" t="s">
        <v>2607</v>
      </c>
      <c r="C35" t="s">
        <v>2566</v>
      </c>
      <c r="D35">
        <v>25.16648430988273</v>
      </c>
      <c r="E35">
        <v>27.736450101067035</v>
      </c>
      <c r="F35">
        <v>88.868637084960895</v>
      </c>
      <c r="G35" t="s">
        <v>2608</v>
      </c>
    </row>
    <row r="36" spans="1:8">
      <c r="A36" t="s">
        <v>2609</v>
      </c>
      <c r="B36" t="s">
        <v>397</v>
      </c>
      <c r="C36" t="s">
        <v>2566</v>
      </c>
      <c r="D36">
        <v>23.213238033481584</v>
      </c>
      <c r="E36">
        <v>38.429496387453348</v>
      </c>
      <c r="F36">
        <v>99.886711120605497</v>
      </c>
      <c r="G36" t="s">
        <v>2610</v>
      </c>
    </row>
    <row r="37" spans="1:8">
      <c r="A37" t="s">
        <v>2611</v>
      </c>
      <c r="B37" t="s">
        <v>320</v>
      </c>
      <c r="C37" t="s">
        <v>2566</v>
      </c>
      <c r="D37">
        <v>22.387742183494261</v>
      </c>
      <c r="E37">
        <v>35.712569401500801</v>
      </c>
      <c r="F37">
        <v>99.858436584472699</v>
      </c>
      <c r="G37" t="s">
        <v>2612</v>
      </c>
    </row>
    <row r="38" spans="1:8">
      <c r="A38" t="s">
        <v>2613</v>
      </c>
      <c r="B38" t="s">
        <v>318</v>
      </c>
      <c r="C38" t="s">
        <v>2566</v>
      </c>
      <c r="D38">
        <v>20.604877690999171</v>
      </c>
      <c r="E38">
        <v>33.7822012680505</v>
      </c>
      <c r="F38">
        <v>100</v>
      </c>
      <c r="G38" t="s">
        <v>2614</v>
      </c>
    </row>
    <row r="39" spans="1:8">
      <c r="A39" t="s">
        <v>449</v>
      </c>
      <c r="B39" t="s">
        <v>449</v>
      </c>
      <c r="C39" t="s">
        <v>2566</v>
      </c>
      <c r="D39">
        <v>20.236500860470748</v>
      </c>
      <c r="E39">
        <v>28.866645598885707</v>
      </c>
      <c r="F39">
        <v>87.328131820176495</v>
      </c>
      <c r="G39" t="s">
        <v>2615</v>
      </c>
    </row>
    <row r="40" spans="1:8">
      <c r="A40" t="s">
        <v>352</v>
      </c>
      <c r="B40" t="s">
        <v>352</v>
      </c>
      <c r="C40" t="s">
        <v>2566</v>
      </c>
      <c r="D40">
        <v>19.7818768721048</v>
      </c>
      <c r="E40">
        <v>45.330526351739778</v>
      </c>
      <c r="F40">
        <v>100</v>
      </c>
      <c r="G40" t="s">
        <v>2616</v>
      </c>
    </row>
    <row r="41" spans="1:8">
      <c r="A41" t="s">
        <v>2617</v>
      </c>
      <c r="B41" t="s">
        <v>679</v>
      </c>
      <c r="C41" t="s">
        <v>2566</v>
      </c>
      <c r="D41">
        <v>19.728538292354607</v>
      </c>
      <c r="E41">
        <v>47.67467027571395</v>
      </c>
      <c r="F41">
        <v>93.175148010253906</v>
      </c>
      <c r="G41" t="s">
        <v>2618</v>
      </c>
    </row>
    <row r="42" spans="1:8">
      <c r="A42" t="s">
        <v>2619</v>
      </c>
      <c r="B42" t="s">
        <v>657</v>
      </c>
      <c r="C42" t="s">
        <v>2566</v>
      </c>
      <c r="D42">
        <v>19.020235805241843</v>
      </c>
      <c r="E42">
        <v>41.637117384682327</v>
      </c>
      <c r="F42">
        <v>99.998725891113295</v>
      </c>
      <c r="G42" t="s">
        <v>2620</v>
      </c>
    </row>
    <row r="43" spans="1:8">
      <c r="A43" t="s">
        <v>2621</v>
      </c>
      <c r="B43" t="s">
        <v>561</v>
      </c>
      <c r="C43" t="s">
        <v>2566</v>
      </c>
      <c r="D43">
        <v>18.490374090578868</v>
      </c>
      <c r="E43">
        <v>21.314428312648129</v>
      </c>
      <c r="F43">
        <v>98.390205383300795</v>
      </c>
      <c r="G43" t="s">
        <v>2622</v>
      </c>
    </row>
    <row r="44" spans="1:8">
      <c r="A44" t="s">
        <v>467</v>
      </c>
      <c r="B44" t="s">
        <v>467</v>
      </c>
      <c r="C44" t="s">
        <v>2587</v>
      </c>
      <c r="D44">
        <v>17.349447343032384</v>
      </c>
      <c r="E44">
        <v>27.386708599588072</v>
      </c>
      <c r="F44">
        <v>100</v>
      </c>
      <c r="G44" t="s">
        <v>2623</v>
      </c>
      <c r="H44" t="s">
        <v>2624</v>
      </c>
    </row>
    <row r="45" spans="1:8">
      <c r="A45" t="s">
        <v>2625</v>
      </c>
      <c r="B45" t="s">
        <v>476</v>
      </c>
      <c r="C45" t="s">
        <v>2566</v>
      </c>
      <c r="D45">
        <v>16.531325576989556</v>
      </c>
      <c r="E45">
        <v>67.480592081277152</v>
      </c>
      <c r="F45">
        <v>100</v>
      </c>
      <c r="G45" t="s">
        <v>2626</v>
      </c>
    </row>
    <row r="46" spans="1:8">
      <c r="A46" t="s">
        <v>2627</v>
      </c>
      <c r="B46" t="s">
        <v>562</v>
      </c>
      <c r="C46" t="s">
        <v>2566</v>
      </c>
      <c r="D46">
        <v>16.425270516389904</v>
      </c>
      <c r="E46">
        <v>20.124767867758273</v>
      </c>
      <c r="F46">
        <v>98.742256164550795</v>
      </c>
      <c r="G46" t="s">
        <v>2628</v>
      </c>
    </row>
    <row r="47" spans="1:8">
      <c r="A47" t="s">
        <v>2629</v>
      </c>
      <c r="B47" t="s">
        <v>322</v>
      </c>
      <c r="C47" t="s">
        <v>2566</v>
      </c>
      <c r="D47">
        <v>16.333011582184646</v>
      </c>
      <c r="E47">
        <v>24.978400007962147</v>
      </c>
      <c r="F47">
        <v>96.483566284179702</v>
      </c>
      <c r="G47" t="s">
        <v>2630</v>
      </c>
    </row>
    <row r="48" spans="1:8">
      <c r="A48" t="s">
        <v>2631</v>
      </c>
      <c r="B48" t="s">
        <v>373</v>
      </c>
      <c r="C48" t="s">
        <v>2566</v>
      </c>
      <c r="D48">
        <v>15.793678031017176</v>
      </c>
      <c r="E48">
        <v>33.490450018058155</v>
      </c>
      <c r="F48">
        <v>79.948760986328097</v>
      </c>
      <c r="G48" t="s">
        <v>2632</v>
      </c>
    </row>
    <row r="49" spans="1:8">
      <c r="A49" t="s">
        <v>2633</v>
      </c>
      <c r="B49" t="s">
        <v>559</v>
      </c>
      <c r="C49" t="s">
        <v>2566</v>
      </c>
      <c r="D49">
        <v>15.296825557264663</v>
      </c>
      <c r="E49">
        <v>18.298320239285442</v>
      </c>
      <c r="F49">
        <v>99.770500183105497</v>
      </c>
      <c r="G49" t="s">
        <v>2634</v>
      </c>
    </row>
    <row r="50" spans="1:8">
      <c r="A50" t="s">
        <v>2635</v>
      </c>
      <c r="B50" t="s">
        <v>488</v>
      </c>
      <c r="C50" t="s">
        <v>2566</v>
      </c>
      <c r="D50">
        <v>15.088998021417227</v>
      </c>
      <c r="E50">
        <v>44.350333884678669</v>
      </c>
      <c r="F50">
        <v>98.358688354492202</v>
      </c>
      <c r="G50" t="s">
        <v>2636</v>
      </c>
    </row>
    <row r="51" spans="1:8">
      <c r="A51" t="s">
        <v>2637</v>
      </c>
      <c r="B51" t="s">
        <v>365</v>
      </c>
      <c r="C51" t="s">
        <v>2566</v>
      </c>
      <c r="D51">
        <v>14.743746358632093</v>
      </c>
      <c r="E51">
        <v>31.095038278092499</v>
      </c>
      <c r="F51">
        <v>98.522758483886705</v>
      </c>
      <c r="G51" t="s">
        <v>2638</v>
      </c>
    </row>
    <row r="52" spans="1:8">
      <c r="A52" t="s">
        <v>2639</v>
      </c>
      <c r="B52" t="s">
        <v>537</v>
      </c>
      <c r="C52" t="s">
        <v>2566</v>
      </c>
      <c r="D52">
        <v>14.498172998582856</v>
      </c>
      <c r="E52">
        <v>33.025203099400322</v>
      </c>
      <c r="F52">
        <v>47.309719085693402</v>
      </c>
      <c r="G52" t="s">
        <v>2640</v>
      </c>
    </row>
    <row r="53" spans="1:8">
      <c r="A53" t="s">
        <v>2641</v>
      </c>
      <c r="B53" t="s">
        <v>510</v>
      </c>
      <c r="C53" t="s">
        <v>2566</v>
      </c>
      <c r="D53">
        <v>14.157140588620683</v>
      </c>
      <c r="E53">
        <v>35.364827485486011</v>
      </c>
      <c r="F53">
        <v>99.207557678222699</v>
      </c>
      <c r="G53" t="s">
        <v>2642</v>
      </c>
    </row>
    <row r="54" spans="1:8">
      <c r="A54" t="s">
        <v>2643</v>
      </c>
      <c r="B54" t="s">
        <v>451</v>
      </c>
      <c r="C54" t="s">
        <v>2566</v>
      </c>
      <c r="D54">
        <v>13.989078124412874</v>
      </c>
      <c r="E54">
        <v>29.370624031880521</v>
      </c>
      <c r="F54">
        <v>81.000190734863295</v>
      </c>
      <c r="G54" t="s">
        <v>2644</v>
      </c>
    </row>
    <row r="55" spans="1:8">
      <c r="A55" t="s">
        <v>2645</v>
      </c>
      <c r="B55" t="s">
        <v>532</v>
      </c>
      <c r="C55" t="s">
        <v>2566</v>
      </c>
      <c r="D55">
        <v>13.871191110144094</v>
      </c>
      <c r="E55">
        <v>55.464744409140785</v>
      </c>
      <c r="F55">
        <v>100</v>
      </c>
      <c r="G55" t="s">
        <v>2646</v>
      </c>
    </row>
    <row r="56" spans="1:8">
      <c r="A56" t="s">
        <v>2647</v>
      </c>
      <c r="B56" t="s">
        <v>574</v>
      </c>
      <c r="C56" t="s">
        <v>2566</v>
      </c>
      <c r="D56">
        <v>12.182389537120464</v>
      </c>
      <c r="E56">
        <v>15.746343821132829</v>
      </c>
      <c r="F56">
        <v>97.066757202148395</v>
      </c>
      <c r="G56" t="s">
        <v>2648</v>
      </c>
    </row>
    <row r="57" spans="1:8">
      <c r="A57" t="s">
        <v>2649</v>
      </c>
      <c r="B57" t="s">
        <v>529</v>
      </c>
      <c r="C57" t="s">
        <v>2566</v>
      </c>
      <c r="D57">
        <v>12.145418375672943</v>
      </c>
      <c r="E57">
        <v>55.888190319975465</v>
      </c>
      <c r="F57">
        <v>100</v>
      </c>
      <c r="G57" t="s">
        <v>2650</v>
      </c>
    </row>
    <row r="58" spans="1:8">
      <c r="A58" t="s">
        <v>2651</v>
      </c>
      <c r="B58" t="s">
        <v>661</v>
      </c>
      <c r="C58" t="s">
        <v>2566</v>
      </c>
      <c r="D58">
        <v>11.443069775918012</v>
      </c>
      <c r="E58">
        <v>27.25850212122203</v>
      </c>
      <c r="F58">
        <v>99.996414184570298</v>
      </c>
      <c r="G58" t="s">
        <v>2652</v>
      </c>
    </row>
    <row r="59" spans="1:8">
      <c r="A59" t="s">
        <v>551</v>
      </c>
      <c r="B59" t="s">
        <v>551</v>
      </c>
      <c r="C59" t="s">
        <v>2566</v>
      </c>
      <c r="D59">
        <v>9.6653763958328813</v>
      </c>
      <c r="E59">
        <v>20.159452778241526</v>
      </c>
      <c r="F59">
        <v>81.694717546448601</v>
      </c>
      <c r="G59" t="s">
        <v>2653</v>
      </c>
    </row>
    <row r="60" spans="1:8">
      <c r="A60" t="s">
        <v>2654</v>
      </c>
      <c r="B60" t="s">
        <v>542</v>
      </c>
      <c r="C60" t="s">
        <v>2566</v>
      </c>
      <c r="D60">
        <v>9.5491580126188502</v>
      </c>
      <c r="E60">
        <v>17.296502537071934</v>
      </c>
      <c r="F60">
        <v>48.895496368408203</v>
      </c>
      <c r="G60" t="s">
        <v>2655</v>
      </c>
    </row>
    <row r="61" spans="1:8">
      <c r="A61" t="s">
        <v>442</v>
      </c>
      <c r="B61" t="s">
        <v>442</v>
      </c>
      <c r="C61" t="s">
        <v>2587</v>
      </c>
      <c r="D61">
        <v>9.4464962753548143</v>
      </c>
      <c r="E61">
        <v>34.473774574877908</v>
      </c>
      <c r="F61">
        <v>100</v>
      </c>
      <c r="G61" t="s">
        <v>2656</v>
      </c>
      <c r="H61" t="s">
        <v>2657</v>
      </c>
    </row>
    <row r="62" spans="1:8">
      <c r="A62" t="s">
        <v>425</v>
      </c>
      <c r="B62" t="s">
        <v>425</v>
      </c>
      <c r="C62" t="s">
        <v>2566</v>
      </c>
      <c r="D62">
        <v>8.6111517162892302</v>
      </c>
      <c r="E62">
        <v>25.823325875813563</v>
      </c>
      <c r="F62">
        <v>56.480335235595703</v>
      </c>
      <c r="G62" t="s">
        <v>2658</v>
      </c>
    </row>
    <row r="63" spans="1:8">
      <c r="A63" t="s">
        <v>2659</v>
      </c>
      <c r="B63" t="s">
        <v>836</v>
      </c>
      <c r="C63" t="s">
        <v>2587</v>
      </c>
      <c r="D63">
        <v>7.6935375815339437</v>
      </c>
      <c r="E63">
        <v>33.00369869532804</v>
      </c>
      <c r="F63">
        <v>85.442718505859403</v>
      </c>
      <c r="G63" t="s">
        <v>2660</v>
      </c>
      <c r="H63" t="s">
        <v>2661</v>
      </c>
    </row>
    <row r="64" spans="1:8">
      <c r="A64" t="s">
        <v>2662</v>
      </c>
      <c r="B64" t="s">
        <v>2663</v>
      </c>
      <c r="C64" t="s">
        <v>2566</v>
      </c>
      <c r="D64">
        <v>7.2251697757238382</v>
      </c>
      <c r="E64">
        <v>14.106950521180728</v>
      </c>
      <c r="F64">
        <v>49.840633392333999</v>
      </c>
      <c r="G64" t="s">
        <v>2664</v>
      </c>
    </row>
    <row r="65" spans="1:8">
      <c r="A65" t="s">
        <v>2665</v>
      </c>
      <c r="B65" t="s">
        <v>549</v>
      </c>
      <c r="C65" t="s">
        <v>2566</v>
      </c>
      <c r="D65">
        <v>7.1992232882661416</v>
      </c>
      <c r="E65">
        <v>10.096710394750286</v>
      </c>
      <c r="F65">
        <v>90.877967834472699</v>
      </c>
      <c r="G65" t="s">
        <v>2666</v>
      </c>
    </row>
    <row r="66" spans="1:8">
      <c r="A66" t="s">
        <v>2667</v>
      </c>
      <c r="B66" t="s">
        <v>648</v>
      </c>
      <c r="C66" t="s">
        <v>2566</v>
      </c>
      <c r="D66">
        <v>6.9617141894357495</v>
      </c>
      <c r="E66">
        <v>28.266751476871317</v>
      </c>
      <c r="F66">
        <v>61.586936950683601</v>
      </c>
      <c r="G66" t="s">
        <v>2668</v>
      </c>
    </row>
    <row r="67" spans="1:8">
      <c r="A67" t="s">
        <v>2669</v>
      </c>
      <c r="B67" t="s">
        <v>619</v>
      </c>
      <c r="C67" t="s">
        <v>2566</v>
      </c>
      <c r="D67">
        <v>6.8041982889243009</v>
      </c>
      <c r="E67">
        <v>16.154937681158405</v>
      </c>
      <c r="F67">
        <v>99.917572021484403</v>
      </c>
      <c r="G67" t="s">
        <v>2670</v>
      </c>
    </row>
    <row r="68" spans="1:8">
      <c r="A68" t="s">
        <v>513</v>
      </c>
      <c r="B68" t="s">
        <v>513</v>
      </c>
      <c r="C68" t="s">
        <v>2566</v>
      </c>
      <c r="D68">
        <v>6.5942250541562162</v>
      </c>
      <c r="E68">
        <v>11.853504406696965</v>
      </c>
      <c r="F68">
        <v>72.833333333643793</v>
      </c>
      <c r="G68" t="s">
        <v>2671</v>
      </c>
    </row>
    <row r="69" spans="1:8">
      <c r="A69" t="s">
        <v>2672</v>
      </c>
      <c r="B69" t="s">
        <v>834</v>
      </c>
      <c r="C69" t="s">
        <v>2587</v>
      </c>
      <c r="D69">
        <v>6.5750332504713773</v>
      </c>
      <c r="E69">
        <v>28.462613980016354</v>
      </c>
      <c r="F69">
        <v>78.933624267578097</v>
      </c>
      <c r="G69" t="s">
        <v>2673</v>
      </c>
      <c r="H69" t="s">
        <v>2674</v>
      </c>
    </row>
    <row r="70" spans="1:8">
      <c r="A70" t="s">
        <v>481</v>
      </c>
      <c r="B70" t="s">
        <v>481</v>
      </c>
      <c r="C70" t="s">
        <v>2566</v>
      </c>
      <c r="D70">
        <v>6.4769657883164298</v>
      </c>
      <c r="E70">
        <v>11.517763776059297</v>
      </c>
      <c r="F70">
        <v>76.125000000465704</v>
      </c>
      <c r="G70" t="s">
        <v>2675</v>
      </c>
    </row>
    <row r="71" spans="1:8">
      <c r="A71" t="s">
        <v>2676</v>
      </c>
      <c r="B71" t="s">
        <v>429</v>
      </c>
      <c r="C71" t="s">
        <v>2566</v>
      </c>
      <c r="D71">
        <v>6.4384918586551283</v>
      </c>
      <c r="E71">
        <v>13.295935199518043</v>
      </c>
      <c r="F71">
        <v>99.981224060058594</v>
      </c>
      <c r="G71" t="s">
        <v>2677</v>
      </c>
    </row>
    <row r="72" spans="1:8">
      <c r="A72" t="s">
        <v>516</v>
      </c>
      <c r="B72" t="s">
        <v>516</v>
      </c>
      <c r="C72" t="s">
        <v>2587</v>
      </c>
      <c r="D72">
        <v>6.372234732198752</v>
      </c>
      <c r="E72">
        <v>13.241251304064514</v>
      </c>
      <c r="F72">
        <v>32.952083333317802</v>
      </c>
      <c r="G72" t="s">
        <v>2678</v>
      </c>
      <c r="H72" t="s">
        <v>2679</v>
      </c>
    </row>
    <row r="73" spans="1:8">
      <c r="A73" t="s">
        <v>2680</v>
      </c>
      <c r="B73" t="s">
        <v>471</v>
      </c>
      <c r="C73" t="s">
        <v>2566</v>
      </c>
      <c r="D73">
        <v>6.3352296082806641</v>
      </c>
      <c r="E73">
        <v>33.205592877283323</v>
      </c>
      <c r="F73">
        <v>76.802055358886705</v>
      </c>
      <c r="G73" t="s">
        <v>2681</v>
      </c>
    </row>
    <row r="74" spans="1:8">
      <c r="A74" t="s">
        <v>2682</v>
      </c>
      <c r="B74" t="s">
        <v>2682</v>
      </c>
      <c r="C74" t="s">
        <v>2566</v>
      </c>
      <c r="D74">
        <v>6.2988003854590415</v>
      </c>
      <c r="E74">
        <v>10.894377084815503</v>
      </c>
      <c r="F74">
        <v>49.0083333333314</v>
      </c>
      <c r="G74" t="s">
        <v>2683</v>
      </c>
    </row>
    <row r="75" spans="1:8">
      <c r="A75" t="s">
        <v>576</v>
      </c>
      <c r="B75" t="s">
        <v>576</v>
      </c>
      <c r="C75" t="s">
        <v>2566</v>
      </c>
      <c r="D75">
        <v>6.1377604349883059</v>
      </c>
      <c r="E75">
        <v>19.140147692178878</v>
      </c>
      <c r="F75">
        <v>95.849999999627499</v>
      </c>
      <c r="G75" t="s">
        <v>2684</v>
      </c>
    </row>
    <row r="76" spans="1:8">
      <c r="A76" t="s">
        <v>570</v>
      </c>
      <c r="B76" t="s">
        <v>570</v>
      </c>
      <c r="C76" t="s">
        <v>2566</v>
      </c>
      <c r="D76">
        <v>6.0400424515810789</v>
      </c>
      <c r="E76">
        <v>20.215151320345111</v>
      </c>
      <c r="F76">
        <v>60.187499999883599</v>
      </c>
      <c r="G76" t="s">
        <v>2685</v>
      </c>
    </row>
    <row r="77" spans="1:8">
      <c r="A77" t="s">
        <v>2686</v>
      </c>
      <c r="B77" t="s">
        <v>469</v>
      </c>
      <c r="C77" t="s">
        <v>2587</v>
      </c>
      <c r="D77">
        <v>5.7336861012819238</v>
      </c>
      <c r="E77">
        <v>12.711746522032326</v>
      </c>
      <c r="F77">
        <v>100</v>
      </c>
      <c r="G77" t="s">
        <v>2687</v>
      </c>
      <c r="H77" t="s">
        <v>2688</v>
      </c>
    </row>
    <row r="78" spans="1:8">
      <c r="A78" t="s">
        <v>2689</v>
      </c>
      <c r="B78" t="s">
        <v>437</v>
      </c>
      <c r="C78" t="s">
        <v>2566</v>
      </c>
      <c r="D78">
        <v>5.6015868049914612</v>
      </c>
      <c r="E78">
        <v>11.738713090784227</v>
      </c>
      <c r="F78">
        <v>65.187629699707003</v>
      </c>
      <c r="G78" t="s">
        <v>2690</v>
      </c>
    </row>
    <row r="79" spans="1:8">
      <c r="A79" t="s">
        <v>2691</v>
      </c>
      <c r="B79" t="s">
        <v>378</v>
      </c>
      <c r="C79" t="s">
        <v>2566</v>
      </c>
      <c r="D79">
        <v>5.3121760401692972</v>
      </c>
      <c r="E79">
        <v>12.254259141012842</v>
      </c>
      <c r="F79">
        <v>86.769790649414105</v>
      </c>
      <c r="G79" t="s">
        <v>2692</v>
      </c>
    </row>
    <row r="80" spans="1:8">
      <c r="A80" t="s">
        <v>2693</v>
      </c>
      <c r="B80" t="s">
        <v>573</v>
      </c>
      <c r="C80" t="s">
        <v>2566</v>
      </c>
      <c r="D80">
        <v>5.291247374579072</v>
      </c>
      <c r="E80">
        <v>30.719736513410293</v>
      </c>
      <c r="F80">
        <v>98.209129333496094</v>
      </c>
      <c r="G80" t="s">
        <v>2694</v>
      </c>
    </row>
    <row r="81" spans="1:8">
      <c r="A81" t="s">
        <v>2695</v>
      </c>
      <c r="B81" t="s">
        <v>472</v>
      </c>
      <c r="C81" t="s">
        <v>2587</v>
      </c>
      <c r="D81">
        <v>5.2106321815455789</v>
      </c>
      <c r="E81">
        <v>15.68030681830257</v>
      </c>
      <c r="F81">
        <v>50.724498748779297</v>
      </c>
      <c r="G81" t="s">
        <v>2696</v>
      </c>
      <c r="H81" t="s">
        <v>2697</v>
      </c>
    </row>
    <row r="82" spans="1:8">
      <c r="A82" t="s">
        <v>565</v>
      </c>
      <c r="B82" t="s">
        <v>565</v>
      </c>
      <c r="C82" t="s">
        <v>2566</v>
      </c>
      <c r="D82">
        <v>5.1899316773380884</v>
      </c>
      <c r="E82">
        <v>8.9519859752611595</v>
      </c>
      <c r="F82">
        <v>36.9041666667908</v>
      </c>
      <c r="G82" t="s">
        <v>2698</v>
      </c>
    </row>
    <row r="83" spans="1:8">
      <c r="A83" t="s">
        <v>2699</v>
      </c>
      <c r="B83" t="s">
        <v>524</v>
      </c>
      <c r="C83" t="s">
        <v>2587</v>
      </c>
      <c r="D83">
        <v>5.1032477873693889</v>
      </c>
      <c r="E83">
        <v>10.130969551396289</v>
      </c>
      <c r="F83">
        <v>77.490379333496094</v>
      </c>
      <c r="G83" t="s">
        <v>2700</v>
      </c>
      <c r="H83" t="s">
        <v>2701</v>
      </c>
    </row>
    <row r="84" spans="1:8">
      <c r="A84" t="s">
        <v>2702</v>
      </c>
      <c r="B84" t="s">
        <v>671</v>
      </c>
      <c r="C84" t="s">
        <v>2566</v>
      </c>
      <c r="D84">
        <v>5.0979118211099061</v>
      </c>
      <c r="E84">
        <v>21.548400021996088</v>
      </c>
      <c r="F84">
        <v>64.641883850097699</v>
      </c>
      <c r="G84" t="s">
        <v>2703</v>
      </c>
    </row>
    <row r="85" spans="1:8">
      <c r="A85" t="s">
        <v>2704</v>
      </c>
      <c r="B85" t="s">
        <v>2705</v>
      </c>
      <c r="C85" t="s">
        <v>2566</v>
      </c>
      <c r="D85">
        <v>4.7594513418443789</v>
      </c>
      <c r="E85">
        <v>24.11705010702423</v>
      </c>
      <c r="F85">
        <v>50.806137084960902</v>
      </c>
      <c r="G85" t="s">
        <v>2706</v>
      </c>
    </row>
    <row r="86" spans="1:8">
      <c r="A86" t="s">
        <v>323</v>
      </c>
      <c r="B86" t="s">
        <v>323</v>
      </c>
      <c r="C86" t="s">
        <v>2587</v>
      </c>
      <c r="D86">
        <v>4.6882433162347192</v>
      </c>
      <c r="E86">
        <v>9.2166666666707897</v>
      </c>
      <c r="F86">
        <v>80.4583333333334</v>
      </c>
      <c r="G86" t="s">
        <v>2707</v>
      </c>
      <c r="H86" t="s">
        <v>2708</v>
      </c>
    </row>
    <row r="87" spans="1:8">
      <c r="A87" t="s">
        <v>2709</v>
      </c>
      <c r="B87" t="s">
        <v>522</v>
      </c>
      <c r="C87" t="s">
        <v>2566</v>
      </c>
      <c r="D87">
        <v>4.6588803340992042</v>
      </c>
      <c r="E87">
        <v>10.254593812995818</v>
      </c>
      <c r="F87">
        <v>99.835739135742202</v>
      </c>
      <c r="G87" t="s">
        <v>2710</v>
      </c>
    </row>
    <row r="88" spans="1:8">
      <c r="A88" t="s">
        <v>2711</v>
      </c>
      <c r="B88" t="s">
        <v>557</v>
      </c>
      <c r="C88" t="s">
        <v>2566</v>
      </c>
      <c r="D88">
        <v>4.4808197913130181</v>
      </c>
      <c r="E88">
        <v>8.1005890487898622</v>
      </c>
      <c r="F88">
        <v>86.709915161132798</v>
      </c>
      <c r="G88" t="s">
        <v>2712</v>
      </c>
    </row>
    <row r="89" spans="1:8">
      <c r="A89" t="s">
        <v>2713</v>
      </c>
      <c r="B89" t="s">
        <v>2714</v>
      </c>
      <c r="C89" t="s">
        <v>2566</v>
      </c>
      <c r="D89">
        <v>4.3425274352981296</v>
      </c>
      <c r="E89">
        <v>10.183879682824914</v>
      </c>
      <c r="F89">
        <v>35.027244567871101</v>
      </c>
      <c r="G89" t="s">
        <v>2715</v>
      </c>
    </row>
    <row r="90" spans="1:8">
      <c r="A90" t="s">
        <v>458</v>
      </c>
      <c r="B90" t="s">
        <v>458</v>
      </c>
      <c r="C90" t="s">
        <v>2566</v>
      </c>
      <c r="D90">
        <v>4.3329106962851318</v>
      </c>
      <c r="E90">
        <v>8.8682233937860051</v>
      </c>
      <c r="F90">
        <v>73.416666666550199</v>
      </c>
      <c r="G90" t="s">
        <v>2716</v>
      </c>
    </row>
    <row r="91" spans="1:8">
      <c r="A91" t="s">
        <v>2717</v>
      </c>
      <c r="B91" t="s">
        <v>680</v>
      </c>
      <c r="C91" t="s">
        <v>2566</v>
      </c>
      <c r="D91">
        <v>4.3159774218118407</v>
      </c>
      <c r="E91">
        <v>24.601463181684846</v>
      </c>
      <c r="F91">
        <v>52.489585876464801</v>
      </c>
      <c r="G91" t="s">
        <v>2718</v>
      </c>
    </row>
    <row r="92" spans="1:8">
      <c r="A92" t="s">
        <v>327</v>
      </c>
      <c r="B92" t="s">
        <v>327</v>
      </c>
      <c r="C92" t="s">
        <v>2566</v>
      </c>
      <c r="D92">
        <v>4.2322316253591614</v>
      </c>
      <c r="E92">
        <v>8.9543875543138256</v>
      </c>
      <c r="F92">
        <v>100</v>
      </c>
      <c r="G92" t="s">
        <v>2719</v>
      </c>
    </row>
    <row r="93" spans="1:8">
      <c r="A93" t="s">
        <v>2720</v>
      </c>
      <c r="B93" t="s">
        <v>641</v>
      </c>
      <c r="C93" t="s">
        <v>2566</v>
      </c>
      <c r="D93">
        <v>4.184010647477268</v>
      </c>
      <c r="E93">
        <v>11.141014205201095</v>
      </c>
      <c r="F93">
        <v>100</v>
      </c>
      <c r="G93" t="s">
        <v>2721</v>
      </c>
    </row>
    <row r="94" spans="1:8">
      <c r="A94" t="s">
        <v>555</v>
      </c>
      <c r="B94" t="s">
        <v>555</v>
      </c>
      <c r="C94" t="s">
        <v>2587</v>
      </c>
      <c r="D94">
        <v>4.1542434875731438</v>
      </c>
      <c r="E94">
        <v>8.1753464735793226</v>
      </c>
      <c r="F94">
        <v>68.491666666232007</v>
      </c>
      <c r="G94" t="s">
        <v>2722</v>
      </c>
      <c r="H94" t="s">
        <v>2723</v>
      </c>
    </row>
    <row r="95" spans="1:8">
      <c r="A95" t="s">
        <v>399</v>
      </c>
      <c r="B95" t="s">
        <v>399</v>
      </c>
      <c r="C95" t="s">
        <v>2566</v>
      </c>
      <c r="D95">
        <v>4.1348687661338959</v>
      </c>
      <c r="E95">
        <v>9.6942447461196384</v>
      </c>
      <c r="F95">
        <v>100</v>
      </c>
      <c r="G95" t="s">
        <v>2724</v>
      </c>
    </row>
    <row r="96" spans="1:8">
      <c r="A96" t="s">
        <v>386</v>
      </c>
      <c r="B96" t="s">
        <v>386</v>
      </c>
      <c r="C96" t="s">
        <v>2566</v>
      </c>
      <c r="D96">
        <v>4.1259612528835632</v>
      </c>
      <c r="E96">
        <v>8.6643042957064225</v>
      </c>
      <c r="F96">
        <v>40.166666666676399</v>
      </c>
      <c r="G96" t="s">
        <v>2725</v>
      </c>
    </row>
    <row r="97" spans="1:8">
      <c r="A97" t="s">
        <v>2726</v>
      </c>
      <c r="B97" t="s">
        <v>672</v>
      </c>
      <c r="C97" t="s">
        <v>2566</v>
      </c>
      <c r="D97">
        <v>4.0453814139367648</v>
      </c>
      <c r="E97">
        <v>11.124915034422592</v>
      </c>
      <c r="F97">
        <v>100</v>
      </c>
      <c r="G97" t="s">
        <v>2727</v>
      </c>
    </row>
    <row r="98" spans="1:8">
      <c r="A98" t="s">
        <v>2728</v>
      </c>
      <c r="B98" t="s">
        <v>374</v>
      </c>
      <c r="C98" t="s">
        <v>2566</v>
      </c>
      <c r="D98">
        <v>3.8275224047857033</v>
      </c>
      <c r="E98">
        <v>13.873477450586023</v>
      </c>
      <c r="F98">
        <v>91.567413330078097</v>
      </c>
      <c r="G98" t="s">
        <v>2729</v>
      </c>
    </row>
    <row r="99" spans="1:8">
      <c r="A99" t="s">
        <v>384</v>
      </c>
      <c r="B99" t="s">
        <v>384</v>
      </c>
      <c r="C99" t="s">
        <v>2566</v>
      </c>
      <c r="D99">
        <v>3.8139145854644827</v>
      </c>
      <c r="E99">
        <v>8.5287735848466149</v>
      </c>
      <c r="F99">
        <v>18.516666666643399</v>
      </c>
      <c r="G99" t="s">
        <v>2730</v>
      </c>
    </row>
    <row r="100" spans="1:8">
      <c r="A100" t="s">
        <v>2731</v>
      </c>
      <c r="B100" t="s">
        <v>305</v>
      </c>
      <c r="C100" t="s">
        <v>2566</v>
      </c>
      <c r="D100">
        <v>3.7613774085777343</v>
      </c>
      <c r="E100">
        <v>16.886290396828368</v>
      </c>
      <c r="F100">
        <v>97.690460205078097</v>
      </c>
      <c r="G100" t="s">
        <v>2732</v>
      </c>
    </row>
    <row r="101" spans="1:8">
      <c r="A101" t="s">
        <v>310</v>
      </c>
      <c r="B101" t="s">
        <v>310</v>
      </c>
      <c r="C101" t="s">
        <v>2587</v>
      </c>
      <c r="D101">
        <v>3.5651559875323753</v>
      </c>
      <c r="E101">
        <v>6.6011336768023972</v>
      </c>
      <c r="F101">
        <v>38.065105150516104</v>
      </c>
      <c r="G101" t="s">
        <v>2733</v>
      </c>
      <c r="H101" t="s">
        <v>2734</v>
      </c>
    </row>
    <row r="102" spans="1:8">
      <c r="A102" t="s">
        <v>460</v>
      </c>
      <c r="B102" t="s">
        <v>460</v>
      </c>
      <c r="C102" t="s">
        <v>2566</v>
      </c>
      <c r="D102">
        <v>3.5199135281208127</v>
      </c>
      <c r="E102">
        <v>7.2633217343477696</v>
      </c>
      <c r="F102">
        <v>71.549999999503299</v>
      </c>
      <c r="G102" t="s">
        <v>2735</v>
      </c>
    </row>
    <row r="103" spans="1:8">
      <c r="A103" t="s">
        <v>667</v>
      </c>
      <c r="B103" t="s">
        <v>667</v>
      </c>
      <c r="C103" t="s">
        <v>2587</v>
      </c>
      <c r="D103">
        <v>3.4023087067039528</v>
      </c>
      <c r="E103">
        <v>6.8837397596565246</v>
      </c>
      <c r="F103">
        <v>52.858809801784901</v>
      </c>
      <c r="G103" t="s">
        <v>2736</v>
      </c>
      <c r="H103" t="s">
        <v>2737</v>
      </c>
    </row>
    <row r="104" spans="1:8">
      <c r="A104" t="s">
        <v>2738</v>
      </c>
      <c r="B104" t="s">
        <v>474</v>
      </c>
      <c r="C104" t="s">
        <v>2566</v>
      </c>
      <c r="D104">
        <v>3.3776012023754611</v>
      </c>
      <c r="E104">
        <v>9.3620435204880419</v>
      </c>
      <c r="F104">
        <v>41.903972625732401</v>
      </c>
      <c r="G104" t="s">
        <v>2739</v>
      </c>
    </row>
    <row r="105" spans="1:8">
      <c r="A105" t="s">
        <v>2740</v>
      </c>
      <c r="B105" t="s">
        <v>507</v>
      </c>
      <c r="C105" t="s">
        <v>2566</v>
      </c>
      <c r="D105">
        <v>3.3602263479212318</v>
      </c>
      <c r="E105">
        <v>5.8707180304783471</v>
      </c>
      <c r="F105">
        <v>97.893821716308594</v>
      </c>
      <c r="G105" t="s">
        <v>2741</v>
      </c>
    </row>
    <row r="106" spans="1:8">
      <c r="A106" t="s">
        <v>505</v>
      </c>
      <c r="B106" t="s">
        <v>505</v>
      </c>
      <c r="C106" t="s">
        <v>2566</v>
      </c>
      <c r="D106">
        <v>3.3514044718940528</v>
      </c>
      <c r="E106">
        <v>6.7710628742849748</v>
      </c>
      <c r="F106">
        <v>67.194004995424905</v>
      </c>
      <c r="G106" t="s">
        <v>2742</v>
      </c>
    </row>
    <row r="107" spans="1:8">
      <c r="A107" t="s">
        <v>2743</v>
      </c>
      <c r="B107" t="s">
        <v>628</v>
      </c>
      <c r="C107" t="s">
        <v>2566</v>
      </c>
      <c r="D107">
        <v>3.3336279300065805</v>
      </c>
      <c r="E107">
        <v>5.1817987951919235</v>
      </c>
      <c r="F107">
        <v>91.514122009277301</v>
      </c>
      <c r="G107" t="s">
        <v>2744</v>
      </c>
    </row>
    <row r="108" spans="1:8">
      <c r="A108" t="s">
        <v>2745</v>
      </c>
      <c r="B108" t="s">
        <v>464</v>
      </c>
      <c r="C108" t="s">
        <v>2566</v>
      </c>
      <c r="D108">
        <v>3.2789297670571802</v>
      </c>
      <c r="E108">
        <v>8.4434997508649943</v>
      </c>
      <c r="F108">
        <v>80.049057006835895</v>
      </c>
      <c r="G108" t="s">
        <v>2746</v>
      </c>
    </row>
    <row r="109" spans="1:8">
      <c r="A109" t="s">
        <v>415</v>
      </c>
      <c r="B109" t="s">
        <v>415</v>
      </c>
      <c r="C109" t="s">
        <v>2587</v>
      </c>
      <c r="D109">
        <v>3.2780149752634267</v>
      </c>
      <c r="E109">
        <v>9.1999999999999709</v>
      </c>
      <c r="F109">
        <v>11.624999999999501</v>
      </c>
      <c r="G109" t="s">
        <v>2747</v>
      </c>
      <c r="H109" t="s">
        <v>2748</v>
      </c>
    </row>
    <row r="110" spans="1:8">
      <c r="A110" t="s">
        <v>2749</v>
      </c>
      <c r="B110" t="s">
        <v>380</v>
      </c>
      <c r="C110" t="s">
        <v>2566</v>
      </c>
      <c r="D110">
        <v>3.2605291353216641</v>
      </c>
      <c r="E110">
        <v>9.0566839023739156</v>
      </c>
      <c r="F110">
        <v>58.178585052490199</v>
      </c>
      <c r="G110" t="s">
        <v>2750</v>
      </c>
    </row>
    <row r="111" spans="1:8">
      <c r="A111" t="s">
        <v>2751</v>
      </c>
      <c r="B111" t="s">
        <v>403</v>
      </c>
      <c r="C111" t="s">
        <v>2566</v>
      </c>
      <c r="D111">
        <v>3.2133052883343418</v>
      </c>
      <c r="E111">
        <v>13.436353313286414</v>
      </c>
      <c r="F111">
        <v>48.571010589599602</v>
      </c>
      <c r="G111" t="s">
        <v>2752</v>
      </c>
    </row>
    <row r="112" spans="1:8">
      <c r="A112" t="s">
        <v>2753</v>
      </c>
      <c r="B112" t="s">
        <v>2754</v>
      </c>
      <c r="C112" t="s">
        <v>2566</v>
      </c>
      <c r="D112">
        <v>3.2120422367771</v>
      </c>
      <c r="E112">
        <v>14.677156181502317</v>
      </c>
      <c r="F112">
        <v>39.4961128234863</v>
      </c>
      <c r="G112" t="s">
        <v>2755</v>
      </c>
    </row>
    <row r="113" spans="1:8">
      <c r="A113" t="s">
        <v>2756</v>
      </c>
      <c r="B113" t="s">
        <v>2757</v>
      </c>
      <c r="C113" t="s">
        <v>2566</v>
      </c>
      <c r="D113">
        <v>3.0591902079573678</v>
      </c>
      <c r="E113">
        <v>6.2708559491175491</v>
      </c>
      <c r="F113">
        <v>61.608226776122997</v>
      </c>
      <c r="G113" t="s">
        <v>2758</v>
      </c>
    </row>
    <row r="114" spans="1:8">
      <c r="A114" t="s">
        <v>2759</v>
      </c>
      <c r="B114" t="s">
        <v>677</v>
      </c>
      <c r="C114" t="s">
        <v>2566</v>
      </c>
      <c r="D114">
        <v>3.0492093925169241</v>
      </c>
      <c r="E114">
        <v>5.1062318235495656</v>
      </c>
      <c r="F114">
        <v>99.194793701171903</v>
      </c>
      <c r="G114" t="s">
        <v>2760</v>
      </c>
    </row>
    <row r="115" spans="1:8">
      <c r="A115" t="s">
        <v>284</v>
      </c>
      <c r="B115" t="s">
        <v>284</v>
      </c>
      <c r="C115" t="s">
        <v>2587</v>
      </c>
      <c r="D115">
        <v>3.0485324512307255</v>
      </c>
      <c r="E115">
        <v>6.2401545020161278</v>
      </c>
      <c r="F115">
        <v>31.453091151469899</v>
      </c>
      <c r="G115" t="s">
        <v>2761</v>
      </c>
      <c r="H115" t="s">
        <v>2762</v>
      </c>
    </row>
    <row r="116" spans="1:8">
      <c r="A116" t="s">
        <v>2763</v>
      </c>
      <c r="B116" t="s">
        <v>433</v>
      </c>
      <c r="C116" t="s">
        <v>2587</v>
      </c>
      <c r="D116">
        <v>2.8856123012998913</v>
      </c>
      <c r="E116">
        <v>8.1016982820013368</v>
      </c>
      <c r="F116">
        <v>78.599815368652301</v>
      </c>
      <c r="G116" t="s">
        <v>2764</v>
      </c>
      <c r="H116" t="s">
        <v>2765</v>
      </c>
    </row>
    <row r="117" spans="1:8">
      <c r="A117" t="s">
        <v>2766</v>
      </c>
      <c r="B117" t="s">
        <v>329</v>
      </c>
      <c r="C117" t="s">
        <v>2566</v>
      </c>
      <c r="D117">
        <v>2.8223457132769085</v>
      </c>
      <c r="E117">
        <v>5.6776499620976173</v>
      </c>
      <c r="F117">
        <v>99.821807861328097</v>
      </c>
      <c r="G117" t="s">
        <v>2767</v>
      </c>
    </row>
    <row r="118" spans="1:8">
      <c r="A118" t="s">
        <v>508</v>
      </c>
      <c r="B118" t="s">
        <v>508</v>
      </c>
      <c r="C118" t="s">
        <v>2566</v>
      </c>
      <c r="D118">
        <v>2.7662549902349496</v>
      </c>
      <c r="E118">
        <v>4.8523391739676525</v>
      </c>
      <c r="F118">
        <v>72.117838910934907</v>
      </c>
      <c r="G118" t="s">
        <v>2768</v>
      </c>
    </row>
    <row r="119" spans="1:8">
      <c r="A119" t="s">
        <v>343</v>
      </c>
      <c r="B119" t="s">
        <v>343</v>
      </c>
      <c r="C119" t="s">
        <v>2566</v>
      </c>
      <c r="D119">
        <v>2.7436037809154405</v>
      </c>
      <c r="E119">
        <v>7.5869757270129767</v>
      </c>
      <c r="F119">
        <v>92.140998840332003</v>
      </c>
      <c r="G119" t="s">
        <v>2769</v>
      </c>
    </row>
    <row r="120" spans="1:8">
      <c r="A120" t="s">
        <v>2770</v>
      </c>
      <c r="B120" t="s">
        <v>578</v>
      </c>
      <c r="C120" t="s">
        <v>2566</v>
      </c>
      <c r="D120">
        <v>2.6258950458294477</v>
      </c>
      <c r="E120">
        <v>4.1926145321499542</v>
      </c>
      <c r="F120">
        <v>40.728977203369098</v>
      </c>
      <c r="G120" t="s">
        <v>2771</v>
      </c>
    </row>
    <row r="121" spans="1:8">
      <c r="A121" t="s">
        <v>2772</v>
      </c>
      <c r="B121" t="s">
        <v>647</v>
      </c>
      <c r="C121" t="s">
        <v>2566</v>
      </c>
      <c r="D121">
        <v>2.4162393732937808</v>
      </c>
      <c r="E121">
        <v>6.2482136882551229</v>
      </c>
      <c r="F121">
        <v>85.8349609375</v>
      </c>
      <c r="G121" t="s">
        <v>2773</v>
      </c>
    </row>
    <row r="122" spans="1:8">
      <c r="A122" t="s">
        <v>2774</v>
      </c>
      <c r="B122" t="s">
        <v>355</v>
      </c>
      <c r="C122" t="s">
        <v>2566</v>
      </c>
      <c r="D122">
        <v>2.4003310330494516</v>
      </c>
      <c r="E122">
        <v>5.1252161810346362</v>
      </c>
      <c r="F122">
        <v>90.267532348632798</v>
      </c>
      <c r="G122" t="s">
        <v>2775</v>
      </c>
    </row>
    <row r="123" spans="1:8">
      <c r="A123" t="s">
        <v>853</v>
      </c>
      <c r="B123" t="s">
        <v>853</v>
      </c>
      <c r="C123" t="s">
        <v>2566</v>
      </c>
      <c r="D123">
        <v>2.2806324151522945</v>
      </c>
      <c r="E123">
        <v>5.3985872791411618</v>
      </c>
      <c r="F123">
        <v>80.999412536621094</v>
      </c>
      <c r="G123" t="s">
        <v>2776</v>
      </c>
    </row>
    <row r="124" spans="1:8">
      <c r="A124" t="s">
        <v>802</v>
      </c>
      <c r="B124" t="s">
        <v>802</v>
      </c>
      <c r="C124" t="s">
        <v>2587</v>
      </c>
      <c r="D124">
        <v>2.266466461002115</v>
      </c>
      <c r="E124">
        <v>6.0929916247790592</v>
      </c>
      <c r="F124">
        <v>50.091666666946097</v>
      </c>
      <c r="G124" t="s">
        <v>2777</v>
      </c>
      <c r="H124" t="s">
        <v>2778</v>
      </c>
    </row>
    <row r="125" spans="1:8">
      <c r="A125" t="s">
        <v>2779</v>
      </c>
      <c r="B125" t="s">
        <v>440</v>
      </c>
      <c r="C125" t="s">
        <v>2566</v>
      </c>
      <c r="D125">
        <v>2.2397321591081298</v>
      </c>
      <c r="E125">
        <v>3.90082848072052</v>
      </c>
      <c r="F125">
        <v>99.943023681640597</v>
      </c>
      <c r="G125" t="s">
        <v>2780</v>
      </c>
    </row>
    <row r="126" spans="1:8">
      <c r="A126" t="s">
        <v>652</v>
      </c>
      <c r="B126" t="s">
        <v>652</v>
      </c>
      <c r="C126" t="s">
        <v>2587</v>
      </c>
      <c r="D126">
        <v>2.2118064913497784</v>
      </c>
      <c r="E126">
        <v>7.0943466102570154</v>
      </c>
      <c r="F126">
        <v>29.2590431738513</v>
      </c>
      <c r="G126" t="s">
        <v>2781</v>
      </c>
      <c r="H126" t="s">
        <v>2782</v>
      </c>
    </row>
    <row r="127" spans="1:8">
      <c r="A127" t="s">
        <v>2783</v>
      </c>
      <c r="B127" t="s">
        <v>349</v>
      </c>
      <c r="C127" t="s">
        <v>2566</v>
      </c>
      <c r="D127">
        <v>2.1345140715333852</v>
      </c>
      <c r="E127">
        <v>5.0122002887995665</v>
      </c>
      <c r="F127">
        <v>81.397903442382798</v>
      </c>
      <c r="G127" t="s">
        <v>2784</v>
      </c>
    </row>
    <row r="128" spans="1:8">
      <c r="A128" t="s">
        <v>2785</v>
      </c>
      <c r="B128" t="s">
        <v>296</v>
      </c>
      <c r="C128" t="s">
        <v>2566</v>
      </c>
      <c r="D128">
        <v>2.0966905281928798</v>
      </c>
      <c r="E128">
        <v>9.9556394994265673</v>
      </c>
      <c r="F128">
        <v>27.211259841918899</v>
      </c>
      <c r="G128" t="s">
        <v>2786</v>
      </c>
    </row>
    <row r="129" spans="1:8">
      <c r="A129" t="s">
        <v>282</v>
      </c>
      <c r="B129" t="s">
        <v>282</v>
      </c>
      <c r="C129" t="s">
        <v>2587</v>
      </c>
      <c r="D129">
        <v>2.0656847480788181</v>
      </c>
      <c r="E129">
        <v>4.1552764707984338</v>
      </c>
      <c r="F129">
        <v>26.5250000000621</v>
      </c>
      <c r="G129" t="s">
        <v>2787</v>
      </c>
      <c r="H129" t="s">
        <v>2788</v>
      </c>
    </row>
    <row r="130" spans="1:8">
      <c r="A130" t="s">
        <v>346</v>
      </c>
      <c r="B130" t="s">
        <v>346</v>
      </c>
      <c r="C130" t="s">
        <v>2566</v>
      </c>
      <c r="D130">
        <v>2.0277779566934053</v>
      </c>
      <c r="E130">
        <v>4.9517661628422811</v>
      </c>
      <c r="F130">
        <v>97.971031188964801</v>
      </c>
      <c r="G130" t="s">
        <v>2789</v>
      </c>
    </row>
    <row r="131" spans="1:8">
      <c r="A131" t="s">
        <v>2790</v>
      </c>
      <c r="B131" t="s">
        <v>390</v>
      </c>
      <c r="C131" t="s">
        <v>2566</v>
      </c>
      <c r="D131">
        <v>1.8794563212277691</v>
      </c>
      <c r="E131">
        <v>7.9515227407320221</v>
      </c>
      <c r="F131">
        <v>28.034488677978501</v>
      </c>
      <c r="G131" t="s">
        <v>2791</v>
      </c>
    </row>
    <row r="132" spans="1:8">
      <c r="A132" t="s">
        <v>855</v>
      </c>
      <c r="B132" t="s">
        <v>855</v>
      </c>
      <c r="C132" t="s">
        <v>2566</v>
      </c>
      <c r="D132">
        <v>1.8459692576001407</v>
      </c>
      <c r="E132">
        <v>4.6378981758003759</v>
      </c>
      <c r="F132">
        <v>89.185470581054702</v>
      </c>
      <c r="G132" t="s">
        <v>2792</v>
      </c>
    </row>
    <row r="133" spans="1:8">
      <c r="A133" t="s">
        <v>2793</v>
      </c>
      <c r="B133" t="s">
        <v>479</v>
      </c>
      <c r="C133" t="s">
        <v>2566</v>
      </c>
      <c r="D133">
        <v>1.8287806820763921</v>
      </c>
      <c r="E133">
        <v>4.2477032345405572</v>
      </c>
      <c r="F133">
        <v>62.170742034912102</v>
      </c>
      <c r="G133" t="s">
        <v>2794</v>
      </c>
    </row>
    <row r="134" spans="1:8">
      <c r="A134" t="s">
        <v>642</v>
      </c>
      <c r="B134" t="s">
        <v>642</v>
      </c>
      <c r="C134" t="s">
        <v>2566</v>
      </c>
      <c r="D134">
        <v>1.8256281555749367</v>
      </c>
      <c r="E134">
        <v>4.3771194975072163</v>
      </c>
      <c r="F134">
        <v>14.614062499992199</v>
      </c>
      <c r="G134" t="s">
        <v>2795</v>
      </c>
    </row>
    <row r="135" spans="1:8">
      <c r="A135" t="s">
        <v>520</v>
      </c>
      <c r="B135" t="s">
        <v>520</v>
      </c>
      <c r="C135" t="s">
        <v>2587</v>
      </c>
      <c r="D135">
        <v>1.8223613017922049</v>
      </c>
      <c r="E135">
        <v>3.6103979949243024</v>
      </c>
      <c r="F135">
        <v>27.133333333333699</v>
      </c>
      <c r="G135" t="s">
        <v>2796</v>
      </c>
      <c r="H135" t="s">
        <v>2797</v>
      </c>
    </row>
    <row r="136" spans="1:8">
      <c r="A136" t="s">
        <v>2798</v>
      </c>
      <c r="B136" t="s">
        <v>377</v>
      </c>
      <c r="C136" t="s">
        <v>2566</v>
      </c>
      <c r="D136">
        <v>1.8057310214165856</v>
      </c>
      <c r="E136">
        <v>4.5717673020732121</v>
      </c>
      <c r="F136">
        <v>56.743507385253899</v>
      </c>
      <c r="G136" t="s">
        <v>2799</v>
      </c>
    </row>
    <row r="137" spans="1:8">
      <c r="A137" t="s">
        <v>498</v>
      </c>
      <c r="B137" t="s">
        <v>498</v>
      </c>
      <c r="C137" t="s">
        <v>2587</v>
      </c>
      <c r="D137">
        <v>1.7877834881350212</v>
      </c>
      <c r="E137">
        <v>3.7895200208745479</v>
      </c>
      <c r="F137">
        <v>20.864583333410899</v>
      </c>
      <c r="G137" t="s">
        <v>2800</v>
      </c>
      <c r="H137" t="s">
        <v>2801</v>
      </c>
    </row>
    <row r="138" spans="1:8">
      <c r="A138" t="s">
        <v>2802</v>
      </c>
      <c r="B138" t="s">
        <v>462</v>
      </c>
      <c r="C138" t="s">
        <v>2566</v>
      </c>
      <c r="D138">
        <v>1.7699307765619645</v>
      </c>
      <c r="E138">
        <v>3.3213362638464314</v>
      </c>
      <c r="F138">
        <v>100</v>
      </c>
      <c r="G138" t="s">
        <v>2803</v>
      </c>
    </row>
    <row r="139" spans="1:8">
      <c r="A139" t="s">
        <v>2804</v>
      </c>
      <c r="B139" t="s">
        <v>533</v>
      </c>
      <c r="C139" t="s">
        <v>2566</v>
      </c>
      <c r="D139">
        <v>1.7431734249989239</v>
      </c>
      <c r="E139">
        <v>4.0295992225553219</v>
      </c>
      <c r="F139">
        <v>40.618782043457003</v>
      </c>
      <c r="G139" t="s">
        <v>2805</v>
      </c>
    </row>
    <row r="140" spans="1:8">
      <c r="A140" t="s">
        <v>2806</v>
      </c>
      <c r="B140" t="s">
        <v>523</v>
      </c>
      <c r="C140" t="s">
        <v>2566</v>
      </c>
      <c r="D140">
        <v>1.7388619313909737</v>
      </c>
      <c r="E140">
        <v>4.4664190298947339</v>
      </c>
      <c r="F140">
        <v>78.575424194335895</v>
      </c>
      <c r="G140" t="s">
        <v>2807</v>
      </c>
    </row>
    <row r="141" spans="1:8">
      <c r="A141" t="s">
        <v>2808</v>
      </c>
      <c r="B141" t="s">
        <v>530</v>
      </c>
      <c r="C141" t="s">
        <v>2566</v>
      </c>
      <c r="D141">
        <v>1.6926780662536285</v>
      </c>
      <c r="E141">
        <v>4.0734213674985451</v>
      </c>
      <c r="F141">
        <v>45.861076354980497</v>
      </c>
      <c r="G141" t="s">
        <v>2809</v>
      </c>
    </row>
    <row r="142" spans="1:8">
      <c r="A142" t="s">
        <v>2810</v>
      </c>
      <c r="B142" t="s">
        <v>659</v>
      </c>
      <c r="C142" t="s">
        <v>2566</v>
      </c>
      <c r="D142">
        <v>1.6899185207277916</v>
      </c>
      <c r="E142">
        <v>3.737889828714684</v>
      </c>
      <c r="F142">
        <v>20.161331176757798</v>
      </c>
      <c r="G142" t="s">
        <v>2811</v>
      </c>
    </row>
    <row r="143" spans="1:8">
      <c r="A143" t="s">
        <v>2812</v>
      </c>
      <c r="B143" t="s">
        <v>635</v>
      </c>
      <c r="C143" t="s">
        <v>2566</v>
      </c>
      <c r="D143">
        <v>1.6791079066593375</v>
      </c>
      <c r="E143">
        <v>3.7380190786867411</v>
      </c>
      <c r="F143">
        <v>85.138198852539105</v>
      </c>
      <c r="G143" t="s">
        <v>2813</v>
      </c>
    </row>
    <row r="144" spans="1:8">
      <c r="A144" t="s">
        <v>2814</v>
      </c>
      <c r="B144" t="s">
        <v>512</v>
      </c>
      <c r="C144" t="s">
        <v>2566</v>
      </c>
      <c r="D144">
        <v>1.5635881009166237</v>
      </c>
      <c r="E144">
        <v>4.139307029577596</v>
      </c>
      <c r="F144">
        <v>49.629436492919901</v>
      </c>
      <c r="G144" t="s">
        <v>2815</v>
      </c>
    </row>
    <row r="145" spans="1:8">
      <c r="A145" t="s">
        <v>435</v>
      </c>
      <c r="B145" t="s">
        <v>435</v>
      </c>
      <c r="C145" t="s">
        <v>2566</v>
      </c>
      <c r="D145">
        <v>1.5501101216702673</v>
      </c>
      <c r="E145">
        <v>2.9383842750043367</v>
      </c>
      <c r="F145">
        <v>47.903817302897103</v>
      </c>
      <c r="G145" t="s">
        <v>2816</v>
      </c>
    </row>
    <row r="146" spans="1:8">
      <c r="A146" t="s">
        <v>2817</v>
      </c>
      <c r="B146" t="s">
        <v>336</v>
      </c>
      <c r="C146" t="s">
        <v>2566</v>
      </c>
      <c r="D146">
        <v>1.5334085091421565</v>
      </c>
      <c r="E146">
        <v>8.0671712858296605</v>
      </c>
      <c r="F146">
        <v>49.264591217041001</v>
      </c>
      <c r="G146" t="s">
        <v>2818</v>
      </c>
    </row>
    <row r="147" spans="1:8">
      <c r="A147" t="s">
        <v>2819</v>
      </c>
      <c r="B147" t="s">
        <v>485</v>
      </c>
      <c r="C147" t="s">
        <v>2566</v>
      </c>
      <c r="D147">
        <v>1.5199400880573652</v>
      </c>
      <c r="E147">
        <v>2.6831231026016935</v>
      </c>
      <c r="F147">
        <v>98.912261962890597</v>
      </c>
      <c r="G147" t="s">
        <v>2820</v>
      </c>
    </row>
    <row r="148" spans="1:8">
      <c r="A148" t="s">
        <v>2821</v>
      </c>
      <c r="B148" t="s">
        <v>331</v>
      </c>
      <c r="C148" t="s">
        <v>2566</v>
      </c>
      <c r="D148">
        <v>1.4432404673220216</v>
      </c>
      <c r="E148">
        <v>6.6469182547506254</v>
      </c>
      <c r="F148">
        <v>43.081153869628899</v>
      </c>
      <c r="G148" t="s">
        <v>2822</v>
      </c>
    </row>
    <row r="149" spans="1:8">
      <c r="A149" t="s">
        <v>2823</v>
      </c>
      <c r="B149" t="s">
        <v>2824</v>
      </c>
      <c r="C149" t="s">
        <v>2566</v>
      </c>
      <c r="D149">
        <v>1.4004322162050478</v>
      </c>
      <c r="E149">
        <v>2.7885352954499822</v>
      </c>
      <c r="F149">
        <v>82.014739990234403</v>
      </c>
      <c r="G149" t="s">
        <v>2825</v>
      </c>
    </row>
    <row r="150" spans="1:8">
      <c r="A150" t="s">
        <v>2826</v>
      </c>
      <c r="B150" t="s">
        <v>564</v>
      </c>
      <c r="C150" t="s">
        <v>2566</v>
      </c>
      <c r="D150">
        <v>1.3333731565631757</v>
      </c>
      <c r="E150">
        <v>2.616313658735185</v>
      </c>
      <c r="F150">
        <v>60.338600158691399</v>
      </c>
      <c r="G150" t="s">
        <v>2827</v>
      </c>
    </row>
    <row r="151" spans="1:8">
      <c r="A151" t="s">
        <v>2828</v>
      </c>
      <c r="B151" t="s">
        <v>341</v>
      </c>
      <c r="C151" t="s">
        <v>2566</v>
      </c>
      <c r="D151">
        <v>1.2922370950661219</v>
      </c>
      <c r="E151">
        <v>2.852028611539581</v>
      </c>
      <c r="F151">
        <v>99.204643249511705</v>
      </c>
      <c r="G151" t="s">
        <v>2829</v>
      </c>
    </row>
    <row r="152" spans="1:8">
      <c r="A152" t="s">
        <v>2830</v>
      </c>
      <c r="B152" t="s">
        <v>2831</v>
      </c>
      <c r="C152" t="s">
        <v>2566</v>
      </c>
      <c r="D152">
        <v>1.2461756899911469</v>
      </c>
      <c r="E152">
        <v>2.5986153313091829</v>
      </c>
      <c r="F152">
        <v>26.325149536132798</v>
      </c>
      <c r="G152" t="s">
        <v>2832</v>
      </c>
    </row>
    <row r="153" spans="1:8">
      <c r="A153" t="s">
        <v>2833</v>
      </c>
      <c r="B153" t="s">
        <v>410</v>
      </c>
      <c r="C153" t="s">
        <v>2566</v>
      </c>
      <c r="D153">
        <v>1.2390691646494345</v>
      </c>
      <c r="E153">
        <v>3.4056114441653089</v>
      </c>
      <c r="F153">
        <v>86.847236633300795</v>
      </c>
      <c r="G153" t="s">
        <v>2834</v>
      </c>
    </row>
    <row r="154" spans="1:8">
      <c r="A154" t="s">
        <v>2835</v>
      </c>
      <c r="B154" t="s">
        <v>368</v>
      </c>
      <c r="C154" t="s">
        <v>2566</v>
      </c>
      <c r="D154">
        <v>1.2389385482530029</v>
      </c>
      <c r="E154">
        <v>5.8540283993763076</v>
      </c>
      <c r="F154">
        <v>49.823020935058601</v>
      </c>
      <c r="G154" t="s">
        <v>2836</v>
      </c>
    </row>
    <row r="155" spans="1:8">
      <c r="A155" t="s">
        <v>2837</v>
      </c>
      <c r="B155" t="s">
        <v>2838</v>
      </c>
      <c r="C155" t="s">
        <v>2566</v>
      </c>
      <c r="D155">
        <v>1.2275036377383688</v>
      </c>
      <c r="E155">
        <v>2.6484193332625119</v>
      </c>
      <c r="F155">
        <v>36.146358489990199</v>
      </c>
      <c r="G155" t="s">
        <v>2839</v>
      </c>
    </row>
    <row r="156" spans="1:8">
      <c r="A156" t="s">
        <v>2840</v>
      </c>
      <c r="B156" t="s">
        <v>669</v>
      </c>
      <c r="C156" t="s">
        <v>2566</v>
      </c>
      <c r="D156">
        <v>1.2122035247966629</v>
      </c>
      <c r="E156">
        <v>2.0820593465551229</v>
      </c>
      <c r="F156">
        <v>48.057830810546903</v>
      </c>
      <c r="G156" t="s">
        <v>2841</v>
      </c>
    </row>
    <row r="157" spans="1:8">
      <c r="A157" t="s">
        <v>644</v>
      </c>
      <c r="B157" t="s">
        <v>644</v>
      </c>
      <c r="C157" t="s">
        <v>2587</v>
      </c>
      <c r="D157">
        <v>1.1518337698335133</v>
      </c>
      <c r="E157">
        <v>2.5662936552956914</v>
      </c>
      <c r="F157">
        <v>15.9958333335817</v>
      </c>
      <c r="G157" t="s">
        <v>2842</v>
      </c>
      <c r="H157" t="s">
        <v>2843</v>
      </c>
    </row>
    <row r="158" spans="1:8">
      <c r="A158" t="s">
        <v>2844</v>
      </c>
      <c r="B158" t="s">
        <v>631</v>
      </c>
      <c r="C158" t="s">
        <v>2566</v>
      </c>
      <c r="D158">
        <v>1.1488375512665026</v>
      </c>
      <c r="E158">
        <v>1.5795008479849908</v>
      </c>
      <c r="F158">
        <v>25.243158340454102</v>
      </c>
      <c r="G158" t="s">
        <v>2845</v>
      </c>
    </row>
    <row r="159" spans="1:8">
      <c r="A159" t="s">
        <v>2846</v>
      </c>
      <c r="B159" t="s">
        <v>445</v>
      </c>
      <c r="C159" t="s">
        <v>2566</v>
      </c>
      <c r="D159">
        <v>1.1374124434523161</v>
      </c>
      <c r="E159">
        <v>2.9566284005998953</v>
      </c>
      <c r="F159">
        <v>73.987602233886705</v>
      </c>
      <c r="G159" t="s">
        <v>2847</v>
      </c>
    </row>
    <row r="160" spans="1:8">
      <c r="A160" t="s">
        <v>674</v>
      </c>
      <c r="B160" t="s">
        <v>674</v>
      </c>
      <c r="C160" t="s">
        <v>2566</v>
      </c>
      <c r="D160">
        <v>1.128903666415753</v>
      </c>
      <c r="E160">
        <v>2.1924788545124447</v>
      </c>
      <c r="F160">
        <v>16.9840806803916</v>
      </c>
      <c r="G160" t="s">
        <v>2848</v>
      </c>
    </row>
    <row r="161" spans="1:8">
      <c r="A161" t="s">
        <v>2849</v>
      </c>
      <c r="B161" t="s">
        <v>502</v>
      </c>
      <c r="C161" t="s">
        <v>2566</v>
      </c>
      <c r="D161">
        <v>1.120229231029727</v>
      </c>
      <c r="E161">
        <v>2.2333083921974533</v>
      </c>
      <c r="F161">
        <v>40.628929138183601</v>
      </c>
      <c r="G161" t="s">
        <v>2850</v>
      </c>
    </row>
    <row r="162" spans="1:8">
      <c r="A162" t="s">
        <v>2851</v>
      </c>
      <c r="B162" t="s">
        <v>546</v>
      </c>
      <c r="C162" t="s">
        <v>2566</v>
      </c>
      <c r="D162">
        <v>1.0840326953867707</v>
      </c>
      <c r="E162">
        <v>2.0917923926433009</v>
      </c>
      <c r="F162">
        <v>100</v>
      </c>
      <c r="G162" t="s">
        <v>2852</v>
      </c>
    </row>
    <row r="163" spans="1:8">
      <c r="A163" t="s">
        <v>2853</v>
      </c>
      <c r="B163" t="s">
        <v>421</v>
      </c>
      <c r="C163" t="s">
        <v>2566</v>
      </c>
      <c r="D163">
        <v>1.0823324293859091</v>
      </c>
      <c r="E163">
        <v>3.1887540086768271</v>
      </c>
      <c r="F163">
        <v>85.106819152832003</v>
      </c>
      <c r="G163" t="s">
        <v>2854</v>
      </c>
    </row>
    <row r="164" spans="1:8">
      <c r="A164" t="s">
        <v>483</v>
      </c>
      <c r="B164" t="s">
        <v>483</v>
      </c>
      <c r="C164" t="s">
        <v>2587</v>
      </c>
      <c r="D164">
        <v>1.0536135780593747</v>
      </c>
      <c r="E164">
        <v>1.6740694934435589</v>
      </c>
      <c r="F164">
        <v>8.8598099674944404</v>
      </c>
      <c r="G164" t="s">
        <v>2855</v>
      </c>
      <c r="H164" t="s">
        <v>2856</v>
      </c>
    </row>
    <row r="165" spans="1:8">
      <c r="A165" t="s">
        <v>2857</v>
      </c>
      <c r="B165" t="s">
        <v>427</v>
      </c>
      <c r="C165" t="s">
        <v>2587</v>
      </c>
      <c r="D165">
        <v>1.0473125188075985</v>
      </c>
      <c r="E165">
        <v>2.4338774339396063</v>
      </c>
      <c r="F165">
        <v>28.209323883056602</v>
      </c>
      <c r="G165" t="s">
        <v>2858</v>
      </c>
      <c r="H165" t="s">
        <v>2859</v>
      </c>
    </row>
    <row r="166" spans="1:8">
      <c r="A166" t="s">
        <v>2860</v>
      </c>
      <c r="B166" t="s">
        <v>333</v>
      </c>
      <c r="C166" t="s">
        <v>2566</v>
      </c>
      <c r="D166">
        <v>1.0379862211443656</v>
      </c>
      <c r="E166">
        <v>4.7495850974593692</v>
      </c>
      <c r="F166">
        <v>25.7541904449463</v>
      </c>
      <c r="G166" t="s">
        <v>2861</v>
      </c>
    </row>
    <row r="167" spans="1:8">
      <c r="A167" t="s">
        <v>2862</v>
      </c>
      <c r="B167" t="s">
        <v>2863</v>
      </c>
      <c r="C167" t="s">
        <v>2566</v>
      </c>
      <c r="D167">
        <v>0.99444398253252841</v>
      </c>
      <c r="E167">
        <v>2.2383388287979815</v>
      </c>
      <c r="F167">
        <v>26.2934055328369</v>
      </c>
      <c r="G167" t="s">
        <v>2864</v>
      </c>
    </row>
    <row r="168" spans="1:8">
      <c r="A168" t="s">
        <v>2865</v>
      </c>
      <c r="B168" t="s">
        <v>391</v>
      </c>
      <c r="C168" t="s">
        <v>2566</v>
      </c>
      <c r="D168">
        <v>0.94179780651971479</v>
      </c>
      <c r="E168">
        <v>2.1555984972270061</v>
      </c>
      <c r="F168">
        <v>52.283538818359403</v>
      </c>
      <c r="G168" t="s">
        <v>2866</v>
      </c>
    </row>
    <row r="169" spans="1:8">
      <c r="A169" t="s">
        <v>625</v>
      </c>
      <c r="B169" t="s">
        <v>625</v>
      </c>
      <c r="C169" t="s">
        <v>2566</v>
      </c>
      <c r="D169">
        <v>0.90262177003120159</v>
      </c>
      <c r="E169">
        <v>1.9812397311272711</v>
      </c>
      <c r="F169">
        <v>13.6708333331626</v>
      </c>
      <c r="G169" t="s">
        <v>2867</v>
      </c>
    </row>
    <row r="170" spans="1:8">
      <c r="A170" t="s">
        <v>2868</v>
      </c>
      <c r="B170" t="s">
        <v>423</v>
      </c>
      <c r="C170" t="s">
        <v>2566</v>
      </c>
      <c r="D170">
        <v>0.8395714626158195</v>
      </c>
      <c r="E170">
        <v>2.1664973486705321</v>
      </c>
      <c r="F170">
        <v>26.704130172729499</v>
      </c>
      <c r="G170" t="s">
        <v>2869</v>
      </c>
    </row>
    <row r="171" spans="1:8">
      <c r="A171" t="s">
        <v>615</v>
      </c>
      <c r="B171" t="s">
        <v>615</v>
      </c>
      <c r="C171" t="s">
        <v>2566</v>
      </c>
      <c r="D171">
        <v>0.72667008101625552</v>
      </c>
      <c r="E171">
        <v>2.1317525792939462</v>
      </c>
      <c r="F171">
        <v>80.547691345214801</v>
      </c>
      <c r="G171" t="s">
        <v>2870</v>
      </c>
    </row>
    <row r="172" spans="1:8">
      <c r="A172" t="s">
        <v>2871</v>
      </c>
      <c r="B172" t="s">
        <v>286</v>
      </c>
      <c r="C172" t="s">
        <v>2566</v>
      </c>
      <c r="D172">
        <v>0.71684508438943095</v>
      </c>
      <c r="E172">
        <v>1.968351559721123</v>
      </c>
      <c r="F172">
        <v>44.273170471191399</v>
      </c>
      <c r="G172" t="s">
        <v>2872</v>
      </c>
    </row>
    <row r="173" spans="1:8">
      <c r="A173" t="s">
        <v>663</v>
      </c>
      <c r="B173" t="s">
        <v>663</v>
      </c>
      <c r="C173" t="s">
        <v>2566</v>
      </c>
      <c r="D173">
        <v>0.61826970211645971</v>
      </c>
      <c r="E173">
        <v>1.6229277789182128</v>
      </c>
      <c r="F173">
        <v>7.16822916680636</v>
      </c>
      <c r="G173" t="s">
        <v>2873</v>
      </c>
    </row>
    <row r="174" spans="1:8">
      <c r="A174" t="s">
        <v>622</v>
      </c>
      <c r="B174" t="s">
        <v>622</v>
      </c>
      <c r="C174" t="s">
        <v>2587</v>
      </c>
      <c r="D174">
        <v>0.562899599943123</v>
      </c>
      <c r="E174">
        <v>1.3045419663661695</v>
      </c>
      <c r="F174">
        <v>6.9052083332401999</v>
      </c>
      <c r="G174" t="s">
        <v>2874</v>
      </c>
      <c r="H174" t="s">
        <v>2875</v>
      </c>
    </row>
    <row r="175" spans="1:8">
      <c r="A175" t="s">
        <v>2876</v>
      </c>
      <c r="B175" t="s">
        <v>2877</v>
      </c>
      <c r="C175" t="s">
        <v>2566</v>
      </c>
      <c r="D175">
        <v>0.54247466180336845</v>
      </c>
      <c r="E175">
        <v>1.1949373644648467</v>
      </c>
      <c r="F175">
        <v>23.192689895629901</v>
      </c>
      <c r="G175" t="s">
        <v>2878</v>
      </c>
    </row>
    <row r="176" spans="1:8">
      <c r="A176" t="s">
        <v>637</v>
      </c>
      <c r="B176" t="s">
        <v>637</v>
      </c>
      <c r="C176" t="s">
        <v>2587</v>
      </c>
      <c r="D176">
        <v>0.51074225558685704</v>
      </c>
      <c r="E176">
        <v>1.7672234867715806</v>
      </c>
      <c r="F176">
        <v>5.2854166668839797</v>
      </c>
      <c r="G176" t="s">
        <v>2879</v>
      </c>
      <c r="H176" t="s">
        <v>2880</v>
      </c>
    </row>
    <row r="177" spans="1:8">
      <c r="A177" t="s">
        <v>2881</v>
      </c>
      <c r="B177" t="s">
        <v>2881</v>
      </c>
      <c r="C177" t="s">
        <v>2566</v>
      </c>
      <c r="D177">
        <v>0.43721651678319917</v>
      </c>
      <c r="E177">
        <v>1.3869011680205896</v>
      </c>
      <c r="F177">
        <v>74.285133361816406</v>
      </c>
      <c r="G177" t="s">
        <v>2882</v>
      </c>
    </row>
    <row r="178" spans="1:8">
      <c r="A178" t="s">
        <v>2883</v>
      </c>
      <c r="B178" t="s">
        <v>293</v>
      </c>
      <c r="C178" t="s">
        <v>2566</v>
      </c>
      <c r="D178">
        <v>0.41461881786734595</v>
      </c>
      <c r="E178">
        <v>1.3601895740029719</v>
      </c>
      <c r="F178">
        <v>34.825546264648402</v>
      </c>
      <c r="G178" t="s">
        <v>2884</v>
      </c>
    </row>
    <row r="179" spans="1:8">
      <c r="A179" t="s">
        <v>665</v>
      </c>
      <c r="B179" t="s">
        <v>665</v>
      </c>
      <c r="C179" t="s">
        <v>2587</v>
      </c>
      <c r="D179">
        <v>0.4060563761873352</v>
      </c>
      <c r="E179">
        <v>0.86153519192936223</v>
      </c>
      <c r="F179">
        <v>3.7604166668218899</v>
      </c>
      <c r="G179" t="s">
        <v>2885</v>
      </c>
      <c r="H179" t="s">
        <v>2886</v>
      </c>
    </row>
    <row r="180" spans="1:8">
      <c r="A180" t="s">
        <v>2887</v>
      </c>
      <c r="B180" t="s">
        <v>338</v>
      </c>
      <c r="C180" t="s">
        <v>2566</v>
      </c>
      <c r="D180">
        <v>0.37183254797661702</v>
      </c>
      <c r="E180">
        <v>0.95014947950330553</v>
      </c>
      <c r="F180">
        <v>29.593727111816399</v>
      </c>
      <c r="G180" t="s">
        <v>2888</v>
      </c>
    </row>
    <row r="181" spans="1:8">
      <c r="A181" t="s">
        <v>2889</v>
      </c>
      <c r="B181" t="s">
        <v>2889</v>
      </c>
      <c r="C181" t="s">
        <v>2566</v>
      </c>
      <c r="D181">
        <v>0.28899622689114729</v>
      </c>
      <c r="E181">
        <v>1.1006379360824454</v>
      </c>
      <c r="F181">
        <v>17.018741607666001</v>
      </c>
      <c r="G181" t="s">
        <v>2890</v>
      </c>
    </row>
  </sheetData>
  <autoFilter ref="A1:H181" xr:uid="{00000000-0009-0000-0000-000001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H181"/>
  <sheetViews>
    <sheetView workbookViewId="0">
      <selection activeCell="D6" sqref="D6"/>
    </sheetView>
  </sheetViews>
  <sheetFormatPr defaultRowHeight="14.5"/>
  <cols>
    <col min="1" max="1" width="30" bestFit="1" customWidth="1"/>
    <col min="2" max="2" width="27.81640625" bestFit="1" customWidth="1"/>
  </cols>
  <sheetData>
    <row r="1" spans="1:8">
      <c r="A1" t="s">
        <v>2514</v>
      </c>
      <c r="B1" t="s">
        <v>2515</v>
      </c>
      <c r="C1" t="s">
        <v>2516</v>
      </c>
      <c r="D1" t="s">
        <v>2517</v>
      </c>
      <c r="E1" t="s">
        <v>2518</v>
      </c>
      <c r="F1" t="s">
        <v>2519</v>
      </c>
      <c r="G1" t="s">
        <v>2520</v>
      </c>
      <c r="H1" t="s">
        <v>2521</v>
      </c>
    </row>
    <row r="2" spans="1:8">
      <c r="A2" t="s">
        <v>637</v>
      </c>
      <c r="B2" t="s">
        <v>637</v>
      </c>
      <c r="C2" t="s">
        <v>2587</v>
      </c>
      <c r="D2">
        <v>232876.37416544312</v>
      </c>
      <c r="E2">
        <v>245930.32469559513</v>
      </c>
      <c r="F2">
        <v>253122.9140625</v>
      </c>
      <c r="G2" t="s">
        <v>2891</v>
      </c>
      <c r="H2" t="s">
        <v>2880</v>
      </c>
    </row>
    <row r="3" spans="1:8">
      <c r="A3" t="s">
        <v>663</v>
      </c>
      <c r="B3" t="s">
        <v>663</v>
      </c>
      <c r="C3" t="s">
        <v>2566</v>
      </c>
      <c r="D3">
        <v>224605.10902930694</v>
      </c>
      <c r="E3">
        <v>227914.83543442236</v>
      </c>
      <c r="F3">
        <v>253295.5078125</v>
      </c>
      <c r="G3" t="s">
        <v>2892</v>
      </c>
      <c r="H3" t="s">
        <v>2528</v>
      </c>
    </row>
    <row r="4" spans="1:8">
      <c r="A4" t="s">
        <v>622</v>
      </c>
      <c r="B4" t="s">
        <v>622</v>
      </c>
      <c r="C4" t="s">
        <v>2587</v>
      </c>
      <c r="D4">
        <v>106765.8547367237</v>
      </c>
      <c r="E4">
        <v>123813.61421770796</v>
      </c>
      <c r="F4">
        <v>125883.25</v>
      </c>
      <c r="G4" t="s">
        <v>2893</v>
      </c>
      <c r="H4" t="s">
        <v>2875</v>
      </c>
    </row>
    <row r="5" spans="1:8">
      <c r="A5" t="s">
        <v>516</v>
      </c>
      <c r="B5" t="s">
        <v>516</v>
      </c>
      <c r="C5" t="s">
        <v>2587</v>
      </c>
      <c r="D5">
        <v>105948.04271879919</v>
      </c>
      <c r="E5">
        <v>121747.54966834618</v>
      </c>
      <c r="F5">
        <v>125236.265625</v>
      </c>
      <c r="G5" t="s">
        <v>2894</v>
      </c>
      <c r="H5" t="s">
        <v>2679</v>
      </c>
    </row>
    <row r="6" spans="1:8">
      <c r="A6" t="s">
        <v>2726</v>
      </c>
      <c r="B6" t="s">
        <v>672</v>
      </c>
      <c r="C6" t="s">
        <v>2566</v>
      </c>
      <c r="D6">
        <v>78982.639297433838</v>
      </c>
      <c r="E6">
        <v>110260.21390374331</v>
      </c>
      <c r="F6">
        <v>125264</v>
      </c>
      <c r="G6" t="s">
        <v>2895</v>
      </c>
      <c r="H6" t="s">
        <v>2537</v>
      </c>
    </row>
    <row r="7" spans="1:8">
      <c r="A7" t="s">
        <v>2860</v>
      </c>
      <c r="B7" t="s">
        <v>333</v>
      </c>
      <c r="C7" t="s">
        <v>2566</v>
      </c>
      <c r="D7">
        <v>63098.408734365061</v>
      </c>
      <c r="E7">
        <v>61397.538410196619</v>
      </c>
      <c r="F7">
        <v>125995</v>
      </c>
      <c r="G7" t="s">
        <v>2896</v>
      </c>
      <c r="H7" t="s">
        <v>2540</v>
      </c>
    </row>
    <row r="8" spans="1:8">
      <c r="A8" t="s">
        <v>674</v>
      </c>
      <c r="B8" t="s">
        <v>674</v>
      </c>
      <c r="C8" t="s">
        <v>2566</v>
      </c>
      <c r="D8">
        <v>62056.18196860038</v>
      </c>
      <c r="E8">
        <v>62519.138804773058</v>
      </c>
      <c r="F8">
        <v>62747.296875</v>
      </c>
      <c r="G8" t="s">
        <v>2897</v>
      </c>
      <c r="H8" t="s">
        <v>2543</v>
      </c>
    </row>
    <row r="9" spans="1:8">
      <c r="A9" t="s">
        <v>498</v>
      </c>
      <c r="B9" t="s">
        <v>498</v>
      </c>
      <c r="C9" t="s">
        <v>2587</v>
      </c>
      <c r="D9">
        <v>61110.313826110018</v>
      </c>
      <c r="E9">
        <v>61512.934283977265</v>
      </c>
      <c r="F9">
        <v>62601.82421875</v>
      </c>
      <c r="G9" t="s">
        <v>2898</v>
      </c>
      <c r="H9" t="s">
        <v>2801</v>
      </c>
    </row>
    <row r="10" spans="1:8">
      <c r="A10" t="s">
        <v>442</v>
      </c>
      <c r="B10" t="s">
        <v>442</v>
      </c>
      <c r="C10" t="s">
        <v>2587</v>
      </c>
      <c r="D10">
        <v>58497.265161085343</v>
      </c>
      <c r="E10">
        <v>59060.058892329587</v>
      </c>
      <c r="F10">
        <v>62782.6953125</v>
      </c>
      <c r="G10" t="s">
        <v>2899</v>
      </c>
      <c r="H10" t="s">
        <v>2657</v>
      </c>
    </row>
    <row r="11" spans="1:8">
      <c r="A11" t="s">
        <v>483</v>
      </c>
      <c r="B11" t="s">
        <v>483</v>
      </c>
      <c r="C11" t="s">
        <v>2587</v>
      </c>
      <c r="D11">
        <v>57449.337789453071</v>
      </c>
      <c r="E11">
        <v>61312.626607403632</v>
      </c>
      <c r="F11">
        <v>61968.02734375</v>
      </c>
      <c r="G11" t="s">
        <v>2900</v>
      </c>
      <c r="H11" t="s">
        <v>2856</v>
      </c>
    </row>
    <row r="12" spans="1:8">
      <c r="A12" t="s">
        <v>2840</v>
      </c>
      <c r="B12" t="s">
        <v>669</v>
      </c>
      <c r="C12" t="s">
        <v>2566</v>
      </c>
      <c r="D12">
        <v>39064.037065855555</v>
      </c>
      <c r="E12">
        <v>131618.61124105199</v>
      </c>
      <c r="F12">
        <v>159615</v>
      </c>
      <c r="G12" t="s">
        <v>2901</v>
      </c>
      <c r="H12" t="s">
        <v>2555</v>
      </c>
    </row>
    <row r="13" spans="1:8">
      <c r="A13" t="s">
        <v>665</v>
      </c>
      <c r="B13" t="s">
        <v>665</v>
      </c>
      <c r="C13" t="s">
        <v>2587</v>
      </c>
      <c r="D13">
        <v>37824.064298260018</v>
      </c>
      <c r="E13">
        <v>37990.680697208874</v>
      </c>
      <c r="F13">
        <v>58912.00390625</v>
      </c>
      <c r="G13" t="s">
        <v>2902</v>
      </c>
      <c r="H13" t="s">
        <v>2886</v>
      </c>
    </row>
    <row r="14" spans="1:8">
      <c r="A14" t="s">
        <v>644</v>
      </c>
      <c r="B14" t="s">
        <v>644</v>
      </c>
      <c r="C14" t="s">
        <v>2587</v>
      </c>
      <c r="D14">
        <v>35560.258952029792</v>
      </c>
      <c r="E14">
        <v>38837.9260857318</v>
      </c>
      <c r="F14">
        <v>61499.55859375</v>
      </c>
      <c r="G14" t="s">
        <v>2903</v>
      </c>
      <c r="H14" t="s">
        <v>2843</v>
      </c>
    </row>
    <row r="15" spans="1:8">
      <c r="A15" t="s">
        <v>642</v>
      </c>
      <c r="B15" t="s">
        <v>642</v>
      </c>
      <c r="C15" t="s">
        <v>2566</v>
      </c>
      <c r="D15">
        <v>34504.62158053914</v>
      </c>
      <c r="E15">
        <v>36896.152822124081</v>
      </c>
      <c r="F15">
        <v>58880.8125</v>
      </c>
      <c r="G15" t="s">
        <v>2904</v>
      </c>
      <c r="H15" t="s">
        <v>2564</v>
      </c>
    </row>
    <row r="16" spans="1:8">
      <c r="A16" t="s">
        <v>652</v>
      </c>
      <c r="B16" t="s">
        <v>652</v>
      </c>
      <c r="C16" t="s">
        <v>2587</v>
      </c>
      <c r="D16">
        <v>34205.009192324149</v>
      </c>
      <c r="E16">
        <v>36329.61903151068</v>
      </c>
      <c r="F16">
        <v>62523.00390625</v>
      </c>
      <c r="G16" t="s">
        <v>2905</v>
      </c>
      <c r="H16" t="s">
        <v>2782</v>
      </c>
    </row>
    <row r="17" spans="1:8">
      <c r="A17" t="s">
        <v>2607</v>
      </c>
      <c r="B17" t="s">
        <v>2607</v>
      </c>
      <c r="C17" t="s">
        <v>2566</v>
      </c>
      <c r="D17">
        <v>30090.39009406796</v>
      </c>
      <c r="E17">
        <v>30135</v>
      </c>
      <c r="F17">
        <v>30513</v>
      </c>
      <c r="G17" t="s">
        <v>2906</v>
      </c>
      <c r="H17" t="s">
        <v>2570</v>
      </c>
    </row>
    <row r="18" spans="1:8">
      <c r="A18" t="s">
        <v>2887</v>
      </c>
      <c r="B18" t="s">
        <v>338</v>
      </c>
      <c r="C18" t="s">
        <v>2566</v>
      </c>
      <c r="D18">
        <v>29476.968417083059</v>
      </c>
      <c r="E18">
        <v>30005.484332205382</v>
      </c>
      <c r="F18">
        <v>30257</v>
      </c>
      <c r="G18" t="s">
        <v>2907</v>
      </c>
    </row>
    <row r="19" spans="1:8">
      <c r="A19" t="s">
        <v>625</v>
      </c>
      <c r="B19" t="s">
        <v>625</v>
      </c>
      <c r="C19" t="s">
        <v>2566</v>
      </c>
      <c r="D19">
        <v>28829.707621799043</v>
      </c>
      <c r="E19">
        <v>29318.929087998149</v>
      </c>
      <c r="F19">
        <v>30430.89453125</v>
      </c>
      <c r="G19" t="s">
        <v>2908</v>
      </c>
    </row>
    <row r="20" spans="1:8">
      <c r="A20" t="s">
        <v>2821</v>
      </c>
      <c r="B20" t="s">
        <v>331</v>
      </c>
      <c r="C20" t="s">
        <v>2566</v>
      </c>
      <c r="D20">
        <v>28828.762928092267</v>
      </c>
      <c r="E20">
        <v>29170.650599769968</v>
      </c>
      <c r="F20">
        <v>30804</v>
      </c>
      <c r="G20" t="s">
        <v>2909</v>
      </c>
    </row>
    <row r="21" spans="1:8">
      <c r="A21" t="s">
        <v>2817</v>
      </c>
      <c r="B21" t="s">
        <v>336</v>
      </c>
      <c r="C21" t="s">
        <v>2566</v>
      </c>
      <c r="D21">
        <v>28827.132308271917</v>
      </c>
      <c r="E21">
        <v>29072.029605263157</v>
      </c>
      <c r="F21">
        <v>29266</v>
      </c>
      <c r="G21" t="s">
        <v>2910</v>
      </c>
    </row>
    <row r="22" spans="1:8">
      <c r="A22" t="s">
        <v>2868</v>
      </c>
      <c r="B22" t="s">
        <v>423</v>
      </c>
      <c r="C22" t="s">
        <v>2566</v>
      </c>
      <c r="D22">
        <v>27374.39092857311</v>
      </c>
      <c r="E22">
        <v>28058.458548251074</v>
      </c>
      <c r="F22">
        <v>30184</v>
      </c>
      <c r="G22" t="s">
        <v>2911</v>
      </c>
    </row>
    <row r="23" spans="1:8">
      <c r="A23" t="s">
        <v>2717</v>
      </c>
      <c r="B23" t="s">
        <v>680</v>
      </c>
      <c r="C23" t="s">
        <v>2566</v>
      </c>
      <c r="D23">
        <v>23127.384501096622</v>
      </c>
      <c r="E23">
        <v>80798.57887874743</v>
      </c>
      <c r="F23">
        <v>159781</v>
      </c>
      <c r="G23" t="s">
        <v>2912</v>
      </c>
    </row>
    <row r="24" spans="1:8">
      <c r="A24" t="s">
        <v>2667</v>
      </c>
      <c r="B24" t="s">
        <v>648</v>
      </c>
      <c r="C24" t="s">
        <v>2566</v>
      </c>
      <c r="D24">
        <v>21935.627426011084</v>
      </c>
      <c r="E24">
        <v>77935.303155687958</v>
      </c>
      <c r="F24">
        <v>159335</v>
      </c>
      <c r="G24" t="s">
        <v>2913</v>
      </c>
    </row>
    <row r="25" spans="1:8">
      <c r="A25" t="s">
        <v>2593</v>
      </c>
      <c r="B25" t="s">
        <v>654</v>
      </c>
      <c r="C25" t="s">
        <v>2587</v>
      </c>
      <c r="D25">
        <v>20810.79782169648</v>
      </c>
      <c r="E25">
        <v>22636.929370008875</v>
      </c>
      <c r="F25">
        <v>23243</v>
      </c>
      <c r="G25" t="s">
        <v>2914</v>
      </c>
      <c r="H25" t="s">
        <v>2595</v>
      </c>
    </row>
    <row r="26" spans="1:8">
      <c r="A26" t="s">
        <v>2835</v>
      </c>
      <c r="B26" t="s">
        <v>368</v>
      </c>
      <c r="C26" t="s">
        <v>2566</v>
      </c>
      <c r="D26">
        <v>19417.531839705985</v>
      </c>
      <c r="E26">
        <v>29769.858974358973</v>
      </c>
      <c r="F26">
        <v>30315</v>
      </c>
      <c r="G26" t="s">
        <v>2915</v>
      </c>
      <c r="H26" t="s">
        <v>2589</v>
      </c>
    </row>
    <row r="27" spans="1:8">
      <c r="A27" t="s">
        <v>2617</v>
      </c>
      <c r="B27" t="s">
        <v>679</v>
      </c>
      <c r="C27" t="s">
        <v>2566</v>
      </c>
      <c r="D27">
        <v>18341.228235738214</v>
      </c>
      <c r="E27">
        <v>108001.38870274277</v>
      </c>
      <c r="F27">
        <v>159004</v>
      </c>
      <c r="G27" t="s">
        <v>2916</v>
      </c>
      <c r="H27" t="s">
        <v>2592</v>
      </c>
    </row>
    <row r="28" spans="1:8">
      <c r="A28" t="s">
        <v>2844</v>
      </c>
      <c r="B28" t="s">
        <v>631</v>
      </c>
      <c r="C28" t="s">
        <v>2566</v>
      </c>
      <c r="D28">
        <v>16085.678255536948</v>
      </c>
      <c r="E28">
        <v>16337.519415967692</v>
      </c>
      <c r="F28">
        <v>16707</v>
      </c>
      <c r="G28" t="s">
        <v>2917</v>
      </c>
      <c r="H28" t="s">
        <v>2595</v>
      </c>
    </row>
    <row r="29" spans="1:8">
      <c r="A29" t="s">
        <v>435</v>
      </c>
      <c r="B29" t="s">
        <v>435</v>
      </c>
      <c r="C29" t="s">
        <v>2566</v>
      </c>
      <c r="D29">
        <v>14402.091888450357</v>
      </c>
      <c r="E29">
        <v>14598.540631780683</v>
      </c>
      <c r="F29">
        <v>15163.63671875</v>
      </c>
      <c r="G29" t="s">
        <v>2918</v>
      </c>
    </row>
    <row r="30" spans="1:8">
      <c r="A30" t="s">
        <v>520</v>
      </c>
      <c r="B30" t="s">
        <v>520</v>
      </c>
      <c r="C30" t="s">
        <v>2587</v>
      </c>
      <c r="D30">
        <v>14332.599439577312</v>
      </c>
      <c r="E30">
        <v>14860.389640546318</v>
      </c>
      <c r="F30">
        <v>15177.71875</v>
      </c>
      <c r="G30" t="s">
        <v>2919</v>
      </c>
      <c r="H30" t="s">
        <v>2797</v>
      </c>
    </row>
    <row r="31" spans="1:8">
      <c r="A31" t="s">
        <v>2889</v>
      </c>
      <c r="B31" t="s">
        <v>2889</v>
      </c>
      <c r="C31" t="s">
        <v>2566</v>
      </c>
      <c r="D31">
        <v>14222.229075927016</v>
      </c>
      <c r="E31">
        <v>14438.235574494949</v>
      </c>
      <c r="F31">
        <v>14555</v>
      </c>
      <c r="G31" t="s">
        <v>2920</v>
      </c>
    </row>
    <row r="32" spans="1:8">
      <c r="A32" t="s">
        <v>2693</v>
      </c>
      <c r="B32" t="s">
        <v>573</v>
      </c>
      <c r="C32" t="s">
        <v>2566</v>
      </c>
      <c r="D32">
        <v>14059.086812580466</v>
      </c>
      <c r="E32">
        <v>14165</v>
      </c>
      <c r="F32">
        <v>14525</v>
      </c>
      <c r="G32" t="s">
        <v>2921</v>
      </c>
    </row>
    <row r="33" spans="1:8">
      <c r="A33" t="s">
        <v>2881</v>
      </c>
      <c r="B33" t="s">
        <v>2881</v>
      </c>
      <c r="C33" t="s">
        <v>2566</v>
      </c>
      <c r="D33">
        <v>13806.666376245084</v>
      </c>
      <c r="E33">
        <v>14268.514527701627</v>
      </c>
      <c r="F33">
        <v>14538</v>
      </c>
      <c r="G33" t="s">
        <v>2922</v>
      </c>
    </row>
    <row r="34" spans="1:8">
      <c r="A34" t="s">
        <v>2883</v>
      </c>
      <c r="B34" t="s">
        <v>293</v>
      </c>
      <c r="C34" t="s">
        <v>2566</v>
      </c>
      <c r="D34">
        <v>13418.144477836213</v>
      </c>
      <c r="E34">
        <v>14045.038480392157</v>
      </c>
      <c r="F34">
        <v>14821</v>
      </c>
      <c r="G34" t="s">
        <v>2923</v>
      </c>
    </row>
    <row r="35" spans="1:8">
      <c r="A35" t="s">
        <v>615</v>
      </c>
      <c r="B35" t="s">
        <v>615</v>
      </c>
      <c r="C35" t="s">
        <v>2566</v>
      </c>
      <c r="D35">
        <v>13413.862272909353</v>
      </c>
      <c r="E35">
        <v>13973.50158982512</v>
      </c>
      <c r="F35">
        <v>14239</v>
      </c>
      <c r="G35" t="s">
        <v>2924</v>
      </c>
    </row>
    <row r="36" spans="1:8">
      <c r="A36" t="s">
        <v>2647</v>
      </c>
      <c r="B36" t="s">
        <v>574</v>
      </c>
      <c r="C36" t="s">
        <v>2566</v>
      </c>
      <c r="D36">
        <v>13369.766843407564</v>
      </c>
      <c r="E36">
        <v>13933.092950877246</v>
      </c>
      <c r="F36">
        <v>14580</v>
      </c>
      <c r="G36" t="s">
        <v>2925</v>
      </c>
    </row>
    <row r="37" spans="1:8">
      <c r="A37" t="s">
        <v>284</v>
      </c>
      <c r="B37" t="s">
        <v>284</v>
      </c>
      <c r="C37" t="s">
        <v>2587</v>
      </c>
      <c r="D37">
        <v>13211.073790162023</v>
      </c>
      <c r="E37">
        <v>13738.261616934424</v>
      </c>
      <c r="F37">
        <v>14961.04296875</v>
      </c>
      <c r="G37" t="s">
        <v>2926</v>
      </c>
      <c r="H37" t="s">
        <v>2762</v>
      </c>
    </row>
    <row r="38" spans="1:8">
      <c r="A38" t="s">
        <v>2857</v>
      </c>
      <c r="B38" t="s">
        <v>427</v>
      </c>
      <c r="C38" t="s">
        <v>2587</v>
      </c>
      <c r="D38">
        <v>13124.872688010515</v>
      </c>
      <c r="E38">
        <v>13831.856108228319</v>
      </c>
      <c r="F38">
        <v>14239</v>
      </c>
      <c r="G38" t="s">
        <v>2927</v>
      </c>
      <c r="H38" t="s">
        <v>2859</v>
      </c>
    </row>
    <row r="39" spans="1:8">
      <c r="A39" t="s">
        <v>2876</v>
      </c>
      <c r="B39" t="s">
        <v>2877</v>
      </c>
      <c r="C39" t="s">
        <v>2566</v>
      </c>
      <c r="D39">
        <v>12993.754584618282</v>
      </c>
      <c r="E39">
        <v>13269.282010997644</v>
      </c>
      <c r="F39">
        <v>13355</v>
      </c>
      <c r="G39" t="s">
        <v>2928</v>
      </c>
    </row>
    <row r="40" spans="1:8">
      <c r="A40" t="s">
        <v>2819</v>
      </c>
      <c r="B40" t="s">
        <v>485</v>
      </c>
      <c r="C40" t="s">
        <v>2566</v>
      </c>
      <c r="D40">
        <v>12975.083246961274</v>
      </c>
      <c r="E40">
        <v>13182.169484702094</v>
      </c>
      <c r="F40">
        <v>13740</v>
      </c>
      <c r="G40" t="s">
        <v>2929</v>
      </c>
    </row>
    <row r="41" spans="1:8">
      <c r="A41" t="s">
        <v>310</v>
      </c>
      <c r="B41" t="s">
        <v>310</v>
      </c>
      <c r="C41" t="s">
        <v>2587</v>
      </c>
      <c r="D41">
        <v>12902.426346838776</v>
      </c>
      <c r="E41">
        <v>13524.432910684682</v>
      </c>
      <c r="F41">
        <v>14848.80859375</v>
      </c>
      <c r="G41" t="s">
        <v>2930</v>
      </c>
      <c r="H41" t="s">
        <v>2734</v>
      </c>
    </row>
    <row r="42" spans="1:8">
      <c r="A42" t="s">
        <v>2826</v>
      </c>
      <c r="B42" t="s">
        <v>564</v>
      </c>
      <c r="C42" t="s">
        <v>2566</v>
      </c>
      <c r="D42">
        <v>12863.002072099649</v>
      </c>
      <c r="E42">
        <v>13466.051114601096</v>
      </c>
      <c r="F42">
        <v>14484</v>
      </c>
      <c r="G42" t="s">
        <v>2931</v>
      </c>
    </row>
    <row r="43" spans="1:8">
      <c r="A43" t="s">
        <v>2665</v>
      </c>
      <c r="B43" t="s">
        <v>549</v>
      </c>
      <c r="C43" t="s">
        <v>2566</v>
      </c>
      <c r="D43">
        <v>12764.613179098149</v>
      </c>
      <c r="E43">
        <v>13814.281947261663</v>
      </c>
      <c r="F43">
        <v>14724</v>
      </c>
      <c r="G43" t="s">
        <v>2932</v>
      </c>
    </row>
    <row r="44" spans="1:8">
      <c r="A44" t="s">
        <v>2643</v>
      </c>
      <c r="B44" t="s">
        <v>451</v>
      </c>
      <c r="C44" t="s">
        <v>2566</v>
      </c>
      <c r="D44">
        <v>12574.19615692554</v>
      </c>
      <c r="E44">
        <v>14192.642014867164</v>
      </c>
      <c r="F44">
        <v>115310</v>
      </c>
      <c r="G44" t="s">
        <v>2933</v>
      </c>
      <c r="H44" t="s">
        <v>2624</v>
      </c>
    </row>
    <row r="45" spans="1:8">
      <c r="A45" t="s">
        <v>282</v>
      </c>
      <c r="B45" t="s">
        <v>282</v>
      </c>
      <c r="C45" t="s">
        <v>2587</v>
      </c>
      <c r="D45">
        <v>12534.152565495873</v>
      </c>
      <c r="E45">
        <v>13538.456798511092</v>
      </c>
      <c r="F45">
        <v>14796.32421875</v>
      </c>
      <c r="G45" t="s">
        <v>2934</v>
      </c>
      <c r="H45" t="s">
        <v>2788</v>
      </c>
    </row>
    <row r="46" spans="1:8">
      <c r="A46" t="s">
        <v>2702</v>
      </c>
      <c r="B46" t="s">
        <v>671</v>
      </c>
      <c r="C46" t="s">
        <v>2566</v>
      </c>
      <c r="D46">
        <v>12395.258956752199</v>
      </c>
      <c r="E46">
        <v>13348.518147684606</v>
      </c>
      <c r="F46">
        <v>31461</v>
      </c>
      <c r="G46" t="s">
        <v>2935</v>
      </c>
    </row>
    <row r="47" spans="1:8">
      <c r="A47" t="s">
        <v>2596</v>
      </c>
      <c r="B47" t="s">
        <v>315</v>
      </c>
      <c r="C47" t="s">
        <v>2566</v>
      </c>
      <c r="D47">
        <v>12362.510078981493</v>
      </c>
      <c r="E47">
        <v>14013.231539657916</v>
      </c>
      <c r="F47">
        <v>57621</v>
      </c>
      <c r="G47" t="s">
        <v>2936</v>
      </c>
    </row>
    <row r="48" spans="1:8">
      <c r="A48" t="s">
        <v>2600</v>
      </c>
      <c r="B48" t="s">
        <v>571</v>
      </c>
      <c r="C48" t="s">
        <v>2566</v>
      </c>
      <c r="D48">
        <v>12272.460060582263</v>
      </c>
      <c r="E48">
        <v>13700.477801235436</v>
      </c>
      <c r="F48">
        <v>14588</v>
      </c>
      <c r="G48" t="s">
        <v>2937</v>
      </c>
    </row>
    <row r="49" spans="1:8">
      <c r="A49" t="s">
        <v>2651</v>
      </c>
      <c r="B49" t="s">
        <v>661</v>
      </c>
      <c r="C49" t="s">
        <v>2566</v>
      </c>
      <c r="D49">
        <v>12096.089821066049</v>
      </c>
      <c r="E49">
        <v>23971.285312523734</v>
      </c>
      <c r="F49">
        <v>27800</v>
      </c>
      <c r="G49" t="s">
        <v>2938</v>
      </c>
    </row>
    <row r="50" spans="1:8">
      <c r="A50" t="s">
        <v>425</v>
      </c>
      <c r="B50" t="s">
        <v>425</v>
      </c>
      <c r="C50" t="s">
        <v>2566</v>
      </c>
      <c r="D50">
        <v>12010.163835151629</v>
      </c>
      <c r="E50">
        <v>12376.229112992271</v>
      </c>
      <c r="F50">
        <v>12491</v>
      </c>
      <c r="G50" t="s">
        <v>2939</v>
      </c>
    </row>
    <row r="51" spans="1:8">
      <c r="A51" t="s">
        <v>508</v>
      </c>
      <c r="B51" t="s">
        <v>508</v>
      </c>
      <c r="C51" t="s">
        <v>2566</v>
      </c>
      <c r="D51">
        <v>11947.152186070944</v>
      </c>
      <c r="E51">
        <v>12651.401317354481</v>
      </c>
      <c r="F51">
        <v>13256.34375</v>
      </c>
      <c r="G51" t="s">
        <v>2940</v>
      </c>
    </row>
    <row r="52" spans="1:8">
      <c r="A52" t="s">
        <v>2871</v>
      </c>
      <c r="B52" t="s">
        <v>286</v>
      </c>
      <c r="C52" t="s">
        <v>2566</v>
      </c>
      <c r="D52">
        <v>11867.175110755019</v>
      </c>
      <c r="E52">
        <v>12064</v>
      </c>
      <c r="F52">
        <v>12213</v>
      </c>
      <c r="G52" t="s">
        <v>2941</v>
      </c>
    </row>
    <row r="53" spans="1:8">
      <c r="A53" t="s">
        <v>449</v>
      </c>
      <c r="B53" t="s">
        <v>449</v>
      </c>
      <c r="C53" t="s">
        <v>2566</v>
      </c>
      <c r="D53">
        <v>11840.891577661465</v>
      </c>
      <c r="E53">
        <v>12685.844982653796</v>
      </c>
      <c r="F53">
        <v>13264.8203125</v>
      </c>
      <c r="G53" t="s">
        <v>2942</v>
      </c>
    </row>
    <row r="54" spans="1:8">
      <c r="A54" t="s">
        <v>2865</v>
      </c>
      <c r="B54" t="s">
        <v>391</v>
      </c>
      <c r="C54" t="s">
        <v>2566</v>
      </c>
      <c r="D54">
        <v>11745.424052570836</v>
      </c>
      <c r="E54">
        <v>13731.25145137881</v>
      </c>
      <c r="F54">
        <v>13804</v>
      </c>
      <c r="G54" t="s">
        <v>2943</v>
      </c>
    </row>
    <row r="55" spans="1:8">
      <c r="A55" t="s">
        <v>2627</v>
      </c>
      <c r="B55" t="s">
        <v>562</v>
      </c>
      <c r="C55" t="s">
        <v>2566</v>
      </c>
      <c r="D55">
        <v>11479.508177019512</v>
      </c>
      <c r="E55">
        <v>12342.952233942202</v>
      </c>
      <c r="F55">
        <v>14840</v>
      </c>
      <c r="G55" t="s">
        <v>2944</v>
      </c>
    </row>
    <row r="56" spans="1:8">
      <c r="A56" t="s">
        <v>2704</v>
      </c>
      <c r="B56" t="s">
        <v>2705</v>
      </c>
      <c r="C56" t="s">
        <v>2566</v>
      </c>
      <c r="D56">
        <v>11452.460973197041</v>
      </c>
      <c r="E56">
        <v>11783.088257761439</v>
      </c>
      <c r="F56">
        <v>12445</v>
      </c>
      <c r="G56" t="s">
        <v>2945</v>
      </c>
    </row>
    <row r="57" spans="1:8">
      <c r="A57" t="s">
        <v>2639</v>
      </c>
      <c r="B57" t="s">
        <v>537</v>
      </c>
      <c r="C57" t="s">
        <v>2566</v>
      </c>
      <c r="D57">
        <v>11365.769925060093</v>
      </c>
      <c r="E57">
        <v>11915.045053560176</v>
      </c>
      <c r="F57">
        <v>12622</v>
      </c>
      <c r="G57" t="s">
        <v>2946</v>
      </c>
    </row>
    <row r="58" spans="1:8">
      <c r="A58" t="s">
        <v>2662</v>
      </c>
      <c r="B58" t="s">
        <v>2663</v>
      </c>
      <c r="C58" t="s">
        <v>2566</v>
      </c>
      <c r="D58">
        <v>11332.04820128631</v>
      </c>
      <c r="E58">
        <v>11614.072886297376</v>
      </c>
      <c r="F58">
        <v>12313</v>
      </c>
      <c r="G58" t="s">
        <v>2947</v>
      </c>
    </row>
    <row r="59" spans="1:8">
      <c r="A59" t="s">
        <v>2810</v>
      </c>
      <c r="B59" t="s">
        <v>659</v>
      </c>
      <c r="C59" t="s">
        <v>2566</v>
      </c>
      <c r="D59">
        <v>11295.507924546075</v>
      </c>
      <c r="E59">
        <v>12210.57082945014</v>
      </c>
      <c r="F59">
        <v>12480</v>
      </c>
      <c r="G59" t="s">
        <v>2948</v>
      </c>
    </row>
    <row r="60" spans="1:8">
      <c r="A60" t="s">
        <v>2837</v>
      </c>
      <c r="B60" t="s">
        <v>2838</v>
      </c>
      <c r="C60" t="s">
        <v>2566</v>
      </c>
      <c r="D60">
        <v>11280.663526086444</v>
      </c>
      <c r="E60">
        <v>11815.011893407624</v>
      </c>
      <c r="F60">
        <v>12489</v>
      </c>
      <c r="G60" t="s">
        <v>2949</v>
      </c>
    </row>
    <row r="61" spans="1:8">
      <c r="A61" t="s">
        <v>2830</v>
      </c>
      <c r="B61" t="s">
        <v>2831</v>
      </c>
      <c r="C61" t="s">
        <v>2566</v>
      </c>
      <c r="D61">
        <v>11230.839607085649</v>
      </c>
      <c r="E61">
        <v>11660.6791954048</v>
      </c>
      <c r="F61">
        <v>12322</v>
      </c>
      <c r="G61" t="s">
        <v>2950</v>
      </c>
      <c r="H61" t="s">
        <v>2657</v>
      </c>
    </row>
    <row r="62" spans="1:8">
      <c r="A62" t="s">
        <v>2753</v>
      </c>
      <c r="B62" t="s">
        <v>2754</v>
      </c>
      <c r="C62" t="s">
        <v>2566</v>
      </c>
      <c r="D62">
        <v>11200.62848195154</v>
      </c>
      <c r="E62">
        <v>11493.369401286493</v>
      </c>
      <c r="F62">
        <v>12154</v>
      </c>
      <c r="G62" t="s">
        <v>2951</v>
      </c>
    </row>
    <row r="63" spans="1:8">
      <c r="A63" t="s">
        <v>2790</v>
      </c>
      <c r="B63" t="s">
        <v>390</v>
      </c>
      <c r="C63" t="s">
        <v>2566</v>
      </c>
      <c r="D63">
        <v>11145.645906970169</v>
      </c>
      <c r="E63">
        <v>11694.433724547514</v>
      </c>
      <c r="F63">
        <v>12058</v>
      </c>
      <c r="G63" t="s">
        <v>2952</v>
      </c>
      <c r="H63" t="s">
        <v>2661</v>
      </c>
    </row>
    <row r="64" spans="1:8">
      <c r="A64" t="s">
        <v>2823</v>
      </c>
      <c r="B64" t="s">
        <v>2824</v>
      </c>
      <c r="C64" t="s">
        <v>2566</v>
      </c>
      <c r="D64">
        <v>11092.717936638794</v>
      </c>
      <c r="E64">
        <v>11623.389892514895</v>
      </c>
      <c r="F64">
        <v>14086</v>
      </c>
      <c r="G64" t="s">
        <v>2953</v>
      </c>
    </row>
    <row r="65" spans="1:8">
      <c r="A65" t="s">
        <v>458</v>
      </c>
      <c r="B65" t="s">
        <v>458</v>
      </c>
      <c r="C65" t="s">
        <v>2566</v>
      </c>
      <c r="D65">
        <v>11064.488522599737</v>
      </c>
      <c r="E65">
        <v>13988.717014723557</v>
      </c>
      <c r="F65">
        <v>14615.8359375</v>
      </c>
      <c r="G65" t="s">
        <v>2954</v>
      </c>
    </row>
    <row r="66" spans="1:8">
      <c r="A66" t="s">
        <v>2654</v>
      </c>
      <c r="B66" t="s">
        <v>542</v>
      </c>
      <c r="C66" t="s">
        <v>2566</v>
      </c>
      <c r="D66">
        <v>11019.586142719156</v>
      </c>
      <c r="E66">
        <v>11456.693714525962</v>
      </c>
      <c r="F66">
        <v>12146</v>
      </c>
      <c r="G66" t="s">
        <v>2955</v>
      </c>
    </row>
    <row r="67" spans="1:8">
      <c r="A67" t="s">
        <v>2862</v>
      </c>
      <c r="B67" t="s">
        <v>2863</v>
      </c>
      <c r="C67" t="s">
        <v>2566</v>
      </c>
      <c r="D67">
        <v>10924.729505687304</v>
      </c>
      <c r="E67">
        <v>11319.729971666735</v>
      </c>
      <c r="F67">
        <v>11899</v>
      </c>
      <c r="G67" t="s">
        <v>2956</v>
      </c>
    </row>
    <row r="68" spans="1:8">
      <c r="A68" t="s">
        <v>2713</v>
      </c>
      <c r="B68" t="s">
        <v>2714</v>
      </c>
      <c r="C68" t="s">
        <v>2566</v>
      </c>
      <c r="D68">
        <v>10909.086269430052</v>
      </c>
      <c r="E68">
        <v>11272.710679363719</v>
      </c>
      <c r="F68">
        <v>12005</v>
      </c>
      <c r="G68" t="s">
        <v>2957</v>
      </c>
    </row>
    <row r="69" spans="1:8">
      <c r="A69" t="s">
        <v>2785</v>
      </c>
      <c r="B69" t="s">
        <v>296</v>
      </c>
      <c r="C69" t="s">
        <v>2566</v>
      </c>
      <c r="D69">
        <v>10908.100506979194</v>
      </c>
      <c r="E69">
        <v>11626.937038545178</v>
      </c>
      <c r="F69">
        <v>11907</v>
      </c>
      <c r="G69" t="s">
        <v>2958</v>
      </c>
      <c r="H69" t="s">
        <v>2674</v>
      </c>
    </row>
    <row r="70" spans="1:8">
      <c r="A70" t="s">
        <v>2699</v>
      </c>
      <c r="B70" t="s">
        <v>524</v>
      </c>
      <c r="C70" t="s">
        <v>2587</v>
      </c>
      <c r="D70">
        <v>10856.249705313781</v>
      </c>
      <c r="E70">
        <v>11075.30193615908</v>
      </c>
      <c r="F70">
        <v>11802</v>
      </c>
      <c r="G70" t="s">
        <v>2959</v>
      </c>
      <c r="H70" t="s">
        <v>2701</v>
      </c>
    </row>
    <row r="71" spans="1:8">
      <c r="A71" t="s">
        <v>565</v>
      </c>
      <c r="B71" t="s">
        <v>565</v>
      </c>
      <c r="C71" t="s">
        <v>2566</v>
      </c>
      <c r="D71">
        <v>10556.163049731689</v>
      </c>
      <c r="E71">
        <v>10854.640960347057</v>
      </c>
      <c r="F71">
        <v>10886.34765625</v>
      </c>
      <c r="G71" t="s">
        <v>2960</v>
      </c>
    </row>
    <row r="72" spans="1:8">
      <c r="A72" t="s">
        <v>2689</v>
      </c>
      <c r="B72" t="s">
        <v>437</v>
      </c>
      <c r="C72" t="s">
        <v>2566</v>
      </c>
      <c r="D72">
        <v>10503.740908657059</v>
      </c>
      <c r="E72">
        <v>12287.724424810573</v>
      </c>
      <c r="F72">
        <v>13814</v>
      </c>
      <c r="G72" t="s">
        <v>2961</v>
      </c>
      <c r="H72" t="s">
        <v>2679</v>
      </c>
    </row>
    <row r="73" spans="1:8">
      <c r="A73" t="s">
        <v>2621</v>
      </c>
      <c r="B73" t="s">
        <v>561</v>
      </c>
      <c r="C73" t="s">
        <v>2566</v>
      </c>
      <c r="D73">
        <v>10438.396819787986</v>
      </c>
      <c r="E73">
        <v>11819.491246318988</v>
      </c>
      <c r="F73">
        <v>13223</v>
      </c>
      <c r="G73" t="s">
        <v>2962</v>
      </c>
    </row>
    <row r="74" spans="1:8">
      <c r="A74" t="s">
        <v>2770</v>
      </c>
      <c r="B74" t="s">
        <v>578</v>
      </c>
      <c r="C74" t="s">
        <v>2566</v>
      </c>
      <c r="D74">
        <v>10426.846916429227</v>
      </c>
      <c r="E74">
        <v>11072.30376590593</v>
      </c>
      <c r="F74">
        <v>11712</v>
      </c>
      <c r="G74" t="s">
        <v>2963</v>
      </c>
    </row>
    <row r="75" spans="1:8">
      <c r="A75" t="s">
        <v>2576</v>
      </c>
      <c r="B75" t="s">
        <v>307</v>
      </c>
      <c r="C75" t="s">
        <v>2566</v>
      </c>
      <c r="D75">
        <v>10056.307310099141</v>
      </c>
      <c r="E75">
        <v>11366.590057732728</v>
      </c>
      <c r="F75">
        <v>12206</v>
      </c>
      <c r="G75" t="s">
        <v>2964</v>
      </c>
    </row>
    <row r="76" spans="1:8">
      <c r="A76" t="s">
        <v>2586</v>
      </c>
      <c r="B76" t="s">
        <v>519</v>
      </c>
      <c r="C76" t="s">
        <v>2587</v>
      </c>
      <c r="D76">
        <v>10033.34342527867</v>
      </c>
      <c r="E76">
        <v>10702.20058013605</v>
      </c>
      <c r="F76">
        <v>12083</v>
      </c>
      <c r="G76" t="s">
        <v>2965</v>
      </c>
      <c r="H76" t="s">
        <v>2589</v>
      </c>
    </row>
    <row r="77" spans="1:8">
      <c r="A77" t="s">
        <v>2633</v>
      </c>
      <c r="B77" t="s">
        <v>559</v>
      </c>
      <c r="C77" t="s">
        <v>2566</v>
      </c>
      <c r="D77">
        <v>9915.7550183771564</v>
      </c>
      <c r="E77">
        <v>10997.926300669908</v>
      </c>
      <c r="F77">
        <v>12763</v>
      </c>
      <c r="G77" t="s">
        <v>2966</v>
      </c>
      <c r="H77" t="s">
        <v>2688</v>
      </c>
    </row>
    <row r="78" spans="1:8">
      <c r="A78" t="s">
        <v>2635</v>
      </c>
      <c r="B78" t="s">
        <v>488</v>
      </c>
      <c r="C78" t="s">
        <v>2566</v>
      </c>
      <c r="D78">
        <v>9619.6057884937181</v>
      </c>
      <c r="E78">
        <v>12613.671028212773</v>
      </c>
      <c r="F78">
        <v>13541</v>
      </c>
      <c r="G78" t="s">
        <v>2967</v>
      </c>
    </row>
    <row r="79" spans="1:8">
      <c r="A79" t="s">
        <v>521</v>
      </c>
      <c r="B79" t="s">
        <v>521</v>
      </c>
      <c r="C79" t="s">
        <v>2566</v>
      </c>
      <c r="D79">
        <v>9520.0476077355452</v>
      </c>
      <c r="E79">
        <v>10490.365560699984</v>
      </c>
      <c r="F79">
        <v>13234.1953125</v>
      </c>
      <c r="G79" t="s">
        <v>2968</v>
      </c>
    </row>
    <row r="80" spans="1:8">
      <c r="A80" t="s">
        <v>2728</v>
      </c>
      <c r="B80" t="s">
        <v>374</v>
      </c>
      <c r="C80" t="s">
        <v>2566</v>
      </c>
      <c r="D80">
        <v>9392.5804261024168</v>
      </c>
      <c r="E80">
        <v>13174.698001012146</v>
      </c>
      <c r="F80">
        <v>14514</v>
      </c>
      <c r="G80" t="s">
        <v>2969</v>
      </c>
    </row>
    <row r="81" spans="1:8">
      <c r="A81" t="s">
        <v>2590</v>
      </c>
      <c r="B81" t="s">
        <v>495</v>
      </c>
      <c r="C81" t="s">
        <v>2587</v>
      </c>
      <c r="D81">
        <v>9334.751736521288</v>
      </c>
      <c r="E81">
        <v>10054.567739507656</v>
      </c>
      <c r="F81">
        <v>11503</v>
      </c>
      <c r="G81" t="s">
        <v>2970</v>
      </c>
      <c r="H81" t="s">
        <v>2592</v>
      </c>
    </row>
    <row r="82" spans="1:8">
      <c r="A82" t="s">
        <v>2738</v>
      </c>
      <c r="B82" t="s">
        <v>474</v>
      </c>
      <c r="C82" t="s">
        <v>2566</v>
      </c>
      <c r="D82">
        <v>8552.2515263666573</v>
      </c>
      <c r="E82">
        <v>12123.525224489797</v>
      </c>
      <c r="F82">
        <v>30574</v>
      </c>
      <c r="G82" t="s">
        <v>2971</v>
      </c>
    </row>
    <row r="83" spans="1:8">
      <c r="A83" t="s">
        <v>2604</v>
      </c>
      <c r="B83" t="s">
        <v>396</v>
      </c>
      <c r="C83" t="s">
        <v>2566</v>
      </c>
      <c r="D83">
        <v>8405.5798259885414</v>
      </c>
      <c r="E83">
        <v>8694.0517748491548</v>
      </c>
      <c r="F83">
        <v>13332</v>
      </c>
      <c r="G83" t="s">
        <v>2972</v>
      </c>
      <c r="H83" t="s">
        <v>2701</v>
      </c>
    </row>
    <row r="84" spans="1:8">
      <c r="A84" t="s">
        <v>2629</v>
      </c>
      <c r="B84" t="s">
        <v>322</v>
      </c>
      <c r="C84" t="s">
        <v>2566</v>
      </c>
      <c r="D84">
        <v>8311.338904993454</v>
      </c>
      <c r="E84">
        <v>9067.9983870967753</v>
      </c>
      <c r="F84">
        <v>13275</v>
      </c>
      <c r="G84" t="s">
        <v>2973</v>
      </c>
    </row>
    <row r="85" spans="1:8">
      <c r="A85" t="s">
        <v>2611</v>
      </c>
      <c r="B85" t="s">
        <v>320</v>
      </c>
      <c r="C85" t="s">
        <v>2566</v>
      </c>
      <c r="D85">
        <v>8302.6504451877317</v>
      </c>
      <c r="E85">
        <v>8767.9625144175316</v>
      </c>
      <c r="F85">
        <v>13389</v>
      </c>
      <c r="G85" t="s">
        <v>2974</v>
      </c>
    </row>
    <row r="86" spans="1:8">
      <c r="A86" t="s">
        <v>2609</v>
      </c>
      <c r="B86" t="s">
        <v>397</v>
      </c>
      <c r="C86" t="s">
        <v>2566</v>
      </c>
      <c r="D86">
        <v>8269.7841584158414</v>
      </c>
      <c r="E86">
        <v>8691.0793737613403</v>
      </c>
      <c r="F86">
        <v>13362</v>
      </c>
      <c r="G86" t="s">
        <v>2975</v>
      </c>
      <c r="H86" t="s">
        <v>2708</v>
      </c>
    </row>
    <row r="87" spans="1:8">
      <c r="A87" t="s">
        <v>2602</v>
      </c>
      <c r="B87" t="s">
        <v>388</v>
      </c>
      <c r="C87" t="s">
        <v>2566</v>
      </c>
      <c r="D87">
        <v>8189.4503017729157</v>
      </c>
      <c r="E87">
        <v>8560.3671299113739</v>
      </c>
      <c r="F87">
        <v>13324</v>
      </c>
      <c r="G87" t="s">
        <v>2976</v>
      </c>
    </row>
    <row r="88" spans="1:8">
      <c r="A88" t="s">
        <v>2613</v>
      </c>
      <c r="B88" t="s">
        <v>318</v>
      </c>
      <c r="C88" t="s">
        <v>2566</v>
      </c>
      <c r="D88">
        <v>8107.8916676487916</v>
      </c>
      <c r="E88">
        <v>8874.0919292670187</v>
      </c>
      <c r="F88">
        <v>12996</v>
      </c>
      <c r="G88" t="s">
        <v>2977</v>
      </c>
    </row>
    <row r="89" spans="1:8">
      <c r="A89" t="s">
        <v>2582</v>
      </c>
      <c r="B89" t="s">
        <v>392</v>
      </c>
      <c r="C89" t="s">
        <v>2566</v>
      </c>
      <c r="D89">
        <v>8098.2832296380093</v>
      </c>
      <c r="E89">
        <v>8785.7687585743424</v>
      </c>
      <c r="F89">
        <v>13188</v>
      </c>
      <c r="G89" t="s">
        <v>2978</v>
      </c>
    </row>
    <row r="90" spans="1:8">
      <c r="A90" t="s">
        <v>2774</v>
      </c>
      <c r="B90" t="s">
        <v>355</v>
      </c>
      <c r="C90" t="s">
        <v>2566</v>
      </c>
      <c r="D90">
        <v>7672.1686253999505</v>
      </c>
      <c r="E90">
        <v>8624.0507370368978</v>
      </c>
      <c r="F90">
        <v>12609</v>
      </c>
      <c r="G90" t="s">
        <v>2979</v>
      </c>
    </row>
    <row r="91" spans="1:8">
      <c r="A91" t="s">
        <v>399</v>
      </c>
      <c r="B91" t="s">
        <v>399</v>
      </c>
      <c r="C91" t="s">
        <v>2566</v>
      </c>
      <c r="D91">
        <v>6971.8127306969081</v>
      </c>
      <c r="E91">
        <v>7032.7202160893958</v>
      </c>
      <c r="F91">
        <v>7113.55859375</v>
      </c>
      <c r="G91" t="s">
        <v>2980</v>
      </c>
    </row>
    <row r="92" spans="1:8">
      <c r="A92" t="s">
        <v>802</v>
      </c>
      <c r="B92" t="s">
        <v>802</v>
      </c>
      <c r="C92" t="s">
        <v>2587</v>
      </c>
      <c r="D92">
        <v>6944.4283743539618</v>
      </c>
      <c r="E92">
        <v>7017.8842200895333</v>
      </c>
      <c r="F92">
        <v>7061.49609375</v>
      </c>
      <c r="G92" t="s">
        <v>2981</v>
      </c>
      <c r="H92" t="s">
        <v>2778</v>
      </c>
    </row>
    <row r="93" spans="1:8">
      <c r="A93" t="s">
        <v>323</v>
      </c>
      <c r="B93" t="s">
        <v>323</v>
      </c>
      <c r="C93" t="s">
        <v>2587</v>
      </c>
      <c r="D93">
        <v>6941.7012112958719</v>
      </c>
      <c r="E93">
        <v>6984.5703125</v>
      </c>
      <c r="F93">
        <v>7082.88671875</v>
      </c>
      <c r="G93" t="s">
        <v>2982</v>
      </c>
      <c r="H93" t="s">
        <v>2708</v>
      </c>
    </row>
    <row r="94" spans="1:8">
      <c r="A94" t="s">
        <v>327</v>
      </c>
      <c r="B94" t="s">
        <v>327</v>
      </c>
      <c r="C94" t="s">
        <v>2566</v>
      </c>
      <c r="D94">
        <v>6930.1840073987605</v>
      </c>
      <c r="E94">
        <v>6983.7453440019171</v>
      </c>
      <c r="F94">
        <v>7080.796875</v>
      </c>
      <c r="G94" t="s">
        <v>2983</v>
      </c>
      <c r="H94" t="s">
        <v>2723</v>
      </c>
    </row>
    <row r="95" spans="1:8">
      <c r="A95" t="s">
        <v>2672</v>
      </c>
      <c r="B95" t="s">
        <v>834</v>
      </c>
      <c r="C95" t="s">
        <v>2587</v>
      </c>
      <c r="D95">
        <v>6729.322701467574</v>
      </c>
      <c r="E95">
        <v>7741.153956353216</v>
      </c>
      <c r="F95">
        <v>9843</v>
      </c>
      <c r="G95" t="s">
        <v>2984</v>
      </c>
      <c r="H95" t="s">
        <v>2674</v>
      </c>
    </row>
    <row r="96" spans="1:8">
      <c r="A96" t="s">
        <v>2695</v>
      </c>
      <c r="B96" t="s">
        <v>472</v>
      </c>
      <c r="C96" t="s">
        <v>2587</v>
      </c>
      <c r="D96">
        <v>6559.5373113240867</v>
      </c>
      <c r="E96">
        <v>15960.605734269386</v>
      </c>
      <c r="F96">
        <v>23946</v>
      </c>
      <c r="G96" t="s">
        <v>2985</v>
      </c>
      <c r="H96" t="s">
        <v>2697</v>
      </c>
    </row>
    <row r="97" spans="1:8">
      <c r="A97" t="s">
        <v>2659</v>
      </c>
      <c r="B97" t="s">
        <v>836</v>
      </c>
      <c r="C97" t="s">
        <v>2587</v>
      </c>
      <c r="D97">
        <v>6519.1595561732902</v>
      </c>
      <c r="E97">
        <v>7448.4024119770593</v>
      </c>
      <c r="F97">
        <v>10036</v>
      </c>
      <c r="G97" t="s">
        <v>2986</v>
      </c>
      <c r="H97" t="s">
        <v>2661</v>
      </c>
    </row>
    <row r="98" spans="1:8">
      <c r="A98" t="s">
        <v>2682</v>
      </c>
      <c r="B98" t="s">
        <v>2682</v>
      </c>
      <c r="C98" t="s">
        <v>2566</v>
      </c>
      <c r="D98">
        <v>6490.0502168217608</v>
      </c>
      <c r="E98">
        <v>6637.320464797248</v>
      </c>
      <c r="F98">
        <v>6983.34765625</v>
      </c>
      <c r="G98" t="s">
        <v>2987</v>
      </c>
    </row>
    <row r="99" spans="1:8">
      <c r="A99" t="s">
        <v>386</v>
      </c>
      <c r="B99" t="s">
        <v>386</v>
      </c>
      <c r="C99" t="s">
        <v>2566</v>
      </c>
      <c r="D99">
        <v>6431.818509941435</v>
      </c>
      <c r="E99">
        <v>6779.3550845834607</v>
      </c>
      <c r="F99">
        <v>7111.08984375</v>
      </c>
      <c r="G99" t="s">
        <v>2988</v>
      </c>
    </row>
    <row r="100" spans="1:8">
      <c r="A100" t="s">
        <v>505</v>
      </c>
      <c r="B100" t="s">
        <v>505</v>
      </c>
      <c r="C100" t="s">
        <v>2566</v>
      </c>
      <c r="D100">
        <v>6408.9453276113936</v>
      </c>
      <c r="E100">
        <v>6864.0066206998345</v>
      </c>
      <c r="F100">
        <v>7185.94921875</v>
      </c>
      <c r="G100" t="s">
        <v>2989</v>
      </c>
    </row>
    <row r="101" spans="1:8">
      <c r="A101" t="s">
        <v>2680</v>
      </c>
      <c r="B101" t="s">
        <v>471</v>
      </c>
      <c r="C101" t="s">
        <v>2566</v>
      </c>
      <c r="D101">
        <v>6390.1690479558638</v>
      </c>
      <c r="E101">
        <v>13107.9347455591</v>
      </c>
      <c r="F101">
        <v>14181</v>
      </c>
      <c r="G101" t="s">
        <v>2990</v>
      </c>
      <c r="H101" t="s">
        <v>2734</v>
      </c>
    </row>
    <row r="102" spans="1:8">
      <c r="A102" t="s">
        <v>2779</v>
      </c>
      <c r="B102" t="s">
        <v>440</v>
      </c>
      <c r="C102" t="s">
        <v>2566</v>
      </c>
      <c r="D102">
        <v>6388.4320724560466</v>
      </c>
      <c r="E102">
        <v>6660</v>
      </c>
      <c r="F102">
        <v>6805</v>
      </c>
      <c r="G102" t="s">
        <v>2991</v>
      </c>
    </row>
    <row r="103" spans="1:8">
      <c r="A103" t="s">
        <v>384</v>
      </c>
      <c r="B103" t="s">
        <v>384</v>
      </c>
      <c r="C103" t="s">
        <v>2566</v>
      </c>
      <c r="D103">
        <v>6330.2859800213091</v>
      </c>
      <c r="E103">
        <v>6436.3349482017165</v>
      </c>
      <c r="F103">
        <v>6654.12890625</v>
      </c>
      <c r="G103" t="s">
        <v>2992</v>
      </c>
      <c r="H103" t="s">
        <v>2737</v>
      </c>
    </row>
    <row r="104" spans="1:8">
      <c r="A104" t="s">
        <v>467</v>
      </c>
      <c r="B104" t="s">
        <v>467</v>
      </c>
      <c r="C104" t="s">
        <v>2587</v>
      </c>
      <c r="D104">
        <v>6314.4496362305254</v>
      </c>
      <c r="E104">
        <v>6618.9320131670202</v>
      </c>
      <c r="F104">
        <v>7025.390625</v>
      </c>
      <c r="G104" t="s">
        <v>2993</v>
      </c>
      <c r="H104" t="s">
        <v>2624</v>
      </c>
    </row>
    <row r="105" spans="1:8">
      <c r="A105" t="s">
        <v>2833</v>
      </c>
      <c r="B105" t="s">
        <v>410</v>
      </c>
      <c r="C105" t="s">
        <v>2566</v>
      </c>
      <c r="D105">
        <v>6262.5224981882866</v>
      </c>
      <c r="E105">
        <v>6425.25</v>
      </c>
      <c r="F105">
        <v>6505</v>
      </c>
      <c r="G105" t="s">
        <v>2994</v>
      </c>
    </row>
    <row r="106" spans="1:8">
      <c r="A106" t="s">
        <v>2565</v>
      </c>
      <c r="B106" t="s">
        <v>363</v>
      </c>
      <c r="C106" t="s">
        <v>2566</v>
      </c>
      <c r="D106">
        <v>6147.3151995820772</v>
      </c>
      <c r="E106">
        <v>6874.8653899062328</v>
      </c>
      <c r="F106">
        <v>12962</v>
      </c>
      <c r="G106" t="s">
        <v>2995</v>
      </c>
    </row>
    <row r="107" spans="1:8">
      <c r="A107" t="s">
        <v>2619</v>
      </c>
      <c r="B107" t="s">
        <v>657</v>
      </c>
      <c r="C107" t="s">
        <v>2566</v>
      </c>
      <c r="D107">
        <v>6138.3124646293154</v>
      </c>
      <c r="E107">
        <v>6612.6134772543446</v>
      </c>
      <c r="F107">
        <v>7302</v>
      </c>
      <c r="G107" t="s">
        <v>2996</v>
      </c>
    </row>
    <row r="108" spans="1:8">
      <c r="A108" t="s">
        <v>460</v>
      </c>
      <c r="B108" t="s">
        <v>460</v>
      </c>
      <c r="C108" t="s">
        <v>2566</v>
      </c>
      <c r="D108">
        <v>6134.9792439387802</v>
      </c>
      <c r="E108">
        <v>6514.060652588797</v>
      </c>
      <c r="F108">
        <v>6815.7890625</v>
      </c>
      <c r="G108" t="s">
        <v>2997</v>
      </c>
    </row>
    <row r="109" spans="1:8">
      <c r="A109" t="s">
        <v>667</v>
      </c>
      <c r="B109" t="s">
        <v>667</v>
      </c>
      <c r="C109" t="s">
        <v>2587</v>
      </c>
      <c r="D109">
        <v>6069.7197138951187</v>
      </c>
      <c r="E109">
        <v>6462.8224000716891</v>
      </c>
      <c r="F109">
        <v>7043.38671875</v>
      </c>
      <c r="G109" t="s">
        <v>2998</v>
      </c>
      <c r="H109" t="s">
        <v>2737</v>
      </c>
    </row>
    <row r="110" spans="1:8">
      <c r="A110" t="s">
        <v>366</v>
      </c>
      <c r="B110" t="s">
        <v>366</v>
      </c>
      <c r="C110" t="s">
        <v>2566</v>
      </c>
      <c r="D110">
        <v>6058.966067235533</v>
      </c>
      <c r="E110">
        <v>6299.8455623286509</v>
      </c>
      <c r="F110">
        <v>6889.453125</v>
      </c>
      <c r="G110" t="s">
        <v>2999</v>
      </c>
    </row>
    <row r="111" spans="1:8">
      <c r="A111" t="s">
        <v>2584</v>
      </c>
      <c r="B111" t="s">
        <v>361</v>
      </c>
      <c r="C111" t="s">
        <v>2566</v>
      </c>
      <c r="D111">
        <v>6018.743222518463</v>
      </c>
      <c r="E111">
        <v>6649.0050192223707</v>
      </c>
      <c r="F111">
        <v>13088</v>
      </c>
      <c r="G111" t="s">
        <v>3000</v>
      </c>
    </row>
    <row r="112" spans="1:8">
      <c r="A112" t="s">
        <v>2578</v>
      </c>
      <c r="B112" t="s">
        <v>360</v>
      </c>
      <c r="C112" t="s">
        <v>2566</v>
      </c>
      <c r="D112">
        <v>5989.5500342619507</v>
      </c>
      <c r="E112">
        <v>6591.2646027746241</v>
      </c>
      <c r="F112">
        <v>13117</v>
      </c>
      <c r="G112" t="s">
        <v>3001</v>
      </c>
    </row>
    <row r="113" spans="1:8">
      <c r="A113" t="s">
        <v>2751</v>
      </c>
      <c r="B113" t="s">
        <v>403</v>
      </c>
      <c r="C113" t="s">
        <v>2566</v>
      </c>
      <c r="D113">
        <v>5954.682645874067</v>
      </c>
      <c r="E113">
        <v>12520.325594619957</v>
      </c>
      <c r="F113">
        <v>30046</v>
      </c>
      <c r="G113" t="s">
        <v>3002</v>
      </c>
    </row>
    <row r="114" spans="1:8">
      <c r="A114" t="s">
        <v>2580</v>
      </c>
      <c r="B114" t="s">
        <v>362</v>
      </c>
      <c r="C114" t="s">
        <v>2566</v>
      </c>
      <c r="D114">
        <v>5925.6586696262011</v>
      </c>
      <c r="E114">
        <v>6647.1600678648392</v>
      </c>
      <c r="F114">
        <v>13068</v>
      </c>
      <c r="G114" t="s">
        <v>3003</v>
      </c>
    </row>
    <row r="115" spans="1:8">
      <c r="A115" t="s">
        <v>2574</v>
      </c>
      <c r="B115" t="s">
        <v>359</v>
      </c>
      <c r="C115" t="s">
        <v>2566</v>
      </c>
      <c r="D115">
        <v>5884.9331217733152</v>
      </c>
      <c r="E115">
        <v>6689.7279186691758</v>
      </c>
      <c r="F115">
        <v>13021</v>
      </c>
      <c r="G115" t="s">
        <v>3004</v>
      </c>
      <c r="H115" t="s">
        <v>2762</v>
      </c>
    </row>
    <row r="116" spans="1:8">
      <c r="A116" t="s">
        <v>481</v>
      </c>
      <c r="B116" t="s">
        <v>481</v>
      </c>
      <c r="C116" t="s">
        <v>2566</v>
      </c>
      <c r="D116">
        <v>5865.4634873680207</v>
      </c>
      <c r="E116">
        <v>6219.3830498362604</v>
      </c>
      <c r="F116">
        <v>6725.50390625</v>
      </c>
      <c r="G116" t="s">
        <v>3005</v>
      </c>
      <c r="H116" t="s">
        <v>2765</v>
      </c>
    </row>
    <row r="117" spans="1:8">
      <c r="A117" t="s">
        <v>2731</v>
      </c>
      <c r="B117" t="s">
        <v>305</v>
      </c>
      <c r="C117" t="s">
        <v>2566</v>
      </c>
      <c r="D117">
        <v>5857.7901890132116</v>
      </c>
      <c r="E117">
        <v>6413.0401337792646</v>
      </c>
      <c r="F117">
        <v>6495</v>
      </c>
      <c r="G117" t="s">
        <v>3006</v>
      </c>
    </row>
    <row r="118" spans="1:8">
      <c r="A118" t="s">
        <v>2808</v>
      </c>
      <c r="B118" t="s">
        <v>530</v>
      </c>
      <c r="C118" t="s">
        <v>2566</v>
      </c>
      <c r="D118">
        <v>5810.4594550036509</v>
      </c>
      <c r="E118">
        <v>6178.6360079942169</v>
      </c>
      <c r="F118">
        <v>6277</v>
      </c>
      <c r="G118" t="s">
        <v>3007</v>
      </c>
    </row>
    <row r="119" spans="1:8">
      <c r="A119" t="s">
        <v>2804</v>
      </c>
      <c r="B119" t="s">
        <v>533</v>
      </c>
      <c r="C119" t="s">
        <v>2566</v>
      </c>
      <c r="D119">
        <v>5754.6719025975553</v>
      </c>
      <c r="E119">
        <v>6101.9354838709678</v>
      </c>
      <c r="F119">
        <v>6234</v>
      </c>
      <c r="G119" t="s">
        <v>3008</v>
      </c>
    </row>
    <row r="120" spans="1:8">
      <c r="A120" t="s">
        <v>2806</v>
      </c>
      <c r="B120" t="s">
        <v>523</v>
      </c>
      <c r="C120" t="s">
        <v>2566</v>
      </c>
      <c r="D120">
        <v>5714.5272478922334</v>
      </c>
      <c r="E120">
        <v>6128.9113924050635</v>
      </c>
      <c r="F120">
        <v>6520</v>
      </c>
      <c r="G120" t="s">
        <v>3009</v>
      </c>
    </row>
    <row r="121" spans="1:8">
      <c r="A121" t="s">
        <v>2814</v>
      </c>
      <c r="B121" t="s">
        <v>512</v>
      </c>
      <c r="C121" t="s">
        <v>2566</v>
      </c>
      <c r="D121">
        <v>5692.1444685159895</v>
      </c>
      <c r="E121">
        <v>6117.5625</v>
      </c>
      <c r="F121">
        <v>6230</v>
      </c>
      <c r="G121" t="s">
        <v>3010</v>
      </c>
    </row>
    <row r="122" spans="1:8">
      <c r="A122" t="s">
        <v>2783</v>
      </c>
      <c r="B122" t="s">
        <v>349</v>
      </c>
      <c r="C122" t="s">
        <v>2566</v>
      </c>
      <c r="D122">
        <v>5670.674433946705</v>
      </c>
      <c r="E122">
        <v>5915.0425531914898</v>
      </c>
      <c r="F122">
        <v>6422</v>
      </c>
      <c r="G122" t="s">
        <v>3011</v>
      </c>
    </row>
    <row r="123" spans="1:8">
      <c r="A123" t="s">
        <v>2849</v>
      </c>
      <c r="B123" t="s">
        <v>502</v>
      </c>
      <c r="C123" t="s">
        <v>2566</v>
      </c>
      <c r="D123">
        <v>5645.1428336040299</v>
      </c>
      <c r="E123">
        <v>5911.3958854874472</v>
      </c>
      <c r="F123">
        <v>6022</v>
      </c>
      <c r="G123" t="s">
        <v>3012</v>
      </c>
    </row>
    <row r="124" spans="1:8">
      <c r="A124" t="s">
        <v>2641</v>
      </c>
      <c r="B124" t="s">
        <v>510</v>
      </c>
      <c r="C124" t="s">
        <v>2566</v>
      </c>
      <c r="D124">
        <v>5520.9860087151101</v>
      </c>
      <c r="E124">
        <v>6072.2757201646091</v>
      </c>
      <c r="F124">
        <v>6146</v>
      </c>
      <c r="G124" t="s">
        <v>3013</v>
      </c>
      <c r="H124" t="s">
        <v>2778</v>
      </c>
    </row>
    <row r="125" spans="1:8">
      <c r="A125" t="s">
        <v>2802</v>
      </c>
      <c r="B125" t="s">
        <v>462</v>
      </c>
      <c r="C125" t="s">
        <v>2566</v>
      </c>
      <c r="D125">
        <v>5419.6384323342845</v>
      </c>
      <c r="E125">
        <v>6064.4587323474643</v>
      </c>
      <c r="F125">
        <v>6484</v>
      </c>
      <c r="G125" t="s">
        <v>3014</v>
      </c>
    </row>
    <row r="126" spans="1:8">
      <c r="A126" t="s">
        <v>2625</v>
      </c>
      <c r="B126" t="s">
        <v>476</v>
      </c>
      <c r="C126" t="s">
        <v>2566</v>
      </c>
      <c r="D126">
        <v>5402.7309306053176</v>
      </c>
      <c r="E126">
        <v>5719</v>
      </c>
      <c r="F126">
        <v>5822</v>
      </c>
      <c r="G126" t="s">
        <v>3015</v>
      </c>
      <c r="H126" t="s">
        <v>2782</v>
      </c>
    </row>
    <row r="127" spans="1:8">
      <c r="A127" t="s">
        <v>2853</v>
      </c>
      <c r="B127" t="s">
        <v>421</v>
      </c>
      <c r="C127" t="s">
        <v>2566</v>
      </c>
      <c r="D127">
        <v>5362.6102828611129</v>
      </c>
      <c r="E127">
        <v>6054.0838636529879</v>
      </c>
      <c r="F127">
        <v>6375</v>
      </c>
      <c r="G127" t="s">
        <v>3016</v>
      </c>
    </row>
    <row r="128" spans="1:8">
      <c r="A128" t="s">
        <v>2793</v>
      </c>
      <c r="B128" t="s">
        <v>479</v>
      </c>
      <c r="C128" t="s">
        <v>2566</v>
      </c>
      <c r="D128">
        <v>5335.2982625482628</v>
      </c>
      <c r="E128">
        <v>5519.0531211726129</v>
      </c>
      <c r="F128">
        <v>6183</v>
      </c>
      <c r="G128" t="s">
        <v>3017</v>
      </c>
    </row>
    <row r="129" spans="1:8">
      <c r="A129" t="s">
        <v>2550</v>
      </c>
      <c r="B129" t="s">
        <v>2550</v>
      </c>
      <c r="C129" t="s">
        <v>2523</v>
      </c>
      <c r="D129">
        <v>5333.3095739275605</v>
      </c>
      <c r="E129">
        <v>5598.0239571797711</v>
      </c>
      <c r="F129">
        <v>6715</v>
      </c>
      <c r="G129" t="s">
        <v>3018</v>
      </c>
      <c r="H129" t="s">
        <v>2552</v>
      </c>
    </row>
    <row r="130" spans="1:8">
      <c r="A130" t="s">
        <v>2547</v>
      </c>
      <c r="B130" t="s">
        <v>2547</v>
      </c>
      <c r="C130" t="s">
        <v>2523</v>
      </c>
      <c r="D130">
        <v>5304.3370734892269</v>
      </c>
      <c r="E130">
        <v>5602.6836555800437</v>
      </c>
      <c r="F130">
        <v>6534</v>
      </c>
      <c r="G130" t="s">
        <v>3019</v>
      </c>
      <c r="H130" t="s">
        <v>2549</v>
      </c>
    </row>
    <row r="131" spans="1:8">
      <c r="A131" t="s">
        <v>2553</v>
      </c>
      <c r="B131" t="s">
        <v>2553</v>
      </c>
      <c r="C131" t="s">
        <v>2523</v>
      </c>
      <c r="D131">
        <v>5303.4781485416261</v>
      </c>
      <c r="E131">
        <v>5584.3274428274426</v>
      </c>
      <c r="F131">
        <v>6688</v>
      </c>
      <c r="G131" t="s">
        <v>3020</v>
      </c>
      <c r="H131" t="s">
        <v>2555</v>
      </c>
    </row>
    <row r="132" spans="1:8">
      <c r="A132" t="s">
        <v>2556</v>
      </c>
      <c r="B132" t="s">
        <v>2556</v>
      </c>
      <c r="C132" t="s">
        <v>2523</v>
      </c>
      <c r="D132">
        <v>5287.6660305804489</v>
      </c>
      <c r="E132">
        <v>5611.9375</v>
      </c>
      <c r="F132">
        <v>6607</v>
      </c>
      <c r="G132" t="s">
        <v>3021</v>
      </c>
      <c r="H132" t="s">
        <v>2558</v>
      </c>
    </row>
    <row r="133" spans="1:8">
      <c r="A133" t="s">
        <v>2544</v>
      </c>
      <c r="B133" t="s">
        <v>2544</v>
      </c>
      <c r="C133" t="s">
        <v>2523</v>
      </c>
      <c r="D133">
        <v>5254.3090640727833</v>
      </c>
      <c r="E133">
        <v>5544.916712997282</v>
      </c>
      <c r="F133">
        <v>6623</v>
      </c>
      <c r="G133" t="s">
        <v>3022</v>
      </c>
      <c r="H133" t="s">
        <v>2546</v>
      </c>
    </row>
    <row r="134" spans="1:8">
      <c r="A134" t="s">
        <v>2568</v>
      </c>
      <c r="B134" t="s">
        <v>2568</v>
      </c>
      <c r="C134" t="s">
        <v>2523</v>
      </c>
      <c r="D134">
        <v>5252.9558473414618</v>
      </c>
      <c r="E134">
        <v>5528.9666666666672</v>
      </c>
      <c r="F134">
        <v>6757</v>
      </c>
      <c r="G134" t="s">
        <v>3023</v>
      </c>
      <c r="H134" t="s">
        <v>2570</v>
      </c>
    </row>
    <row r="135" spans="1:8">
      <c r="A135" t="s">
        <v>2559</v>
      </c>
      <c r="B135" t="s">
        <v>2559</v>
      </c>
      <c r="C135" t="s">
        <v>2523</v>
      </c>
      <c r="D135">
        <v>5248.8245309828289</v>
      </c>
      <c r="E135">
        <v>5539.9226494652794</v>
      </c>
      <c r="F135">
        <v>6725</v>
      </c>
      <c r="G135" t="s">
        <v>3024</v>
      </c>
      <c r="H135" t="s">
        <v>2561</v>
      </c>
    </row>
    <row r="136" spans="1:8">
      <c r="A136" t="s">
        <v>2686</v>
      </c>
      <c r="B136" t="s">
        <v>469</v>
      </c>
      <c r="C136" t="s">
        <v>2587</v>
      </c>
      <c r="D136">
        <v>5238.5191287744856</v>
      </c>
      <c r="E136">
        <v>7764.0753548776811</v>
      </c>
      <c r="F136">
        <v>14411</v>
      </c>
      <c r="G136" t="s">
        <v>3025</v>
      </c>
      <c r="H136" t="s">
        <v>2688</v>
      </c>
    </row>
    <row r="137" spans="1:8">
      <c r="A137" t="s">
        <v>2562</v>
      </c>
      <c r="B137" t="s">
        <v>2562</v>
      </c>
      <c r="C137" t="s">
        <v>2523</v>
      </c>
      <c r="D137">
        <v>5222.0257590361443</v>
      </c>
      <c r="E137">
        <v>5535.95304347826</v>
      </c>
      <c r="F137">
        <v>6516</v>
      </c>
      <c r="G137" t="s">
        <v>3026</v>
      </c>
      <c r="H137" t="s">
        <v>2564</v>
      </c>
    </row>
    <row r="138" spans="1:8">
      <c r="A138" t="s">
        <v>2541</v>
      </c>
      <c r="B138" t="s">
        <v>2541</v>
      </c>
      <c r="C138" t="s">
        <v>2523</v>
      </c>
      <c r="D138">
        <v>5172.7474828153745</v>
      </c>
      <c r="E138">
        <v>5461.8336763014076</v>
      </c>
      <c r="F138">
        <v>6800</v>
      </c>
      <c r="G138" t="s">
        <v>3027</v>
      </c>
      <c r="H138" t="s">
        <v>2543</v>
      </c>
    </row>
    <row r="139" spans="1:8">
      <c r="A139" t="s">
        <v>2538</v>
      </c>
      <c r="B139" t="s">
        <v>2538</v>
      </c>
      <c r="C139" t="s">
        <v>2523</v>
      </c>
      <c r="D139">
        <v>5152.2403974312374</v>
      </c>
      <c r="E139">
        <v>5493.5766305063598</v>
      </c>
      <c r="F139">
        <v>6724</v>
      </c>
      <c r="G139" t="s">
        <v>3028</v>
      </c>
      <c r="H139" t="s">
        <v>2540</v>
      </c>
    </row>
    <row r="140" spans="1:8">
      <c r="A140" t="s">
        <v>2720</v>
      </c>
      <c r="B140" t="s">
        <v>641</v>
      </c>
      <c r="C140" t="s">
        <v>2566</v>
      </c>
      <c r="D140">
        <v>5102.7206842117666</v>
      </c>
      <c r="E140">
        <v>5374.5468478163402</v>
      </c>
      <c r="F140">
        <v>5865</v>
      </c>
      <c r="G140" t="s">
        <v>3029</v>
      </c>
    </row>
    <row r="141" spans="1:8">
      <c r="A141" t="s">
        <v>2526</v>
      </c>
      <c r="B141" t="s">
        <v>2526</v>
      </c>
      <c r="C141" t="s">
        <v>2523</v>
      </c>
      <c r="D141">
        <v>5063.5118143251775</v>
      </c>
      <c r="E141">
        <v>5343.8222811671094</v>
      </c>
      <c r="F141">
        <v>6501</v>
      </c>
      <c r="G141" t="s">
        <v>3030</v>
      </c>
      <c r="H141" t="s">
        <v>2528</v>
      </c>
    </row>
    <row r="142" spans="1:8">
      <c r="A142" t="s">
        <v>2759</v>
      </c>
      <c r="B142" t="s">
        <v>677</v>
      </c>
      <c r="C142" t="s">
        <v>2566</v>
      </c>
      <c r="D142">
        <v>5042.1380455519702</v>
      </c>
      <c r="E142">
        <v>5249.9300291545187</v>
      </c>
      <c r="F142">
        <v>6132</v>
      </c>
      <c r="G142" t="s">
        <v>3031</v>
      </c>
    </row>
    <row r="143" spans="1:8">
      <c r="A143" t="s">
        <v>2522</v>
      </c>
      <c r="B143" t="s">
        <v>2522</v>
      </c>
      <c r="C143" t="s">
        <v>2523</v>
      </c>
      <c r="D143">
        <v>5032.5844712841999</v>
      </c>
      <c r="E143">
        <v>5327.4873949579833</v>
      </c>
      <c r="F143">
        <v>6428</v>
      </c>
      <c r="G143" t="s">
        <v>3032</v>
      </c>
      <c r="H143" t="s">
        <v>2525</v>
      </c>
    </row>
    <row r="144" spans="1:8">
      <c r="A144" t="s">
        <v>2532</v>
      </c>
      <c r="B144" t="s">
        <v>2532</v>
      </c>
      <c r="C144" t="s">
        <v>2523</v>
      </c>
      <c r="D144">
        <v>5021.6418056438597</v>
      </c>
      <c r="E144">
        <v>5288.8645994832041</v>
      </c>
      <c r="F144">
        <v>6499</v>
      </c>
      <c r="G144" t="s">
        <v>3033</v>
      </c>
      <c r="H144" t="s">
        <v>2534</v>
      </c>
    </row>
    <row r="145" spans="1:8">
      <c r="A145" t="s">
        <v>555</v>
      </c>
      <c r="B145" t="s">
        <v>555</v>
      </c>
      <c r="C145" t="s">
        <v>2587</v>
      </c>
      <c r="D145">
        <v>5016.2967654047261</v>
      </c>
      <c r="E145">
        <v>6240.8466063066062</v>
      </c>
      <c r="F145">
        <v>6778.12109375</v>
      </c>
      <c r="G145" t="s">
        <v>3034</v>
      </c>
      <c r="H145" t="s">
        <v>2723</v>
      </c>
    </row>
    <row r="146" spans="1:8">
      <c r="A146" t="s">
        <v>2535</v>
      </c>
      <c r="B146" t="s">
        <v>2535</v>
      </c>
      <c r="C146" t="s">
        <v>2523</v>
      </c>
      <c r="D146">
        <v>5012.4337885346658</v>
      </c>
      <c r="E146">
        <v>5307.7301247771848</v>
      </c>
      <c r="F146">
        <v>6423</v>
      </c>
      <c r="G146" t="s">
        <v>3035</v>
      </c>
      <c r="H146" t="s">
        <v>2537</v>
      </c>
    </row>
    <row r="147" spans="1:8">
      <c r="A147" t="s">
        <v>513</v>
      </c>
      <c r="B147" t="s">
        <v>513</v>
      </c>
      <c r="C147" t="s">
        <v>2566</v>
      </c>
      <c r="D147">
        <v>5000.4160475768576</v>
      </c>
      <c r="E147">
        <v>6186.5509724563717</v>
      </c>
      <c r="F147">
        <v>6778.01171875</v>
      </c>
      <c r="G147" t="s">
        <v>3036</v>
      </c>
    </row>
    <row r="148" spans="1:8">
      <c r="A148" t="s">
        <v>2529</v>
      </c>
      <c r="B148" t="s">
        <v>2529</v>
      </c>
      <c r="C148" t="s">
        <v>2523</v>
      </c>
      <c r="D148">
        <v>4988.9507626765908</v>
      </c>
      <c r="E148">
        <v>5345.289444857438</v>
      </c>
      <c r="F148">
        <v>6554</v>
      </c>
      <c r="G148" t="s">
        <v>3037</v>
      </c>
      <c r="H148" t="s">
        <v>2531</v>
      </c>
    </row>
    <row r="149" spans="1:8">
      <c r="A149" t="s">
        <v>2745</v>
      </c>
      <c r="B149" t="s">
        <v>464</v>
      </c>
      <c r="C149" t="s">
        <v>2566</v>
      </c>
      <c r="D149">
        <v>4842.4903930234204</v>
      </c>
      <c r="E149">
        <v>12731.451600887269</v>
      </c>
      <c r="F149">
        <v>14295</v>
      </c>
      <c r="G149" t="s">
        <v>3038</v>
      </c>
    </row>
    <row r="150" spans="1:8">
      <c r="A150" t="s">
        <v>2798</v>
      </c>
      <c r="B150" t="s">
        <v>377</v>
      </c>
      <c r="C150" t="s">
        <v>2566</v>
      </c>
      <c r="D150">
        <v>4749.9459497667403</v>
      </c>
      <c r="E150">
        <v>5031.5428571428574</v>
      </c>
      <c r="F150">
        <v>5123</v>
      </c>
      <c r="G150" t="s">
        <v>3039</v>
      </c>
    </row>
    <row r="151" spans="1:8">
      <c r="A151" t="s">
        <v>2772</v>
      </c>
      <c r="B151" t="s">
        <v>647</v>
      </c>
      <c r="C151" t="s">
        <v>2566</v>
      </c>
      <c r="D151">
        <v>4688.8939918509623</v>
      </c>
      <c r="E151">
        <v>4958.1563770669554</v>
      </c>
      <c r="F151">
        <v>5439</v>
      </c>
      <c r="G151" t="s">
        <v>3040</v>
      </c>
    </row>
    <row r="152" spans="1:8">
      <c r="A152" t="s">
        <v>2598</v>
      </c>
      <c r="B152" t="s">
        <v>357</v>
      </c>
      <c r="C152" t="s">
        <v>2566</v>
      </c>
      <c r="D152">
        <v>4624.8764116468228</v>
      </c>
      <c r="E152">
        <v>5251.7640482279858</v>
      </c>
      <c r="F152">
        <v>12348</v>
      </c>
      <c r="G152" t="s">
        <v>3041</v>
      </c>
    </row>
    <row r="153" spans="1:8">
      <c r="A153" t="s">
        <v>2709</v>
      </c>
      <c r="B153" t="s">
        <v>522</v>
      </c>
      <c r="C153" t="s">
        <v>2566</v>
      </c>
      <c r="D153">
        <v>4594.5050262494997</v>
      </c>
      <c r="E153">
        <v>5984.575847229693</v>
      </c>
      <c r="F153">
        <v>6233</v>
      </c>
      <c r="G153" t="s">
        <v>3042</v>
      </c>
    </row>
    <row r="154" spans="1:8">
      <c r="A154" t="s">
        <v>2749</v>
      </c>
      <c r="B154" t="s">
        <v>380</v>
      </c>
      <c r="C154" t="s">
        <v>2566</v>
      </c>
      <c r="D154">
        <v>4557.5343498856964</v>
      </c>
      <c r="E154">
        <v>5538</v>
      </c>
      <c r="F154">
        <v>6659</v>
      </c>
      <c r="G154" t="s">
        <v>3043</v>
      </c>
    </row>
    <row r="155" spans="1:8">
      <c r="A155" t="s">
        <v>2645</v>
      </c>
      <c r="B155" t="s">
        <v>532</v>
      </c>
      <c r="C155" t="s">
        <v>2566</v>
      </c>
      <c r="D155">
        <v>4534.3502473498229</v>
      </c>
      <c r="E155">
        <v>5914.8249999999998</v>
      </c>
      <c r="F155">
        <v>5983</v>
      </c>
      <c r="G155" t="s">
        <v>3044</v>
      </c>
    </row>
    <row r="156" spans="1:8">
      <c r="A156" t="s">
        <v>2572</v>
      </c>
      <c r="B156" t="s">
        <v>526</v>
      </c>
      <c r="C156" t="s">
        <v>2566</v>
      </c>
      <c r="D156">
        <v>4461.3521902494804</v>
      </c>
      <c r="E156">
        <v>4981.1294542625765</v>
      </c>
      <c r="F156">
        <v>5680</v>
      </c>
      <c r="G156" t="s">
        <v>3045</v>
      </c>
    </row>
    <row r="157" spans="1:8">
      <c r="A157" t="s">
        <v>2637</v>
      </c>
      <c r="B157" t="s">
        <v>365</v>
      </c>
      <c r="C157" t="s">
        <v>2566</v>
      </c>
      <c r="D157">
        <v>4330.8185030744226</v>
      </c>
      <c r="E157">
        <v>5293.6530788702621</v>
      </c>
      <c r="F157">
        <v>6347</v>
      </c>
      <c r="G157" t="s">
        <v>3046</v>
      </c>
      <c r="H157" t="s">
        <v>2843</v>
      </c>
    </row>
    <row r="158" spans="1:8">
      <c r="A158" t="s">
        <v>570</v>
      </c>
      <c r="B158" t="s">
        <v>570</v>
      </c>
      <c r="C158" t="s">
        <v>2566</v>
      </c>
      <c r="D158">
        <v>4282.8756608225885</v>
      </c>
      <c r="E158">
        <v>5227.7577050288364</v>
      </c>
      <c r="F158">
        <v>6611.3203125</v>
      </c>
      <c r="G158" t="s">
        <v>3047</v>
      </c>
    </row>
    <row r="159" spans="1:8">
      <c r="A159" t="s">
        <v>2649</v>
      </c>
      <c r="B159" t="s">
        <v>529</v>
      </c>
      <c r="C159" t="s">
        <v>2566</v>
      </c>
      <c r="D159">
        <v>3848.6427864681491</v>
      </c>
      <c r="E159">
        <v>5825.1571428571433</v>
      </c>
      <c r="F159">
        <v>6053</v>
      </c>
      <c r="G159" t="s">
        <v>3048</v>
      </c>
    </row>
    <row r="160" spans="1:8">
      <c r="A160" t="s">
        <v>2812</v>
      </c>
      <c r="B160" t="s">
        <v>635</v>
      </c>
      <c r="C160" t="s">
        <v>2566</v>
      </c>
      <c r="D160">
        <v>3350.3260531523892</v>
      </c>
      <c r="E160">
        <v>4155.1774104022006</v>
      </c>
      <c r="F160">
        <v>4925</v>
      </c>
      <c r="G160" t="s">
        <v>3049</v>
      </c>
    </row>
    <row r="161" spans="1:8">
      <c r="A161" t="s">
        <v>2740</v>
      </c>
      <c r="B161" t="s">
        <v>507</v>
      </c>
      <c r="C161" t="s">
        <v>2566</v>
      </c>
      <c r="D161">
        <v>3322.5470198363091</v>
      </c>
      <c r="E161">
        <v>4255.042850667689</v>
      </c>
      <c r="F161">
        <v>11650</v>
      </c>
      <c r="G161" t="s">
        <v>3050</v>
      </c>
    </row>
    <row r="162" spans="1:8">
      <c r="A162" t="s">
        <v>2763</v>
      </c>
      <c r="B162" t="s">
        <v>433</v>
      </c>
      <c r="C162" t="s">
        <v>2587</v>
      </c>
      <c r="D162">
        <v>3165.1016445973328</v>
      </c>
      <c r="E162">
        <v>4572.0099656651864</v>
      </c>
      <c r="F162">
        <v>5802</v>
      </c>
      <c r="G162" t="s">
        <v>3051</v>
      </c>
      <c r="H162" t="s">
        <v>2765</v>
      </c>
    </row>
    <row r="163" spans="1:8">
      <c r="A163" t="s">
        <v>2631</v>
      </c>
      <c r="B163" t="s">
        <v>373</v>
      </c>
      <c r="C163" t="s">
        <v>2566</v>
      </c>
      <c r="D163">
        <v>3017.2100967925603</v>
      </c>
      <c r="E163">
        <v>4352.6720940218192</v>
      </c>
      <c r="F163">
        <v>5901</v>
      </c>
      <c r="G163" t="s">
        <v>3052</v>
      </c>
    </row>
    <row r="164" spans="1:8">
      <c r="A164" t="s">
        <v>2743</v>
      </c>
      <c r="B164" t="s">
        <v>628</v>
      </c>
      <c r="C164" t="s">
        <v>2566</v>
      </c>
      <c r="D164">
        <v>2963.0363430405437</v>
      </c>
      <c r="E164">
        <v>3140.7172557172557</v>
      </c>
      <c r="F164">
        <v>3443</v>
      </c>
      <c r="G164" t="s">
        <v>3053</v>
      </c>
      <c r="H164" t="s">
        <v>2856</v>
      </c>
    </row>
    <row r="165" spans="1:8">
      <c r="A165" t="s">
        <v>2756</v>
      </c>
      <c r="B165" t="s">
        <v>2757</v>
      </c>
      <c r="C165" t="s">
        <v>2566</v>
      </c>
      <c r="D165">
        <v>2877.7793507961933</v>
      </c>
      <c r="E165">
        <v>3419.6296918767507</v>
      </c>
      <c r="F165">
        <v>4624</v>
      </c>
      <c r="G165" t="s">
        <v>3054</v>
      </c>
      <c r="H165" t="s">
        <v>2859</v>
      </c>
    </row>
    <row r="166" spans="1:8">
      <c r="A166" t="s">
        <v>2669</v>
      </c>
      <c r="B166" t="s">
        <v>619</v>
      </c>
      <c r="C166" t="s">
        <v>2566</v>
      </c>
      <c r="D166">
        <v>2870.6450576450575</v>
      </c>
      <c r="E166">
        <v>3007.3050350500407</v>
      </c>
      <c r="F166">
        <v>3399</v>
      </c>
      <c r="G166" t="s">
        <v>3055</v>
      </c>
    </row>
    <row r="167" spans="1:8">
      <c r="A167" t="s">
        <v>2691</v>
      </c>
      <c r="B167" t="s">
        <v>378</v>
      </c>
      <c r="C167" t="s">
        <v>2566</v>
      </c>
      <c r="D167">
        <v>2734.7424392312041</v>
      </c>
      <c r="E167">
        <v>6323.8802696078428</v>
      </c>
      <c r="F167">
        <v>12281</v>
      </c>
      <c r="G167" t="s">
        <v>3056</v>
      </c>
    </row>
    <row r="168" spans="1:8">
      <c r="A168" t="s">
        <v>2828</v>
      </c>
      <c r="B168" t="s">
        <v>341</v>
      </c>
      <c r="C168" t="s">
        <v>2566</v>
      </c>
      <c r="D168">
        <v>2481.454288340522</v>
      </c>
      <c r="E168">
        <v>2857.0803314255791</v>
      </c>
      <c r="F168">
        <v>6184</v>
      </c>
      <c r="G168" t="s">
        <v>3057</v>
      </c>
    </row>
    <row r="169" spans="1:8">
      <c r="A169" t="s">
        <v>2846</v>
      </c>
      <c r="B169" t="s">
        <v>445</v>
      </c>
      <c r="C169" t="s">
        <v>2566</v>
      </c>
      <c r="D169">
        <v>2423.0184863367335</v>
      </c>
      <c r="E169">
        <v>2489.1186440677966</v>
      </c>
      <c r="F169">
        <v>2601</v>
      </c>
      <c r="G169" t="s">
        <v>3058</v>
      </c>
    </row>
    <row r="170" spans="1:8">
      <c r="A170" t="s">
        <v>346</v>
      </c>
      <c r="B170" t="s">
        <v>346</v>
      </c>
      <c r="C170" t="s">
        <v>2566</v>
      </c>
      <c r="D170">
        <v>2054.4273429101927</v>
      </c>
      <c r="E170">
        <v>2256.4348547824302</v>
      </c>
      <c r="F170">
        <v>2361</v>
      </c>
      <c r="G170" t="s">
        <v>3059</v>
      </c>
    </row>
    <row r="171" spans="1:8">
      <c r="A171" t="s">
        <v>2676</v>
      </c>
      <c r="B171" t="s">
        <v>429</v>
      </c>
      <c r="C171" t="s">
        <v>2566</v>
      </c>
      <c r="D171">
        <v>2022.2930347672363</v>
      </c>
      <c r="E171">
        <v>3819.9799036366594</v>
      </c>
      <c r="F171">
        <v>11630</v>
      </c>
      <c r="G171" t="s">
        <v>3060</v>
      </c>
    </row>
    <row r="172" spans="1:8">
      <c r="A172" t="s">
        <v>576</v>
      </c>
      <c r="B172" t="s">
        <v>576</v>
      </c>
      <c r="C172" t="s">
        <v>2566</v>
      </c>
      <c r="D172">
        <v>1818.7475457097432</v>
      </c>
      <c r="E172">
        <v>1925.6261508840732</v>
      </c>
      <c r="F172">
        <v>2554.46484375</v>
      </c>
      <c r="G172" t="s">
        <v>3061</v>
      </c>
    </row>
    <row r="173" spans="1:8">
      <c r="A173" t="s">
        <v>551</v>
      </c>
      <c r="B173" t="s">
        <v>551</v>
      </c>
      <c r="C173" t="s">
        <v>2566</v>
      </c>
      <c r="D173">
        <v>1802.9299527258054</v>
      </c>
      <c r="E173">
        <v>1844.2123899688124</v>
      </c>
      <c r="F173">
        <v>2350.57421875</v>
      </c>
      <c r="G173" t="s">
        <v>3062</v>
      </c>
    </row>
    <row r="174" spans="1:8">
      <c r="A174" t="s">
        <v>2851</v>
      </c>
      <c r="B174" t="s">
        <v>546</v>
      </c>
      <c r="C174" t="s">
        <v>2566</v>
      </c>
      <c r="D174">
        <v>1797.8258708811268</v>
      </c>
      <c r="E174">
        <v>2478.3042544886807</v>
      </c>
      <c r="F174">
        <v>10636</v>
      </c>
      <c r="G174" t="s">
        <v>3063</v>
      </c>
      <c r="H174" t="s">
        <v>2875</v>
      </c>
    </row>
    <row r="175" spans="1:8">
      <c r="A175" t="s">
        <v>855</v>
      </c>
      <c r="B175" t="s">
        <v>855</v>
      </c>
      <c r="C175" t="s">
        <v>2566</v>
      </c>
      <c r="D175">
        <v>1590.761536283854</v>
      </c>
      <c r="E175">
        <v>1909.319921705089</v>
      </c>
      <c r="F175">
        <v>2078</v>
      </c>
      <c r="G175" t="s">
        <v>3064</v>
      </c>
    </row>
    <row r="176" spans="1:8">
      <c r="A176" t="s">
        <v>2766</v>
      </c>
      <c r="B176" t="s">
        <v>329</v>
      </c>
      <c r="C176" t="s">
        <v>2566</v>
      </c>
      <c r="D176">
        <v>1385.5115703647846</v>
      </c>
      <c r="E176">
        <v>1600.0182328190745</v>
      </c>
      <c r="F176">
        <v>2374</v>
      </c>
      <c r="G176" t="s">
        <v>3065</v>
      </c>
      <c r="H176" t="s">
        <v>2880</v>
      </c>
    </row>
    <row r="177" spans="1:8">
      <c r="A177" t="s">
        <v>853</v>
      </c>
      <c r="B177" t="s">
        <v>853</v>
      </c>
      <c r="C177" t="s">
        <v>2566</v>
      </c>
      <c r="D177">
        <v>1155.2521876547869</v>
      </c>
      <c r="E177">
        <v>1645.1585709520359</v>
      </c>
      <c r="F177">
        <v>2027</v>
      </c>
      <c r="G177" t="s">
        <v>3066</v>
      </c>
    </row>
    <row r="178" spans="1:8">
      <c r="A178" t="s">
        <v>2711</v>
      </c>
      <c r="B178" t="s">
        <v>557</v>
      </c>
      <c r="C178" t="s">
        <v>2566</v>
      </c>
      <c r="D178">
        <v>1110.38020698272</v>
      </c>
      <c r="E178">
        <v>1389.4064527757751</v>
      </c>
      <c r="F178">
        <v>2134</v>
      </c>
      <c r="G178" t="s">
        <v>3067</v>
      </c>
    </row>
    <row r="179" spans="1:8">
      <c r="A179" t="s">
        <v>343</v>
      </c>
      <c r="B179" t="s">
        <v>343</v>
      </c>
      <c r="C179" t="s">
        <v>2566</v>
      </c>
      <c r="D179">
        <v>718.55039622765082</v>
      </c>
      <c r="E179">
        <v>2359.4285714285716</v>
      </c>
      <c r="F179">
        <v>2469</v>
      </c>
      <c r="G179" t="s">
        <v>3068</v>
      </c>
      <c r="H179" t="s">
        <v>2886</v>
      </c>
    </row>
    <row r="180" spans="1:8">
      <c r="A180" t="s">
        <v>352</v>
      </c>
      <c r="B180" t="s">
        <v>352</v>
      </c>
      <c r="C180" t="s">
        <v>2566</v>
      </c>
      <c r="D180">
        <v>602.68990511843481</v>
      </c>
      <c r="E180">
        <v>626.57705408363529</v>
      </c>
      <c r="F180">
        <v>646.2890625</v>
      </c>
      <c r="G180" t="s">
        <v>3069</v>
      </c>
    </row>
    <row r="181" spans="1:8">
      <c r="A181" t="s">
        <v>2889</v>
      </c>
      <c r="B181" t="s">
        <v>2889</v>
      </c>
      <c r="C181" t="s">
        <v>2566</v>
      </c>
      <c r="D181">
        <v>0.28899622689114729</v>
      </c>
      <c r="E181">
        <v>1.1006379360824454</v>
      </c>
      <c r="F181">
        <v>17.018741607666001</v>
      </c>
      <c r="G181" t="s">
        <v>2890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8027-04EF-46DB-B4CC-9F1A6AC1A52E}">
  <sheetPr codeName="Sheet12"/>
  <dimension ref="A1:I221"/>
  <sheetViews>
    <sheetView zoomScale="85" zoomScaleNormal="85" workbookViewId="0">
      <pane ySplit="1" topLeftCell="A9" activePane="bottomLeft" state="frozen"/>
      <selection pane="bottomLeft" activeCell="B37" sqref="B37"/>
    </sheetView>
  </sheetViews>
  <sheetFormatPr defaultRowHeight="14.5"/>
  <cols>
    <col min="1" max="1" width="41.26953125" style="8" bestFit="1" customWidth="1"/>
    <col min="2" max="2" width="46.81640625" style="8" bestFit="1" customWidth="1"/>
    <col min="3" max="3" width="46.81640625" style="8" customWidth="1"/>
    <col min="4" max="4" width="11.54296875" style="8" bestFit="1" customWidth="1"/>
    <col min="5" max="5" width="61.7265625" style="8" bestFit="1" customWidth="1"/>
    <col min="6" max="6" width="13" style="8" bestFit="1" customWidth="1"/>
    <col min="7" max="8" width="21" style="8" bestFit="1" customWidth="1"/>
    <col min="9" max="9" width="23.26953125" style="8" bestFit="1" customWidth="1"/>
    <col min="10" max="15" width="8.7265625" customWidth="1"/>
    <col min="17" max="17" width="11.81640625" customWidth="1"/>
  </cols>
  <sheetData>
    <row r="1" spans="1:9">
      <c r="A1" s="12" t="s">
        <v>3070</v>
      </c>
      <c r="B1" s="13" t="s">
        <v>3071</v>
      </c>
      <c r="C1" s="13" t="s">
        <v>3072</v>
      </c>
      <c r="D1" s="13" t="s">
        <v>3073</v>
      </c>
      <c r="E1" s="13" t="s">
        <v>3074</v>
      </c>
      <c r="F1" s="13" t="s">
        <v>3075</v>
      </c>
      <c r="G1" s="13" t="s">
        <v>3076</v>
      </c>
      <c r="H1" s="13" t="s">
        <v>3077</v>
      </c>
      <c r="I1" s="13" t="s">
        <v>3078</v>
      </c>
    </row>
    <row r="2" spans="1:9">
      <c r="A2" s="23"/>
      <c r="B2" s="24"/>
      <c r="C2" s="24" t="s">
        <v>1076</v>
      </c>
      <c r="D2" s="24"/>
      <c r="E2" s="24"/>
      <c r="F2" s="24"/>
      <c r="G2" s="24"/>
      <c r="H2" s="24"/>
      <c r="I2" s="25"/>
    </row>
    <row r="3" spans="1:9" ht="15" thickBot="1">
      <c r="A3" s="23"/>
      <c r="B3" s="24"/>
      <c r="C3" s="24" t="s">
        <v>408</v>
      </c>
      <c r="D3" s="24"/>
      <c r="E3" s="24"/>
      <c r="F3" s="24"/>
      <c r="G3" s="24"/>
      <c r="H3" s="24"/>
      <c r="I3" s="25"/>
    </row>
    <row r="4" spans="1:9">
      <c r="A4" s="20" t="s">
        <v>3079</v>
      </c>
      <c r="B4" s="21" t="s">
        <v>19</v>
      </c>
      <c r="C4" s="21" t="str">
        <f>IFERROR(REPLACE(REPLACE(B4,FIND("Standard_",B4,1),9,""),FIND("_",REPLACE(B4,FIND("Standard_",B4,1),9,""),1),1," "),REPLACE(B4,FIND("Standard_",B4,1),9,""))</f>
        <v>B1ms</v>
      </c>
      <c r="D4" s="21">
        <v>1</v>
      </c>
      <c r="E4" s="21" t="s">
        <v>3080</v>
      </c>
      <c r="F4" s="21" t="s">
        <v>3081</v>
      </c>
      <c r="G4" s="21" t="s">
        <v>3082</v>
      </c>
      <c r="H4" s="21" t="s">
        <v>3083</v>
      </c>
      <c r="I4" s="22" t="s">
        <v>3084</v>
      </c>
    </row>
    <row r="5" spans="1:9">
      <c r="A5" s="23" t="s">
        <v>3079</v>
      </c>
      <c r="B5" s="24" t="s">
        <v>22</v>
      </c>
      <c r="C5" s="24" t="str">
        <f t="shared" ref="C5:C50" si="0">IFERROR(REPLACE(REPLACE(B5,FIND("Standard_",B5,1),9,""),FIND("_",REPLACE(B5,FIND("Standard_",B5,1),9,""),1),1," "),REPLACE(B5,FIND("Standard_",B5,1),9,""))</f>
        <v>B2ms</v>
      </c>
      <c r="D5" s="24">
        <v>4</v>
      </c>
      <c r="E5" s="24" t="s">
        <v>3085</v>
      </c>
      <c r="F5" s="24" t="s">
        <v>3086</v>
      </c>
      <c r="G5" s="24" t="s">
        <v>3087</v>
      </c>
      <c r="H5" s="24" t="s">
        <v>3088</v>
      </c>
      <c r="I5" s="25" t="s">
        <v>3084</v>
      </c>
    </row>
    <row r="6" spans="1:9">
      <c r="A6" s="23" t="s">
        <v>3079</v>
      </c>
      <c r="B6" s="24" t="s">
        <v>25</v>
      </c>
      <c r="C6" s="24" t="str">
        <f t="shared" si="0"/>
        <v>B4ms</v>
      </c>
      <c r="D6" s="24">
        <v>8</v>
      </c>
      <c r="E6" s="24" t="s">
        <v>3089</v>
      </c>
      <c r="F6" s="24" t="s">
        <v>3090</v>
      </c>
      <c r="G6" s="24" t="s">
        <v>3091</v>
      </c>
      <c r="H6" s="24" t="s">
        <v>3092</v>
      </c>
      <c r="I6" s="25" t="s">
        <v>3093</v>
      </c>
    </row>
    <row r="7" spans="1:9">
      <c r="A7" s="23" t="s">
        <v>3079</v>
      </c>
      <c r="B7" s="24" t="s">
        <v>28</v>
      </c>
      <c r="C7" s="24" t="str">
        <f t="shared" si="0"/>
        <v>B8ms</v>
      </c>
      <c r="D7" s="24">
        <v>16</v>
      </c>
      <c r="E7" s="24" t="s">
        <v>3094</v>
      </c>
      <c r="F7" s="24" t="s">
        <v>3095</v>
      </c>
      <c r="G7" s="24" t="s">
        <v>3096</v>
      </c>
      <c r="H7" s="24" t="s">
        <v>3097</v>
      </c>
      <c r="I7" s="25" t="s">
        <v>3093</v>
      </c>
    </row>
    <row r="8" spans="1:9">
      <c r="A8" s="23" t="s">
        <v>3079</v>
      </c>
      <c r="B8" s="24" t="s">
        <v>31</v>
      </c>
      <c r="C8" s="24" t="str">
        <f t="shared" si="0"/>
        <v>B12ms</v>
      </c>
      <c r="D8" s="24">
        <v>24</v>
      </c>
      <c r="E8" s="24" t="s">
        <v>3098</v>
      </c>
      <c r="F8" s="24" t="s">
        <v>3099</v>
      </c>
      <c r="G8" s="26" t="s">
        <v>3100</v>
      </c>
      <c r="H8" s="26" t="s">
        <v>3100</v>
      </c>
      <c r="I8" s="25" t="s">
        <v>3084</v>
      </c>
    </row>
    <row r="9" spans="1:9">
      <c r="A9" s="23" t="s">
        <v>3079</v>
      </c>
      <c r="B9" s="24" t="s">
        <v>34</v>
      </c>
      <c r="C9" s="24" t="str">
        <f t="shared" si="0"/>
        <v>B16ms</v>
      </c>
      <c r="D9" s="24">
        <v>32</v>
      </c>
      <c r="E9" s="24" t="s">
        <v>3101</v>
      </c>
      <c r="F9" s="24" t="s">
        <v>3102</v>
      </c>
      <c r="G9" s="26" t="s">
        <v>3100</v>
      </c>
      <c r="H9" s="26" t="s">
        <v>3100</v>
      </c>
      <c r="I9" s="25" t="s">
        <v>3084</v>
      </c>
    </row>
    <row r="10" spans="1:9" ht="15" thickBot="1">
      <c r="A10" s="27" t="s">
        <v>3079</v>
      </c>
      <c r="B10" s="28" t="s">
        <v>37</v>
      </c>
      <c r="C10" s="28" t="str">
        <f t="shared" si="0"/>
        <v>B20ms</v>
      </c>
      <c r="D10" s="28">
        <v>40</v>
      </c>
      <c r="E10" s="28" t="s">
        <v>3103</v>
      </c>
      <c r="F10" s="28" t="s">
        <v>3104</v>
      </c>
      <c r="G10" s="29" t="s">
        <v>3100</v>
      </c>
      <c r="H10" s="29" t="s">
        <v>3100</v>
      </c>
      <c r="I10" s="30" t="s">
        <v>3084</v>
      </c>
    </row>
    <row r="11" spans="1:9" ht="15" thickBot="1">
      <c r="A11" s="31" t="s">
        <v>3105</v>
      </c>
      <c r="B11" s="32" t="s">
        <v>47</v>
      </c>
      <c r="C11" s="32" t="str">
        <f t="shared" si="0"/>
        <v>D2as v4</v>
      </c>
      <c r="D11" s="32">
        <v>1</v>
      </c>
      <c r="E11" s="32" t="s">
        <v>3085</v>
      </c>
      <c r="F11" s="32" t="s">
        <v>3106</v>
      </c>
      <c r="G11" s="32" t="s">
        <v>3107</v>
      </c>
      <c r="H11" s="32" t="s">
        <v>3108</v>
      </c>
      <c r="I11" s="33" t="s">
        <v>3109</v>
      </c>
    </row>
    <row r="12" spans="1:9" ht="15" thickBot="1">
      <c r="A12" s="31" t="s">
        <v>3105</v>
      </c>
      <c r="B12" s="32" t="s">
        <v>49</v>
      </c>
      <c r="C12" s="32" t="str">
        <f t="shared" si="0"/>
        <v>D4as v4</v>
      </c>
      <c r="D12" s="32">
        <v>2</v>
      </c>
      <c r="E12" s="32" t="s">
        <v>3110</v>
      </c>
      <c r="F12" s="32" t="s">
        <v>3111</v>
      </c>
      <c r="G12" s="32" t="s">
        <v>3112</v>
      </c>
      <c r="H12" s="32" t="s">
        <v>3113</v>
      </c>
      <c r="I12" s="33" t="s">
        <v>3109</v>
      </c>
    </row>
    <row r="13" spans="1:9" ht="15" thickBot="1">
      <c r="A13" s="31" t="s">
        <v>3105</v>
      </c>
      <c r="B13" s="32" t="s">
        <v>50</v>
      </c>
      <c r="C13" s="32" t="str">
        <f t="shared" si="0"/>
        <v>D8as v4</v>
      </c>
      <c r="D13" s="32">
        <v>4</v>
      </c>
      <c r="E13" s="32" t="s">
        <v>3094</v>
      </c>
      <c r="F13" s="32" t="s">
        <v>3114</v>
      </c>
      <c r="G13" s="32" t="s">
        <v>3115</v>
      </c>
      <c r="H13" s="32" t="s">
        <v>3116</v>
      </c>
      <c r="I13" s="33" t="s">
        <v>3109</v>
      </c>
    </row>
    <row r="14" spans="1:9" ht="15" thickBot="1">
      <c r="A14" s="31" t="s">
        <v>3105</v>
      </c>
      <c r="B14" s="32" t="s">
        <v>51</v>
      </c>
      <c r="C14" s="32" t="str">
        <f t="shared" si="0"/>
        <v>D16as v4</v>
      </c>
      <c r="D14" s="32">
        <v>8</v>
      </c>
      <c r="E14" s="32" t="s">
        <v>3098</v>
      </c>
      <c r="F14" s="32" t="s">
        <v>3117</v>
      </c>
      <c r="G14" s="32" t="s">
        <v>3118</v>
      </c>
      <c r="H14" s="32" t="s">
        <v>3119</v>
      </c>
      <c r="I14" s="33" t="s">
        <v>3109</v>
      </c>
    </row>
    <row r="15" spans="1:9" ht="15" thickBot="1">
      <c r="A15" s="31" t="s">
        <v>3105</v>
      </c>
      <c r="B15" s="32" t="s">
        <v>52</v>
      </c>
      <c r="C15" s="32" t="str">
        <f t="shared" si="0"/>
        <v>D32as v4</v>
      </c>
      <c r="D15" s="32">
        <v>16</v>
      </c>
      <c r="E15" s="32" t="s">
        <v>3101</v>
      </c>
      <c r="F15" s="32" t="s">
        <v>3120</v>
      </c>
      <c r="G15" s="32" t="s">
        <v>3121</v>
      </c>
      <c r="H15" s="32" t="s">
        <v>3122</v>
      </c>
      <c r="I15" s="33" t="s">
        <v>3109</v>
      </c>
    </row>
    <row r="16" spans="1:9" ht="15" thickBot="1">
      <c r="A16" s="31" t="s">
        <v>3105</v>
      </c>
      <c r="B16" s="32" t="s">
        <v>53</v>
      </c>
      <c r="C16" s="32" t="str">
        <f t="shared" si="0"/>
        <v>D48as v4</v>
      </c>
      <c r="D16" s="32">
        <v>24</v>
      </c>
      <c r="E16" s="32" t="s">
        <v>3123</v>
      </c>
      <c r="F16" s="32" t="s">
        <v>3124</v>
      </c>
      <c r="G16" s="32" t="s">
        <v>3125</v>
      </c>
      <c r="H16" s="32" t="s">
        <v>3126</v>
      </c>
      <c r="I16" s="33" t="s">
        <v>3109</v>
      </c>
    </row>
    <row r="17" spans="1:9" ht="15" thickBot="1">
      <c r="A17" s="31" t="s">
        <v>3105</v>
      </c>
      <c r="B17" s="32" t="s">
        <v>54</v>
      </c>
      <c r="C17" s="32" t="str">
        <f t="shared" si="0"/>
        <v>D64as v4</v>
      </c>
      <c r="D17" s="32">
        <v>32</v>
      </c>
      <c r="E17" s="32" t="s">
        <v>3127</v>
      </c>
      <c r="F17" s="32" t="s">
        <v>3128</v>
      </c>
      <c r="G17" s="32" t="s">
        <v>3129</v>
      </c>
      <c r="H17" s="32" t="s">
        <v>3130</v>
      </c>
      <c r="I17" s="33" t="s">
        <v>3109</v>
      </c>
    </row>
    <row r="18" spans="1:9" ht="15" thickBot="1">
      <c r="A18" s="31" t="s">
        <v>3105</v>
      </c>
      <c r="B18" s="32" t="s">
        <v>55</v>
      </c>
      <c r="C18" s="32" t="str">
        <f t="shared" si="0"/>
        <v>D96as v4</v>
      </c>
      <c r="D18" s="32">
        <v>48</v>
      </c>
      <c r="E18" s="32"/>
      <c r="F18" s="32" t="s">
        <v>3131</v>
      </c>
      <c r="G18" s="32" t="s">
        <v>3132</v>
      </c>
      <c r="H18" s="32" t="s">
        <v>3133</v>
      </c>
      <c r="I18" s="33" t="s">
        <v>3109</v>
      </c>
    </row>
    <row r="19" spans="1:9">
      <c r="A19" s="34" t="s">
        <v>3134</v>
      </c>
      <c r="B19" s="35" t="s">
        <v>56</v>
      </c>
      <c r="C19" s="35" t="str">
        <f t="shared" si="0"/>
        <v>D2ds v4</v>
      </c>
      <c r="D19" s="35">
        <v>1</v>
      </c>
      <c r="E19" s="35" t="s">
        <v>3085</v>
      </c>
      <c r="F19" s="35" t="s">
        <v>3135</v>
      </c>
      <c r="G19" s="35" t="s">
        <v>3136</v>
      </c>
      <c r="H19" s="35" t="s">
        <v>3137</v>
      </c>
      <c r="I19" s="36" t="s">
        <v>3093</v>
      </c>
    </row>
    <row r="20" spans="1:9">
      <c r="A20" s="37" t="s">
        <v>3134</v>
      </c>
      <c r="B20" s="38" t="s">
        <v>57</v>
      </c>
      <c r="C20" s="38" t="str">
        <f t="shared" si="0"/>
        <v>D4ds v4</v>
      </c>
      <c r="D20" s="38">
        <v>2</v>
      </c>
      <c r="E20" s="38" t="s">
        <v>3110</v>
      </c>
      <c r="F20" s="38" t="s">
        <v>3138</v>
      </c>
      <c r="G20" s="38" t="s">
        <v>3139</v>
      </c>
      <c r="H20" s="38" t="s">
        <v>3140</v>
      </c>
      <c r="I20" s="39" t="s">
        <v>3093</v>
      </c>
    </row>
    <row r="21" spans="1:9">
      <c r="A21" s="37" t="s">
        <v>3134</v>
      </c>
      <c r="B21" s="38" t="s">
        <v>58</v>
      </c>
      <c r="C21" s="38" t="str">
        <f t="shared" si="0"/>
        <v>D8ds v4</v>
      </c>
      <c r="D21" s="38">
        <v>4</v>
      </c>
      <c r="E21" s="38" t="s">
        <v>3094</v>
      </c>
      <c r="F21" s="38" t="s">
        <v>3141</v>
      </c>
      <c r="G21" s="38" t="s">
        <v>3142</v>
      </c>
      <c r="H21" s="38" t="s">
        <v>3143</v>
      </c>
      <c r="I21" s="39" t="s">
        <v>3093</v>
      </c>
    </row>
    <row r="22" spans="1:9">
      <c r="A22" s="37" t="s">
        <v>3134</v>
      </c>
      <c r="B22" s="38" t="s">
        <v>59</v>
      </c>
      <c r="C22" s="38" t="str">
        <f t="shared" si="0"/>
        <v>D16ds v4</v>
      </c>
      <c r="D22" s="38">
        <v>8</v>
      </c>
      <c r="E22" s="38" t="s">
        <v>3098</v>
      </c>
      <c r="F22" s="38" t="s">
        <v>3144</v>
      </c>
      <c r="G22" s="38" t="s">
        <v>3145</v>
      </c>
      <c r="H22" s="38" t="s">
        <v>3146</v>
      </c>
      <c r="I22" s="39" t="s">
        <v>3093</v>
      </c>
    </row>
    <row r="23" spans="1:9">
      <c r="A23" s="37" t="s">
        <v>3134</v>
      </c>
      <c r="B23" s="38" t="s">
        <v>60</v>
      </c>
      <c r="C23" s="38" t="str">
        <f t="shared" si="0"/>
        <v>D32ds v4</v>
      </c>
      <c r="D23" s="38">
        <v>16</v>
      </c>
      <c r="E23" s="38" t="s">
        <v>3101</v>
      </c>
      <c r="F23" s="38" t="s">
        <v>3147</v>
      </c>
      <c r="G23" s="38" t="s">
        <v>3148</v>
      </c>
      <c r="H23" s="38" t="s">
        <v>3149</v>
      </c>
      <c r="I23" s="39" t="s">
        <v>3093</v>
      </c>
    </row>
    <row r="24" spans="1:9">
      <c r="A24" s="37" t="s">
        <v>3134</v>
      </c>
      <c r="B24" s="38" t="s">
        <v>61</v>
      </c>
      <c r="C24" s="38" t="str">
        <f t="shared" si="0"/>
        <v>D48ds v4</v>
      </c>
      <c r="D24" s="38">
        <v>24</v>
      </c>
      <c r="E24" s="38" t="s">
        <v>3123</v>
      </c>
      <c r="F24" s="38" t="s">
        <v>3150</v>
      </c>
      <c r="G24" s="38" t="s">
        <v>3151</v>
      </c>
      <c r="H24" s="38" t="s">
        <v>3152</v>
      </c>
      <c r="I24" s="39" t="s">
        <v>3093</v>
      </c>
    </row>
    <row r="25" spans="1:9" ht="15" thickBot="1">
      <c r="A25" s="40" t="s">
        <v>3134</v>
      </c>
      <c r="B25" s="41" t="s">
        <v>62</v>
      </c>
      <c r="C25" s="41" t="str">
        <f t="shared" si="0"/>
        <v>D64ds v4</v>
      </c>
      <c r="D25" s="41">
        <v>32</v>
      </c>
      <c r="E25" s="41" t="s">
        <v>3127</v>
      </c>
      <c r="F25" s="41" t="s">
        <v>3153</v>
      </c>
      <c r="G25" s="41" t="s">
        <v>3154</v>
      </c>
      <c r="H25" s="41" t="s">
        <v>3155</v>
      </c>
      <c r="I25" s="42" t="s">
        <v>3093</v>
      </c>
    </row>
    <row r="26" spans="1:9">
      <c r="A26" s="43" t="s">
        <v>3156</v>
      </c>
      <c r="B26" s="44" t="s">
        <v>63</v>
      </c>
      <c r="C26" s="45" t="str">
        <f t="shared" si="0"/>
        <v>E2ds v4</v>
      </c>
      <c r="D26" s="45">
        <v>1</v>
      </c>
      <c r="E26" s="44"/>
      <c r="F26" s="44" t="s">
        <v>3157</v>
      </c>
      <c r="G26" s="44" t="s">
        <v>3158</v>
      </c>
      <c r="H26" s="44" t="s">
        <v>3159</v>
      </c>
      <c r="I26" s="46" t="s">
        <v>3093</v>
      </c>
    </row>
    <row r="27" spans="1:9">
      <c r="A27" s="47" t="s">
        <v>3156</v>
      </c>
      <c r="B27" s="48" t="s">
        <v>64</v>
      </c>
      <c r="C27" s="49" t="str">
        <f t="shared" si="0"/>
        <v>E4ds v4</v>
      </c>
      <c r="D27" s="49">
        <v>2</v>
      </c>
      <c r="E27" s="48"/>
      <c r="F27" s="48" t="s">
        <v>3160</v>
      </c>
      <c r="G27" s="48" t="s">
        <v>3161</v>
      </c>
      <c r="H27" s="48" t="s">
        <v>3162</v>
      </c>
      <c r="I27" s="50" t="s">
        <v>3093</v>
      </c>
    </row>
    <row r="28" spans="1:9">
      <c r="A28" s="47" t="s">
        <v>3156</v>
      </c>
      <c r="B28" s="48" t="s">
        <v>65</v>
      </c>
      <c r="C28" s="49" t="str">
        <f t="shared" si="0"/>
        <v>E4-2ds v4</v>
      </c>
      <c r="D28" s="49">
        <v>2</v>
      </c>
      <c r="E28" s="48"/>
      <c r="F28" s="48" t="s">
        <v>3160</v>
      </c>
      <c r="G28" s="48" t="s">
        <v>3163</v>
      </c>
      <c r="H28" s="48" t="s">
        <v>3164</v>
      </c>
      <c r="I28" s="50" t="s">
        <v>3093</v>
      </c>
    </row>
    <row r="29" spans="1:9">
      <c r="A29" s="47" t="s">
        <v>3156</v>
      </c>
      <c r="B29" s="48" t="s">
        <v>66</v>
      </c>
      <c r="C29" s="49" t="str">
        <f t="shared" si="0"/>
        <v>E8-2ds v4</v>
      </c>
      <c r="D29" s="49">
        <v>4</v>
      </c>
      <c r="E29" s="48"/>
      <c r="F29" s="48" t="s">
        <v>3165</v>
      </c>
      <c r="G29" s="48" t="s">
        <v>3166</v>
      </c>
      <c r="H29" s="48" t="s">
        <v>3167</v>
      </c>
      <c r="I29" s="50" t="s">
        <v>3093</v>
      </c>
    </row>
    <row r="30" spans="1:9">
      <c r="A30" s="47" t="s">
        <v>3156</v>
      </c>
      <c r="B30" s="48" t="s">
        <v>67</v>
      </c>
      <c r="C30" s="49" t="str">
        <f t="shared" si="0"/>
        <v>E8-4ds v4</v>
      </c>
      <c r="D30" s="49">
        <v>4</v>
      </c>
      <c r="E30" s="48"/>
      <c r="F30" s="48" t="s">
        <v>3165</v>
      </c>
      <c r="G30" s="48" t="s">
        <v>3168</v>
      </c>
      <c r="H30" s="48" t="s">
        <v>3169</v>
      </c>
      <c r="I30" s="50" t="s">
        <v>3093</v>
      </c>
    </row>
    <row r="31" spans="1:9">
      <c r="A31" s="47" t="s">
        <v>3156</v>
      </c>
      <c r="B31" s="48" t="s">
        <v>68</v>
      </c>
      <c r="C31" s="49" t="str">
        <f t="shared" si="0"/>
        <v>E8ds v4</v>
      </c>
      <c r="D31" s="49">
        <v>4</v>
      </c>
      <c r="E31" s="48" t="s">
        <v>3085</v>
      </c>
      <c r="F31" s="48" t="s">
        <v>3165</v>
      </c>
      <c r="G31" s="48" t="s">
        <v>3170</v>
      </c>
      <c r="H31" s="48" t="s">
        <v>3171</v>
      </c>
      <c r="I31" s="50" t="s">
        <v>3093</v>
      </c>
    </row>
    <row r="32" spans="1:9">
      <c r="A32" s="47" t="s">
        <v>3156</v>
      </c>
      <c r="B32" s="48" t="s">
        <v>69</v>
      </c>
      <c r="C32" s="49" t="str">
        <f t="shared" si="0"/>
        <v>E16-8ds v4</v>
      </c>
      <c r="D32" s="49">
        <v>8</v>
      </c>
      <c r="E32" s="48" t="s">
        <v>3094</v>
      </c>
      <c r="F32" s="48" t="s">
        <v>3172</v>
      </c>
      <c r="G32" s="48" t="s">
        <v>3173</v>
      </c>
      <c r="H32" s="48" t="s">
        <v>3174</v>
      </c>
      <c r="I32" s="50" t="s">
        <v>3093</v>
      </c>
    </row>
    <row r="33" spans="1:9">
      <c r="A33" s="47" t="s">
        <v>3156</v>
      </c>
      <c r="B33" s="48" t="s">
        <v>70</v>
      </c>
      <c r="C33" s="49" t="str">
        <f t="shared" si="0"/>
        <v>E16-4ds v4</v>
      </c>
      <c r="D33" s="49">
        <v>8</v>
      </c>
      <c r="E33" s="48" t="s">
        <v>3098</v>
      </c>
      <c r="F33" s="48" t="s">
        <v>3172</v>
      </c>
      <c r="G33" s="48" t="s">
        <v>3175</v>
      </c>
      <c r="H33" s="48" t="s">
        <v>3176</v>
      </c>
      <c r="I33" s="50" t="s">
        <v>3093</v>
      </c>
    </row>
    <row r="34" spans="1:9">
      <c r="A34" s="47" t="s">
        <v>3156</v>
      </c>
      <c r="B34" s="48" t="s">
        <v>71</v>
      </c>
      <c r="C34" s="49" t="str">
        <f t="shared" si="0"/>
        <v>E16ds v4</v>
      </c>
      <c r="D34" s="49">
        <v>8</v>
      </c>
      <c r="E34" s="48" t="s">
        <v>3101</v>
      </c>
      <c r="F34" s="48" t="s">
        <v>3172</v>
      </c>
      <c r="G34" s="48" t="s">
        <v>3177</v>
      </c>
      <c r="H34" s="48" t="s">
        <v>3178</v>
      </c>
      <c r="I34" s="50" t="s">
        <v>3093</v>
      </c>
    </row>
    <row r="35" spans="1:9">
      <c r="A35" s="47" t="s">
        <v>3156</v>
      </c>
      <c r="B35" s="48" t="s">
        <v>72</v>
      </c>
      <c r="C35" s="49" t="str">
        <f t="shared" si="0"/>
        <v>E20ds v4</v>
      </c>
      <c r="D35" s="49">
        <v>10</v>
      </c>
      <c r="E35" s="48" t="s">
        <v>3123</v>
      </c>
      <c r="F35" s="48" t="s">
        <v>3179</v>
      </c>
      <c r="G35" s="48" t="s">
        <v>3180</v>
      </c>
      <c r="H35" s="48" t="s">
        <v>3181</v>
      </c>
      <c r="I35" s="50" t="s">
        <v>3093</v>
      </c>
    </row>
    <row r="36" spans="1:9">
      <c r="A36" s="47" t="s">
        <v>3156</v>
      </c>
      <c r="B36" s="48" t="s">
        <v>73</v>
      </c>
      <c r="C36" s="49" t="str">
        <f t="shared" si="0"/>
        <v>E32-16ds v4</v>
      </c>
      <c r="D36" s="49">
        <v>16</v>
      </c>
      <c r="E36" s="48"/>
      <c r="F36" s="48" t="s">
        <v>3182</v>
      </c>
      <c r="G36" s="48" t="s">
        <v>3183</v>
      </c>
      <c r="H36" s="48" t="s">
        <v>3184</v>
      </c>
      <c r="I36" s="50" t="s">
        <v>3093</v>
      </c>
    </row>
    <row r="37" spans="1:9">
      <c r="A37" s="47" t="s">
        <v>3156</v>
      </c>
      <c r="B37" s="48" t="s">
        <v>74</v>
      </c>
      <c r="C37" s="49" t="str">
        <f t="shared" si="0"/>
        <v>E32ds v4</v>
      </c>
      <c r="D37" s="49">
        <v>16</v>
      </c>
      <c r="E37" s="48"/>
      <c r="F37" s="48" t="s">
        <v>3182</v>
      </c>
      <c r="G37" s="48" t="s">
        <v>3185</v>
      </c>
      <c r="H37" s="48" t="s">
        <v>3186</v>
      </c>
      <c r="I37" s="50" t="s">
        <v>3093</v>
      </c>
    </row>
    <row r="38" spans="1:9">
      <c r="A38" s="47" t="s">
        <v>3156</v>
      </c>
      <c r="B38" s="48" t="s">
        <v>75</v>
      </c>
      <c r="C38" s="49" t="str">
        <f t="shared" si="0"/>
        <v>E32-8ds v4</v>
      </c>
      <c r="D38" s="49">
        <v>16</v>
      </c>
      <c r="E38" s="48"/>
      <c r="F38" s="48" t="s">
        <v>3182</v>
      </c>
      <c r="G38" s="48" t="s">
        <v>3187</v>
      </c>
      <c r="H38" s="48" t="s">
        <v>3188</v>
      </c>
      <c r="I38" s="50" t="s">
        <v>3093</v>
      </c>
    </row>
    <row r="39" spans="1:9">
      <c r="A39" s="47" t="s">
        <v>3156</v>
      </c>
      <c r="B39" s="48" t="s">
        <v>76</v>
      </c>
      <c r="C39" s="49" t="str">
        <f t="shared" si="0"/>
        <v>E48ds v4</v>
      </c>
      <c r="D39" s="49">
        <v>24</v>
      </c>
      <c r="E39" s="48"/>
      <c r="F39" s="48" t="s">
        <v>3189</v>
      </c>
      <c r="G39" s="48" t="s">
        <v>3190</v>
      </c>
      <c r="H39" s="48" t="s">
        <v>3191</v>
      </c>
      <c r="I39" s="50" t="s">
        <v>3093</v>
      </c>
    </row>
    <row r="40" spans="1:9">
      <c r="A40" s="47" t="s">
        <v>3156</v>
      </c>
      <c r="B40" s="48" t="s">
        <v>1041</v>
      </c>
      <c r="C40" s="49" t="str">
        <f t="shared" si="0"/>
        <v>E64-32ds v4</v>
      </c>
      <c r="D40" s="49">
        <v>32</v>
      </c>
      <c r="E40" s="48"/>
      <c r="F40" s="48" t="s">
        <v>3192</v>
      </c>
      <c r="G40" s="48" t="s">
        <v>3193</v>
      </c>
      <c r="H40" s="48" t="s">
        <v>3194</v>
      </c>
      <c r="I40" s="50" t="s">
        <v>3093</v>
      </c>
    </row>
    <row r="41" spans="1:9">
      <c r="A41" s="47" t="s">
        <v>3156</v>
      </c>
      <c r="B41" s="48" t="s">
        <v>3195</v>
      </c>
      <c r="C41" s="49" t="str">
        <f t="shared" si="0"/>
        <v>E64-16ds v4</v>
      </c>
      <c r="D41" s="49">
        <v>32</v>
      </c>
      <c r="E41" s="48"/>
      <c r="F41" s="48" t="s">
        <v>3192</v>
      </c>
      <c r="G41" s="48" t="s">
        <v>3196</v>
      </c>
      <c r="H41" s="48" t="s">
        <v>3197</v>
      </c>
      <c r="I41" s="50" t="s">
        <v>3093</v>
      </c>
    </row>
    <row r="42" spans="1:9" ht="15" thickBot="1">
      <c r="A42" s="51" t="s">
        <v>3156</v>
      </c>
      <c r="B42" s="52" t="s">
        <v>1039</v>
      </c>
      <c r="C42" s="53" t="str">
        <f t="shared" si="0"/>
        <v>E64ds v4</v>
      </c>
      <c r="D42" s="53">
        <v>32</v>
      </c>
      <c r="E42" s="52"/>
      <c r="F42" s="52" t="s">
        <v>3192</v>
      </c>
      <c r="G42" s="52" t="s">
        <v>3198</v>
      </c>
      <c r="H42" s="52" t="s">
        <v>3199</v>
      </c>
      <c r="I42" s="54" t="s">
        <v>3093</v>
      </c>
    </row>
    <row r="43" spans="1:9">
      <c r="A43" s="55" t="s">
        <v>3200</v>
      </c>
      <c r="B43" s="56" t="s">
        <v>77</v>
      </c>
      <c r="C43" s="56" t="str">
        <f t="shared" si="0"/>
        <v>F2s v2</v>
      </c>
      <c r="D43" s="56">
        <v>1</v>
      </c>
      <c r="E43" s="56" t="s">
        <v>3085</v>
      </c>
      <c r="F43" s="56" t="s">
        <v>3201</v>
      </c>
      <c r="G43" s="56" t="s">
        <v>3202</v>
      </c>
      <c r="H43" s="56" t="s">
        <v>3203</v>
      </c>
      <c r="I43" s="57" t="s">
        <v>3204</v>
      </c>
    </row>
    <row r="44" spans="1:9">
      <c r="A44" s="58" t="s">
        <v>3200</v>
      </c>
      <c r="B44" s="59" t="s">
        <v>78</v>
      </c>
      <c r="C44" s="59" t="str">
        <f t="shared" si="0"/>
        <v>F4s v2</v>
      </c>
      <c r="D44" s="59">
        <v>2</v>
      </c>
      <c r="E44" s="59" t="s">
        <v>3110</v>
      </c>
      <c r="F44" s="59" t="s">
        <v>3205</v>
      </c>
      <c r="G44" s="59" t="s">
        <v>3206</v>
      </c>
      <c r="H44" s="59" t="s">
        <v>3207</v>
      </c>
      <c r="I44" s="60" t="s">
        <v>3204</v>
      </c>
    </row>
    <row r="45" spans="1:9">
      <c r="A45" s="58" t="s">
        <v>3200</v>
      </c>
      <c r="B45" s="59" t="s">
        <v>79</v>
      </c>
      <c r="C45" s="59" t="str">
        <f t="shared" si="0"/>
        <v>F8s v2</v>
      </c>
      <c r="D45" s="59">
        <v>4</v>
      </c>
      <c r="E45" s="59" t="s">
        <v>3094</v>
      </c>
      <c r="F45" s="59" t="s">
        <v>3208</v>
      </c>
      <c r="G45" s="59" t="s">
        <v>3209</v>
      </c>
      <c r="H45" s="59" t="s">
        <v>3210</v>
      </c>
      <c r="I45" s="60" t="s">
        <v>3204</v>
      </c>
    </row>
    <row r="46" spans="1:9">
      <c r="A46" s="58" t="s">
        <v>3200</v>
      </c>
      <c r="B46" s="59" t="s">
        <v>80</v>
      </c>
      <c r="C46" s="59" t="str">
        <f t="shared" si="0"/>
        <v>F16s v2</v>
      </c>
      <c r="D46" s="59">
        <v>8</v>
      </c>
      <c r="E46" s="59" t="s">
        <v>3098</v>
      </c>
      <c r="F46" s="59" t="s">
        <v>3211</v>
      </c>
      <c r="G46" s="59" t="s">
        <v>3212</v>
      </c>
      <c r="H46" s="59" t="s">
        <v>3213</v>
      </c>
      <c r="I46" s="60" t="s">
        <v>3204</v>
      </c>
    </row>
    <row r="47" spans="1:9">
      <c r="A47" s="58" t="s">
        <v>3200</v>
      </c>
      <c r="B47" s="59" t="s">
        <v>81</v>
      </c>
      <c r="C47" s="59" t="str">
        <f t="shared" si="0"/>
        <v>F32s v2</v>
      </c>
      <c r="D47" s="59">
        <v>16</v>
      </c>
      <c r="E47" s="59" t="s">
        <v>3101</v>
      </c>
      <c r="F47" s="59" t="s">
        <v>3214</v>
      </c>
      <c r="G47" s="59" t="s">
        <v>3215</v>
      </c>
      <c r="H47" s="59" t="s">
        <v>3216</v>
      </c>
      <c r="I47" s="60" t="s">
        <v>3204</v>
      </c>
    </row>
    <row r="48" spans="1:9">
      <c r="A48" s="58" t="s">
        <v>3200</v>
      </c>
      <c r="B48" s="59" t="s">
        <v>82</v>
      </c>
      <c r="C48" s="59" t="str">
        <f t="shared" si="0"/>
        <v>F48s v2</v>
      </c>
      <c r="D48" s="59">
        <v>24</v>
      </c>
      <c r="E48" s="59" t="s">
        <v>3123</v>
      </c>
      <c r="F48" s="59" t="s">
        <v>3217</v>
      </c>
      <c r="G48" s="59" t="s">
        <v>3218</v>
      </c>
      <c r="H48" s="59" t="s">
        <v>3219</v>
      </c>
      <c r="I48" s="60" t="s">
        <v>3204</v>
      </c>
    </row>
    <row r="49" spans="1:9">
      <c r="A49" s="58" t="s">
        <v>3200</v>
      </c>
      <c r="B49" s="59" t="s">
        <v>83</v>
      </c>
      <c r="C49" s="59" t="str">
        <f t="shared" si="0"/>
        <v>F64s v2</v>
      </c>
      <c r="D49" s="59">
        <v>32</v>
      </c>
      <c r="E49" s="59" t="s">
        <v>3127</v>
      </c>
      <c r="F49" s="59" t="s">
        <v>3220</v>
      </c>
      <c r="G49" s="59" t="s">
        <v>3221</v>
      </c>
      <c r="H49" s="59" t="s">
        <v>3222</v>
      </c>
      <c r="I49" s="60" t="s">
        <v>3204</v>
      </c>
    </row>
    <row r="50" spans="1:9" ht="15" thickBot="1">
      <c r="A50" s="61" t="s">
        <v>3200</v>
      </c>
      <c r="B50" s="62" t="s">
        <v>84</v>
      </c>
      <c r="C50" s="62" t="str">
        <f t="shared" si="0"/>
        <v>F72s v2</v>
      </c>
      <c r="D50" s="62">
        <v>36</v>
      </c>
      <c r="E50" s="62"/>
      <c r="F50" s="62" t="s">
        <v>3223</v>
      </c>
      <c r="G50" s="62" t="s">
        <v>3224</v>
      </c>
      <c r="H50" s="62" t="s">
        <v>3225</v>
      </c>
      <c r="I50" s="63" t="s">
        <v>3204</v>
      </c>
    </row>
    <row r="51" spans="1:9" hidden="1">
      <c r="A51" s="14" t="s">
        <v>3226</v>
      </c>
      <c r="B51" s="15" t="s">
        <v>3227</v>
      </c>
      <c r="C51" s="67"/>
      <c r="D51" s="16">
        <v>1</v>
      </c>
      <c r="I51"/>
    </row>
    <row r="52" spans="1:9" hidden="1">
      <c r="A52" s="17" t="s">
        <v>3226</v>
      </c>
      <c r="B52" s="18" t="s">
        <v>3228</v>
      </c>
      <c r="C52" s="68"/>
      <c r="D52" s="19" t="s">
        <v>3229</v>
      </c>
      <c r="I52"/>
    </row>
    <row r="53" spans="1:9" hidden="1">
      <c r="A53" s="17" t="s">
        <v>3230</v>
      </c>
      <c r="B53" s="18" t="s">
        <v>3231</v>
      </c>
      <c r="C53" s="68"/>
      <c r="D53" s="19">
        <v>1</v>
      </c>
      <c r="I53"/>
    </row>
    <row r="54" spans="1:9" hidden="1">
      <c r="A54" s="17" t="s">
        <v>3230</v>
      </c>
      <c r="B54" s="18" t="s">
        <v>3232</v>
      </c>
      <c r="C54" s="68"/>
      <c r="D54" s="19">
        <v>2</v>
      </c>
      <c r="I54"/>
    </row>
    <row r="55" spans="1:9" hidden="1">
      <c r="A55" s="17" t="s">
        <v>3233</v>
      </c>
      <c r="B55" s="18" t="s">
        <v>3234</v>
      </c>
      <c r="C55" s="68"/>
      <c r="D55" s="19">
        <v>1</v>
      </c>
      <c r="I55"/>
    </row>
    <row r="56" spans="1:9" hidden="1">
      <c r="A56" s="17" t="s">
        <v>3233</v>
      </c>
      <c r="B56" s="18" t="s">
        <v>3235</v>
      </c>
      <c r="C56" s="68"/>
      <c r="D56" s="19">
        <v>2</v>
      </c>
      <c r="I56"/>
    </row>
    <row r="57" spans="1:9" hidden="1">
      <c r="A57" s="17" t="s">
        <v>3236</v>
      </c>
      <c r="B57" s="18" t="s">
        <v>3237</v>
      </c>
      <c r="C57" s="68"/>
      <c r="D57" s="19">
        <v>1</v>
      </c>
      <c r="I57"/>
    </row>
    <row r="58" spans="1:9" hidden="1">
      <c r="A58" s="17" t="s">
        <v>3238</v>
      </c>
      <c r="B58" s="18" t="s">
        <v>3239</v>
      </c>
      <c r="C58" s="68"/>
      <c r="D58" s="19">
        <v>1</v>
      </c>
      <c r="I58"/>
    </row>
    <row r="59" spans="1:9" hidden="1">
      <c r="A59" s="17" t="s">
        <v>3240</v>
      </c>
      <c r="B59" s="18" t="s">
        <v>3241</v>
      </c>
      <c r="C59" s="68"/>
      <c r="D59" s="19">
        <v>1</v>
      </c>
      <c r="I59"/>
    </row>
    <row r="60" spans="1:9" hidden="1">
      <c r="A60" s="17" t="s">
        <v>3240</v>
      </c>
      <c r="B60" s="18" t="s">
        <v>3242</v>
      </c>
      <c r="C60" s="68"/>
      <c r="D60" s="19">
        <v>1</v>
      </c>
      <c r="I60"/>
    </row>
    <row r="61" spans="1:9" hidden="1">
      <c r="A61" s="17" t="s">
        <v>3240</v>
      </c>
      <c r="B61" s="18" t="s">
        <v>3243</v>
      </c>
      <c r="C61" s="68"/>
      <c r="D61" s="19">
        <v>1</v>
      </c>
      <c r="I61"/>
    </row>
    <row r="62" spans="1:9" hidden="1">
      <c r="A62" s="17" t="s">
        <v>3240</v>
      </c>
      <c r="B62" s="18" t="s">
        <v>3244</v>
      </c>
      <c r="C62" s="68"/>
      <c r="D62" s="19">
        <v>1</v>
      </c>
      <c r="I62"/>
    </row>
    <row r="63" spans="1:9" hidden="1">
      <c r="A63" s="17" t="s">
        <v>3245</v>
      </c>
      <c r="B63" s="18" t="s">
        <v>3246</v>
      </c>
      <c r="C63" s="68"/>
      <c r="D63" s="19">
        <v>1</v>
      </c>
      <c r="I63"/>
    </row>
    <row r="64" spans="1:9" hidden="1">
      <c r="A64" s="17" t="s">
        <v>3247</v>
      </c>
      <c r="B64" s="18" t="s">
        <v>3248</v>
      </c>
      <c r="C64" s="68"/>
      <c r="D64" s="19">
        <v>1</v>
      </c>
      <c r="I64"/>
    </row>
    <row r="65" spans="1:9" hidden="1">
      <c r="A65" s="17" t="s">
        <v>3247</v>
      </c>
      <c r="B65" s="18" t="s">
        <v>3249</v>
      </c>
      <c r="C65" s="68"/>
      <c r="D65" s="19">
        <v>1</v>
      </c>
      <c r="I65"/>
    </row>
    <row r="66" spans="1:9" hidden="1">
      <c r="A66" s="17" t="s">
        <v>3247</v>
      </c>
      <c r="B66" s="18" t="s">
        <v>3250</v>
      </c>
      <c r="C66" s="68"/>
      <c r="D66" s="19">
        <v>1</v>
      </c>
      <c r="I66"/>
    </row>
    <row r="67" spans="1:9" hidden="1">
      <c r="A67" s="17" t="s">
        <v>3247</v>
      </c>
      <c r="B67" s="18" t="s">
        <v>3251</v>
      </c>
      <c r="C67" s="68"/>
      <c r="D67" s="19">
        <v>1</v>
      </c>
      <c r="I67"/>
    </row>
    <row r="68" spans="1:9" hidden="1">
      <c r="A68" s="17" t="s">
        <v>3247</v>
      </c>
      <c r="B68" s="18" t="s">
        <v>3252</v>
      </c>
      <c r="C68" s="68"/>
      <c r="D68" s="19">
        <v>1</v>
      </c>
      <c r="I68"/>
    </row>
    <row r="69" spans="1:9" hidden="1">
      <c r="A69" s="17" t="s">
        <v>3253</v>
      </c>
      <c r="B69" s="18" t="s">
        <v>3254</v>
      </c>
      <c r="C69" s="68"/>
      <c r="D69" s="19">
        <v>1</v>
      </c>
      <c r="I69"/>
    </row>
    <row r="70" spans="1:9" hidden="1">
      <c r="A70" s="17" t="s">
        <v>3253</v>
      </c>
      <c r="B70" s="18" t="s">
        <v>3255</v>
      </c>
      <c r="C70" s="68"/>
      <c r="D70" s="19">
        <v>1</v>
      </c>
      <c r="I70"/>
    </row>
    <row r="71" spans="1:9" hidden="1">
      <c r="A71" s="17" t="s">
        <v>3253</v>
      </c>
      <c r="B71" s="18" t="s">
        <v>3256</v>
      </c>
      <c r="C71" s="68"/>
      <c r="D71" s="19">
        <v>1</v>
      </c>
      <c r="I71"/>
    </row>
    <row r="72" spans="1:9" hidden="1">
      <c r="A72" s="17" t="s">
        <v>3257</v>
      </c>
      <c r="B72" s="18" t="s">
        <v>3258</v>
      </c>
      <c r="C72" s="68"/>
      <c r="D72" s="19">
        <v>1</v>
      </c>
      <c r="I72"/>
    </row>
    <row r="73" spans="1:9" hidden="1">
      <c r="A73" s="17" t="s">
        <v>3257</v>
      </c>
      <c r="B73" s="18" t="s">
        <v>3259</v>
      </c>
      <c r="C73" s="68"/>
      <c r="D73" s="19">
        <v>2</v>
      </c>
      <c r="I73"/>
    </row>
    <row r="74" spans="1:9" hidden="1">
      <c r="A74" s="17" t="s">
        <v>3257</v>
      </c>
      <c r="B74" s="18" t="s">
        <v>3260</v>
      </c>
      <c r="C74" s="68"/>
      <c r="D74" s="19">
        <v>4</v>
      </c>
      <c r="I74"/>
    </row>
    <row r="75" spans="1:9" hidden="1">
      <c r="A75" s="17" t="s">
        <v>3257</v>
      </c>
      <c r="B75" s="18" t="s">
        <v>3261</v>
      </c>
      <c r="C75" s="68"/>
      <c r="D75" s="19">
        <v>8</v>
      </c>
      <c r="I75"/>
    </row>
    <row r="76" spans="1:9" hidden="1">
      <c r="A76" s="17" t="s">
        <v>3262</v>
      </c>
      <c r="B76" s="18" t="s">
        <v>3263</v>
      </c>
      <c r="C76" s="68"/>
      <c r="D76" s="19">
        <v>1</v>
      </c>
      <c r="I76"/>
    </row>
    <row r="77" spans="1:9" hidden="1">
      <c r="A77" s="17" t="s">
        <v>3262</v>
      </c>
      <c r="B77" s="18" t="s">
        <v>3264</v>
      </c>
      <c r="C77" s="68"/>
      <c r="D77" s="19">
        <v>2</v>
      </c>
      <c r="I77"/>
    </row>
    <row r="78" spans="1:9" hidden="1">
      <c r="A78" s="17" t="s">
        <v>3262</v>
      </c>
      <c r="B78" s="18" t="s">
        <v>3265</v>
      </c>
      <c r="C78" s="68"/>
      <c r="D78" s="19">
        <v>4</v>
      </c>
      <c r="I78"/>
    </row>
    <row r="79" spans="1:9" hidden="1">
      <c r="A79" s="17" t="s">
        <v>3262</v>
      </c>
      <c r="B79" s="18" t="s">
        <v>3266</v>
      </c>
      <c r="C79" s="68"/>
      <c r="D79" s="19">
        <v>6</v>
      </c>
      <c r="I79"/>
    </row>
    <row r="80" spans="1:9" hidden="1">
      <c r="A80" s="17" t="s">
        <v>3262</v>
      </c>
      <c r="B80" s="18" t="s">
        <v>3267</v>
      </c>
      <c r="C80" s="68"/>
      <c r="D80" s="19">
        <v>8</v>
      </c>
      <c r="I80"/>
    </row>
    <row r="81" spans="1:9" hidden="1">
      <c r="A81" s="17" t="s">
        <v>3262</v>
      </c>
      <c r="B81" s="18" t="s">
        <v>3268</v>
      </c>
      <c r="C81" s="68"/>
      <c r="D81" s="19">
        <v>10</v>
      </c>
      <c r="I81"/>
    </row>
    <row r="82" spans="1:9" hidden="1">
      <c r="A82" s="17" t="s">
        <v>3262</v>
      </c>
      <c r="B82" s="18" t="s">
        <v>3269</v>
      </c>
      <c r="C82" s="68"/>
      <c r="D82" s="19">
        <v>12</v>
      </c>
      <c r="I82"/>
    </row>
    <row r="83" spans="1:9" hidden="1">
      <c r="A83" s="17" t="s">
        <v>3270</v>
      </c>
      <c r="B83" s="18" t="s">
        <v>3271</v>
      </c>
      <c r="C83" s="68"/>
      <c r="D83" s="19">
        <v>1</v>
      </c>
      <c r="I83"/>
    </row>
    <row r="84" spans="1:9" hidden="1">
      <c r="A84" s="17" t="s">
        <v>3272</v>
      </c>
      <c r="B84" s="18" t="s">
        <v>3273</v>
      </c>
      <c r="C84" s="68"/>
      <c r="D84" s="19">
        <v>1</v>
      </c>
      <c r="I84"/>
    </row>
    <row r="85" spans="1:9" hidden="1">
      <c r="A85" s="17" t="s">
        <v>3274</v>
      </c>
      <c r="B85" s="18" t="s">
        <v>3275</v>
      </c>
      <c r="C85" s="68"/>
      <c r="D85" s="19">
        <v>1</v>
      </c>
      <c r="I85"/>
    </row>
    <row r="86" spans="1:9" hidden="1">
      <c r="A86" s="17" t="s">
        <v>3274</v>
      </c>
      <c r="B86" s="18" t="s">
        <v>3276</v>
      </c>
      <c r="C86" s="68"/>
      <c r="D86" s="19">
        <v>1</v>
      </c>
      <c r="I86"/>
    </row>
    <row r="87" spans="1:9" hidden="1">
      <c r="A87" s="17" t="s">
        <v>3274</v>
      </c>
      <c r="B87" s="18" t="s">
        <v>3277</v>
      </c>
      <c r="C87" s="68"/>
      <c r="D87" s="19">
        <v>2</v>
      </c>
      <c r="I87"/>
    </row>
    <row r="88" spans="1:9" hidden="1">
      <c r="A88" s="17" t="s">
        <v>3274</v>
      </c>
      <c r="B88" s="18" t="s">
        <v>3278</v>
      </c>
      <c r="C88" s="68"/>
      <c r="D88" s="19">
        <v>2</v>
      </c>
      <c r="I88"/>
    </row>
    <row r="89" spans="1:9" hidden="1">
      <c r="A89" s="17" t="s">
        <v>3279</v>
      </c>
      <c r="B89" s="18" t="s">
        <v>3280</v>
      </c>
      <c r="C89" s="68"/>
      <c r="D89" s="19">
        <v>1</v>
      </c>
      <c r="I89"/>
    </row>
    <row r="90" spans="1:9" hidden="1">
      <c r="A90" s="17" t="s">
        <v>3281</v>
      </c>
      <c r="B90" s="18" t="s">
        <v>3282</v>
      </c>
      <c r="C90" s="68"/>
      <c r="D90" s="19">
        <v>1</v>
      </c>
      <c r="I90"/>
    </row>
    <row r="91" spans="1:9" hidden="1">
      <c r="A91" s="17" t="s">
        <v>3281</v>
      </c>
      <c r="B91" s="18" t="s">
        <v>3283</v>
      </c>
      <c r="C91" s="68"/>
      <c r="D91" s="19">
        <v>2</v>
      </c>
      <c r="I91"/>
    </row>
    <row r="92" spans="1:9" hidden="1">
      <c r="A92" s="17" t="s">
        <v>3284</v>
      </c>
      <c r="B92" s="18" t="s">
        <v>3285</v>
      </c>
      <c r="C92" s="68"/>
      <c r="D92" s="19">
        <v>1</v>
      </c>
      <c r="I92"/>
    </row>
    <row r="93" spans="1:9" hidden="1">
      <c r="A93" s="17" t="s">
        <v>3284</v>
      </c>
      <c r="B93" s="18" t="s">
        <v>3286</v>
      </c>
      <c r="C93" s="68"/>
      <c r="D93" s="19">
        <v>1</v>
      </c>
      <c r="I93"/>
    </row>
    <row r="94" spans="1:9" hidden="1">
      <c r="A94" s="17" t="s">
        <v>3284</v>
      </c>
      <c r="B94" s="18" t="s">
        <v>3287</v>
      </c>
      <c r="C94" s="68"/>
      <c r="D94" s="19">
        <v>1</v>
      </c>
      <c r="I94"/>
    </row>
    <row r="95" spans="1:9" hidden="1">
      <c r="A95" s="17" t="s">
        <v>3284</v>
      </c>
      <c r="B95" s="18" t="s">
        <v>3288</v>
      </c>
      <c r="C95" s="68"/>
      <c r="D95" s="19">
        <v>2</v>
      </c>
      <c r="I95"/>
    </row>
    <row r="96" spans="1:9" hidden="1">
      <c r="A96" s="17" t="s">
        <v>3284</v>
      </c>
      <c r="B96" s="18" t="s">
        <v>3289</v>
      </c>
      <c r="C96" s="68"/>
      <c r="D96" s="19">
        <v>2</v>
      </c>
      <c r="I96"/>
    </row>
    <row r="97" spans="1:9" hidden="1">
      <c r="A97" s="17" t="s">
        <v>3284</v>
      </c>
      <c r="B97" s="18" t="s">
        <v>3290</v>
      </c>
      <c r="C97" s="68"/>
      <c r="D97" s="19">
        <v>2</v>
      </c>
      <c r="I97"/>
    </row>
    <row r="98" spans="1:9" hidden="1">
      <c r="A98" s="17" t="s">
        <v>3284</v>
      </c>
      <c r="B98" s="18" t="s">
        <v>3291</v>
      </c>
      <c r="C98" s="68"/>
      <c r="D98" s="19">
        <v>4</v>
      </c>
      <c r="I98"/>
    </row>
    <row r="99" spans="1:9" hidden="1">
      <c r="A99" s="17" t="s">
        <v>3284</v>
      </c>
      <c r="B99" s="18" t="s">
        <v>3292</v>
      </c>
      <c r="C99" s="68"/>
      <c r="D99" s="19">
        <v>4</v>
      </c>
      <c r="I99"/>
    </row>
    <row r="100" spans="1:9" hidden="1">
      <c r="A100" s="17" t="s">
        <v>3284</v>
      </c>
      <c r="B100" s="18" t="s">
        <v>3293</v>
      </c>
      <c r="C100" s="68"/>
      <c r="D100" s="19">
        <v>4</v>
      </c>
      <c r="I100"/>
    </row>
    <row r="101" spans="1:9" hidden="1">
      <c r="A101" s="17" t="s">
        <v>3294</v>
      </c>
      <c r="B101" s="18" t="s">
        <v>3295</v>
      </c>
      <c r="C101" s="68"/>
      <c r="D101" s="19">
        <v>1</v>
      </c>
      <c r="I101"/>
    </row>
    <row r="102" spans="1:9" hidden="1">
      <c r="A102" s="17" t="s">
        <v>3294</v>
      </c>
      <c r="B102" s="18" t="s">
        <v>3296</v>
      </c>
      <c r="C102" s="68"/>
      <c r="D102" s="19" t="s">
        <v>3297</v>
      </c>
      <c r="I102"/>
    </row>
    <row r="103" spans="1:9" hidden="1">
      <c r="A103" s="17" t="s">
        <v>3298</v>
      </c>
      <c r="B103" s="18" t="s">
        <v>3299</v>
      </c>
      <c r="C103" s="68"/>
      <c r="D103" s="19">
        <v>1</v>
      </c>
      <c r="I103"/>
    </row>
    <row r="104" spans="1:9" hidden="1">
      <c r="A104" s="17" t="s">
        <v>3300</v>
      </c>
      <c r="B104" s="18" t="s">
        <v>3301</v>
      </c>
      <c r="C104" s="68"/>
      <c r="D104" s="19">
        <v>1</v>
      </c>
      <c r="I104"/>
    </row>
    <row r="105" spans="1:9" hidden="1">
      <c r="A105" s="17" t="s">
        <v>3302</v>
      </c>
      <c r="B105" s="18" t="s">
        <v>3303</v>
      </c>
      <c r="C105" s="68"/>
      <c r="D105" s="19">
        <v>1</v>
      </c>
      <c r="I105"/>
    </row>
    <row r="106" spans="1:9" hidden="1">
      <c r="A106" s="17" t="s">
        <v>3302</v>
      </c>
      <c r="B106" s="18" t="s">
        <v>3304</v>
      </c>
      <c r="C106" s="68"/>
      <c r="D106" s="19">
        <v>1</v>
      </c>
      <c r="I106"/>
    </row>
    <row r="107" spans="1:9" hidden="1">
      <c r="A107" s="17" t="s">
        <v>3302</v>
      </c>
      <c r="B107" s="18" t="s">
        <v>3305</v>
      </c>
      <c r="C107" s="68"/>
      <c r="D107" s="19">
        <v>1</v>
      </c>
      <c r="I107"/>
    </row>
    <row r="108" spans="1:9" hidden="1">
      <c r="A108" s="17" t="s">
        <v>3302</v>
      </c>
      <c r="B108" s="18" t="s">
        <v>3306</v>
      </c>
      <c r="C108" s="68"/>
      <c r="D108" s="19">
        <v>1</v>
      </c>
      <c r="I108"/>
    </row>
    <row r="109" spans="1:9" hidden="1">
      <c r="A109" s="17" t="s">
        <v>3302</v>
      </c>
      <c r="B109" s="18" t="s">
        <v>3307</v>
      </c>
      <c r="C109" s="68"/>
      <c r="D109" s="19">
        <v>2</v>
      </c>
      <c r="I109"/>
    </row>
    <row r="110" spans="1:9" hidden="1">
      <c r="A110" s="17" t="s">
        <v>3302</v>
      </c>
      <c r="B110" s="18" t="s">
        <v>3308</v>
      </c>
      <c r="C110" s="68"/>
      <c r="D110" s="19">
        <v>2</v>
      </c>
      <c r="I110"/>
    </row>
    <row r="111" spans="1:9" hidden="1">
      <c r="A111" s="17" t="s">
        <v>3302</v>
      </c>
      <c r="B111" s="18" t="s">
        <v>3309</v>
      </c>
      <c r="C111" s="68"/>
      <c r="D111" s="19">
        <v>2</v>
      </c>
      <c r="I111"/>
    </row>
    <row r="112" spans="1:9" hidden="1">
      <c r="A112" s="17" t="s">
        <v>3302</v>
      </c>
      <c r="B112" s="18" t="s">
        <v>3310</v>
      </c>
      <c r="C112" s="68"/>
      <c r="D112" s="19">
        <v>2</v>
      </c>
      <c r="I112"/>
    </row>
    <row r="113" spans="1:9" hidden="1">
      <c r="A113" s="17" t="s">
        <v>3311</v>
      </c>
      <c r="B113" s="18" t="s">
        <v>3312</v>
      </c>
      <c r="C113" s="68"/>
      <c r="D113" s="19">
        <v>1</v>
      </c>
      <c r="I113"/>
    </row>
    <row r="114" spans="1:9" hidden="1">
      <c r="A114" s="17" t="s">
        <v>3311</v>
      </c>
      <c r="B114" s="18" t="s">
        <v>3313</v>
      </c>
      <c r="C114" s="68"/>
      <c r="D114" s="19">
        <v>1</v>
      </c>
      <c r="I114"/>
    </row>
    <row r="115" spans="1:9" hidden="1">
      <c r="A115" s="17" t="s">
        <v>3311</v>
      </c>
      <c r="B115" s="18" t="s">
        <v>3314</v>
      </c>
      <c r="C115" s="68"/>
      <c r="D115" s="19">
        <v>1</v>
      </c>
      <c r="I115"/>
    </row>
    <row r="116" spans="1:9" hidden="1">
      <c r="A116" s="17" t="s">
        <v>3311</v>
      </c>
      <c r="B116" s="18" t="s">
        <v>3315</v>
      </c>
      <c r="C116" s="68"/>
      <c r="D116" s="19">
        <v>2</v>
      </c>
      <c r="I116"/>
    </row>
    <row r="117" spans="1:9" hidden="1">
      <c r="A117" s="17" t="s">
        <v>3311</v>
      </c>
      <c r="B117" s="18" t="s">
        <v>3316</v>
      </c>
      <c r="C117" s="68"/>
      <c r="D117" s="19">
        <v>2</v>
      </c>
      <c r="I117"/>
    </row>
    <row r="118" spans="1:9" hidden="1">
      <c r="A118" s="17" t="s">
        <v>3311</v>
      </c>
      <c r="B118" s="18" t="s">
        <v>3317</v>
      </c>
      <c r="C118" s="68"/>
      <c r="D118" s="19">
        <v>2</v>
      </c>
      <c r="I118"/>
    </row>
    <row r="119" spans="1:9" hidden="1">
      <c r="A119" s="17" t="s">
        <v>3311</v>
      </c>
      <c r="B119" s="18" t="s">
        <v>3318</v>
      </c>
      <c r="C119" s="68"/>
      <c r="D119" s="19">
        <v>2</v>
      </c>
      <c r="I119"/>
    </row>
    <row r="120" spans="1:9" hidden="1">
      <c r="A120" s="17" t="s">
        <v>3319</v>
      </c>
      <c r="B120" s="18" t="s">
        <v>3320</v>
      </c>
      <c r="C120" s="68"/>
      <c r="D120" s="19">
        <v>1</v>
      </c>
      <c r="I120"/>
    </row>
    <row r="121" spans="1:9" hidden="1">
      <c r="A121" s="17" t="s">
        <v>3321</v>
      </c>
      <c r="B121" s="18" t="s">
        <v>3322</v>
      </c>
      <c r="C121" s="68"/>
      <c r="D121" s="19">
        <v>1</v>
      </c>
      <c r="I121"/>
    </row>
    <row r="122" spans="1:9" hidden="1">
      <c r="A122" s="17" t="s">
        <v>3323</v>
      </c>
      <c r="B122" s="18" t="s">
        <v>3324</v>
      </c>
      <c r="C122" s="68"/>
      <c r="D122" s="19">
        <v>1</v>
      </c>
      <c r="I122"/>
    </row>
    <row r="123" spans="1:9" hidden="1">
      <c r="A123" s="17" t="s">
        <v>3325</v>
      </c>
      <c r="B123" s="18" t="s">
        <v>3326</v>
      </c>
      <c r="C123" s="68"/>
      <c r="D123" s="19">
        <v>1</v>
      </c>
      <c r="I123"/>
    </row>
    <row r="124" spans="1:9" hidden="1">
      <c r="A124" s="17" t="s">
        <v>3327</v>
      </c>
      <c r="B124" s="18" t="s">
        <v>3328</v>
      </c>
      <c r="C124" s="68"/>
      <c r="D124" s="19">
        <v>1</v>
      </c>
      <c r="I124"/>
    </row>
    <row r="125" spans="1:9" hidden="1">
      <c r="A125" s="17" t="s">
        <v>3329</v>
      </c>
      <c r="B125" s="18" t="s">
        <v>3330</v>
      </c>
      <c r="C125" s="68"/>
      <c r="D125" s="19">
        <v>1</v>
      </c>
      <c r="I125"/>
    </row>
    <row r="126" spans="1:9" hidden="1">
      <c r="A126" s="17" t="s">
        <v>3329</v>
      </c>
      <c r="B126" s="18" t="s">
        <v>3331</v>
      </c>
      <c r="C126" s="68"/>
      <c r="D126" s="19">
        <v>2</v>
      </c>
      <c r="I126"/>
    </row>
    <row r="127" spans="1:9" hidden="1">
      <c r="A127" s="17" t="s">
        <v>3329</v>
      </c>
      <c r="B127" s="18" t="s">
        <v>3332</v>
      </c>
      <c r="C127" s="68"/>
      <c r="D127" s="19">
        <v>4</v>
      </c>
      <c r="I127"/>
    </row>
    <row r="128" spans="1:9" hidden="1">
      <c r="A128" s="17" t="s">
        <v>3329</v>
      </c>
      <c r="B128" s="18" t="s">
        <v>3333</v>
      </c>
      <c r="C128" s="68"/>
      <c r="D128" s="19">
        <v>8</v>
      </c>
      <c r="I128"/>
    </row>
    <row r="129" spans="1:9" hidden="1">
      <c r="A129" s="17" t="s">
        <v>3334</v>
      </c>
      <c r="B129" s="18" t="s">
        <v>3335</v>
      </c>
      <c r="C129" s="68"/>
      <c r="D129" s="19">
        <v>1</v>
      </c>
      <c r="I129"/>
    </row>
    <row r="130" spans="1:9" hidden="1">
      <c r="A130" s="17" t="s">
        <v>3334</v>
      </c>
      <c r="B130" s="18" t="s">
        <v>3336</v>
      </c>
      <c r="C130" s="68"/>
      <c r="D130" s="19">
        <v>2</v>
      </c>
      <c r="I130"/>
    </row>
    <row r="131" spans="1:9" hidden="1">
      <c r="A131" s="17" t="s">
        <v>3334</v>
      </c>
      <c r="B131" s="18" t="s">
        <v>3337</v>
      </c>
      <c r="C131" s="68"/>
      <c r="D131" s="19">
        <v>4</v>
      </c>
      <c r="I131"/>
    </row>
    <row r="132" spans="1:9" hidden="1">
      <c r="A132" s="17" t="s">
        <v>3334</v>
      </c>
      <c r="B132" s="18" t="s">
        <v>3338</v>
      </c>
      <c r="C132" s="68"/>
      <c r="D132" s="19">
        <v>8</v>
      </c>
      <c r="I132"/>
    </row>
    <row r="133" spans="1:9" hidden="1">
      <c r="A133" s="17" t="s">
        <v>3339</v>
      </c>
      <c r="B133" s="18" t="s">
        <v>3340</v>
      </c>
      <c r="C133" s="68"/>
      <c r="D133" s="19">
        <v>1</v>
      </c>
      <c r="I133"/>
    </row>
    <row r="134" spans="1:9" hidden="1">
      <c r="A134" s="17" t="s">
        <v>3341</v>
      </c>
      <c r="B134" s="18" t="s">
        <v>3342</v>
      </c>
      <c r="C134" s="68"/>
      <c r="D134" s="19">
        <v>1</v>
      </c>
      <c r="I134"/>
    </row>
    <row r="135" spans="1:9" hidden="1">
      <c r="A135" s="17" t="s">
        <v>3343</v>
      </c>
      <c r="B135" s="18" t="s">
        <v>3344</v>
      </c>
      <c r="C135" s="68"/>
      <c r="D135" s="19">
        <v>1</v>
      </c>
      <c r="I135"/>
    </row>
    <row r="136" spans="1:9" hidden="1">
      <c r="A136" s="17" t="s">
        <v>3343</v>
      </c>
      <c r="B136" s="18" t="s">
        <v>3345</v>
      </c>
      <c r="C136" s="68"/>
      <c r="D136" s="19">
        <v>1</v>
      </c>
      <c r="I136"/>
    </row>
    <row r="137" spans="1:9" hidden="1">
      <c r="A137" s="17" t="s">
        <v>3343</v>
      </c>
      <c r="B137" s="18" t="s">
        <v>3346</v>
      </c>
      <c r="C137" s="68"/>
      <c r="D137" s="19">
        <v>1</v>
      </c>
      <c r="I137"/>
    </row>
    <row r="138" spans="1:9" hidden="1">
      <c r="A138" s="17" t="s">
        <v>3343</v>
      </c>
      <c r="B138" s="18" t="s">
        <v>3347</v>
      </c>
      <c r="C138" s="68"/>
      <c r="D138" s="19">
        <v>2</v>
      </c>
      <c r="I138"/>
    </row>
    <row r="139" spans="1:9" hidden="1">
      <c r="A139" s="17" t="s">
        <v>3343</v>
      </c>
      <c r="B139" s="18" t="s">
        <v>3348</v>
      </c>
      <c r="C139" s="68"/>
      <c r="D139" s="19">
        <v>2</v>
      </c>
      <c r="I139"/>
    </row>
    <row r="140" spans="1:9" hidden="1">
      <c r="A140" s="17" t="s">
        <v>3343</v>
      </c>
      <c r="B140" s="18" t="s">
        <v>3349</v>
      </c>
      <c r="C140" s="68"/>
      <c r="D140" s="19">
        <v>2</v>
      </c>
      <c r="I140"/>
    </row>
    <row r="141" spans="1:9" hidden="1">
      <c r="A141" s="17" t="s">
        <v>3350</v>
      </c>
      <c r="B141" s="18" t="s">
        <v>3351</v>
      </c>
      <c r="C141" s="68"/>
      <c r="D141" s="19">
        <v>1</v>
      </c>
      <c r="I141"/>
    </row>
    <row r="142" spans="1:9" hidden="1">
      <c r="A142" s="17" t="s">
        <v>3352</v>
      </c>
      <c r="B142" s="18" t="s">
        <v>3353</v>
      </c>
      <c r="C142" s="68"/>
      <c r="D142" s="19">
        <v>1</v>
      </c>
      <c r="I142"/>
    </row>
    <row r="143" spans="1:9" hidden="1">
      <c r="A143" s="17" t="s">
        <v>3354</v>
      </c>
      <c r="B143" s="18" t="s">
        <v>3355</v>
      </c>
      <c r="C143" s="68"/>
      <c r="D143" s="19">
        <v>1</v>
      </c>
      <c r="I143"/>
    </row>
    <row r="144" spans="1:9" hidden="1">
      <c r="A144" s="17" t="s">
        <v>3356</v>
      </c>
      <c r="B144" s="18" t="s">
        <v>3357</v>
      </c>
      <c r="C144" s="68"/>
      <c r="D144" s="19">
        <v>1</v>
      </c>
      <c r="I144"/>
    </row>
    <row r="145" spans="1:9" hidden="1">
      <c r="A145" s="17" t="s">
        <v>3358</v>
      </c>
      <c r="B145" s="18" t="s">
        <v>3359</v>
      </c>
      <c r="C145" s="68"/>
      <c r="D145" s="19">
        <v>1</v>
      </c>
      <c r="I145"/>
    </row>
    <row r="146" spans="1:9" hidden="1">
      <c r="A146" s="17" t="s">
        <v>3358</v>
      </c>
      <c r="B146" s="18" t="s">
        <v>3360</v>
      </c>
      <c r="C146" s="68"/>
      <c r="D146" s="19">
        <v>1</v>
      </c>
      <c r="I146"/>
    </row>
    <row r="147" spans="1:9" hidden="1">
      <c r="A147" s="17" t="s">
        <v>3361</v>
      </c>
      <c r="B147" s="18" t="s">
        <v>3362</v>
      </c>
      <c r="C147" s="68"/>
      <c r="D147" s="19">
        <v>1</v>
      </c>
      <c r="I147"/>
    </row>
    <row r="148" spans="1:9" hidden="1">
      <c r="A148" s="17" t="s">
        <v>3363</v>
      </c>
      <c r="B148" s="18" t="s">
        <v>3364</v>
      </c>
      <c r="C148" s="68"/>
      <c r="D148" s="19">
        <v>1</v>
      </c>
      <c r="I148"/>
    </row>
    <row r="149" spans="1:9" hidden="1">
      <c r="A149" s="17" t="s">
        <v>3365</v>
      </c>
      <c r="B149" s="18" t="s">
        <v>3366</v>
      </c>
      <c r="C149" s="68"/>
      <c r="D149" s="19">
        <v>1</v>
      </c>
      <c r="I149"/>
    </row>
    <row r="150" spans="1:9" hidden="1">
      <c r="A150" s="17" t="s">
        <v>3367</v>
      </c>
      <c r="B150" s="18" t="s">
        <v>3368</v>
      </c>
      <c r="C150" s="68"/>
      <c r="D150" s="19">
        <v>1</v>
      </c>
      <c r="I150"/>
    </row>
    <row r="151" spans="1:9" hidden="1">
      <c r="A151" s="17" t="s">
        <v>3369</v>
      </c>
      <c r="B151" s="18" t="s">
        <v>3370</v>
      </c>
      <c r="C151" s="68"/>
      <c r="D151" s="19">
        <v>1</v>
      </c>
      <c r="I151"/>
    </row>
    <row r="152" spans="1:9" hidden="1">
      <c r="A152" s="17" t="s">
        <v>3371</v>
      </c>
      <c r="B152" s="18" t="s">
        <v>3372</v>
      </c>
      <c r="C152" s="68"/>
      <c r="D152" s="19">
        <v>1</v>
      </c>
      <c r="I152"/>
    </row>
    <row r="153" spans="1:9" hidden="1">
      <c r="A153" s="17" t="s">
        <v>3373</v>
      </c>
      <c r="B153" s="18" t="s">
        <v>3374</v>
      </c>
      <c r="C153" s="68"/>
      <c r="D153" s="19">
        <v>1</v>
      </c>
      <c r="I153"/>
    </row>
    <row r="154" spans="1:9" hidden="1">
      <c r="A154" s="17" t="s">
        <v>3375</v>
      </c>
      <c r="B154" s="18" t="s">
        <v>3376</v>
      </c>
      <c r="C154" s="68"/>
      <c r="D154" s="19">
        <v>1</v>
      </c>
      <c r="I154"/>
    </row>
    <row r="155" spans="1:9" hidden="1">
      <c r="A155" s="17" t="s">
        <v>3375</v>
      </c>
      <c r="B155" s="18" t="s">
        <v>3377</v>
      </c>
      <c r="C155" s="68"/>
      <c r="D155" s="19">
        <v>2</v>
      </c>
      <c r="I155"/>
    </row>
    <row r="156" spans="1:9" hidden="1">
      <c r="A156" s="17" t="s">
        <v>3375</v>
      </c>
      <c r="B156" s="18" t="s">
        <v>3378</v>
      </c>
      <c r="C156" s="68"/>
      <c r="D156" s="19">
        <v>4</v>
      </c>
      <c r="I156"/>
    </row>
    <row r="157" spans="1:9" hidden="1">
      <c r="A157" s="17" t="s">
        <v>3379</v>
      </c>
      <c r="B157" s="18" t="s">
        <v>3380</v>
      </c>
      <c r="C157" s="68"/>
      <c r="D157" s="19">
        <v>1</v>
      </c>
      <c r="I157"/>
    </row>
    <row r="158" spans="1:9" hidden="1">
      <c r="A158" s="17" t="s">
        <v>3381</v>
      </c>
      <c r="B158" s="18" t="s">
        <v>3382</v>
      </c>
      <c r="C158" s="68"/>
      <c r="D158" s="19">
        <v>1</v>
      </c>
      <c r="I158"/>
    </row>
    <row r="159" spans="1:9" hidden="1">
      <c r="A159" s="17" t="s">
        <v>3381</v>
      </c>
      <c r="B159" s="18" t="s">
        <v>3383</v>
      </c>
      <c r="C159" s="68"/>
      <c r="D159" s="19">
        <v>2</v>
      </c>
      <c r="I159"/>
    </row>
    <row r="160" spans="1:9" hidden="1">
      <c r="A160" s="17" t="s">
        <v>3381</v>
      </c>
      <c r="B160" s="18" t="s">
        <v>3384</v>
      </c>
      <c r="C160" s="68"/>
      <c r="D160" s="19">
        <v>4</v>
      </c>
      <c r="I160"/>
    </row>
    <row r="161" spans="1:9" hidden="1">
      <c r="A161" s="17" t="s">
        <v>3385</v>
      </c>
      <c r="B161" s="18" t="s">
        <v>3386</v>
      </c>
      <c r="C161" s="68"/>
      <c r="D161" s="19">
        <v>1</v>
      </c>
      <c r="I161"/>
    </row>
    <row r="162" spans="1:9" hidden="1">
      <c r="A162" s="17" t="s">
        <v>3387</v>
      </c>
      <c r="B162" s="18" t="s">
        <v>3388</v>
      </c>
      <c r="C162" s="68"/>
      <c r="D162" s="19">
        <v>1</v>
      </c>
      <c r="I162"/>
    </row>
    <row r="163" spans="1:9" hidden="1">
      <c r="A163" s="17" t="s">
        <v>3387</v>
      </c>
      <c r="B163" s="18" t="s">
        <v>3389</v>
      </c>
      <c r="C163" s="68"/>
      <c r="D163" s="19">
        <v>2</v>
      </c>
      <c r="I163"/>
    </row>
    <row r="164" spans="1:9" hidden="1">
      <c r="A164" s="17" t="s">
        <v>3387</v>
      </c>
      <c r="B164" s="18" t="s">
        <v>3390</v>
      </c>
      <c r="C164" s="68"/>
      <c r="D164" s="19">
        <v>4</v>
      </c>
      <c r="I164"/>
    </row>
    <row r="165" spans="1:9" hidden="1">
      <c r="A165" s="17" t="s">
        <v>3391</v>
      </c>
      <c r="B165" s="18" t="s">
        <v>3392</v>
      </c>
      <c r="C165" s="68"/>
      <c r="D165" s="19">
        <v>1</v>
      </c>
      <c r="I165"/>
    </row>
    <row r="166" spans="1:9" hidden="1">
      <c r="A166" s="17" t="s">
        <v>3393</v>
      </c>
      <c r="B166" s="18" t="s">
        <v>3394</v>
      </c>
      <c r="C166" s="68"/>
      <c r="D166" s="19">
        <v>1</v>
      </c>
      <c r="I166"/>
    </row>
    <row r="167" spans="1:9" hidden="1">
      <c r="A167" s="17" t="s">
        <v>3393</v>
      </c>
      <c r="B167" s="18" t="s">
        <v>3395</v>
      </c>
      <c r="C167" s="68"/>
      <c r="D167" s="19">
        <v>2</v>
      </c>
      <c r="I167"/>
    </row>
    <row r="168" spans="1:9" hidden="1">
      <c r="A168" s="17" t="s">
        <v>3393</v>
      </c>
      <c r="B168" s="18" t="s">
        <v>3396</v>
      </c>
      <c r="C168" s="68"/>
      <c r="D168" s="19">
        <v>4</v>
      </c>
      <c r="I168"/>
    </row>
    <row r="169" spans="1:9" hidden="1">
      <c r="A169" s="17" t="s">
        <v>3393</v>
      </c>
      <c r="B169" s="18" t="s">
        <v>3397</v>
      </c>
      <c r="C169" s="68"/>
      <c r="D169" s="19">
        <v>16</v>
      </c>
      <c r="I169"/>
    </row>
    <row r="170" spans="1:9" hidden="1">
      <c r="A170" s="17" t="s">
        <v>3398</v>
      </c>
      <c r="B170" s="18" t="s">
        <v>3399</v>
      </c>
      <c r="C170" s="68"/>
      <c r="D170" s="19">
        <v>1</v>
      </c>
      <c r="I170"/>
    </row>
    <row r="171" spans="1:9" hidden="1">
      <c r="A171" s="17" t="s">
        <v>3398</v>
      </c>
      <c r="B171" s="18" t="s">
        <v>3400</v>
      </c>
      <c r="C171" s="68"/>
      <c r="D171" s="19">
        <v>2</v>
      </c>
      <c r="I171"/>
    </row>
    <row r="172" spans="1:9" hidden="1">
      <c r="A172" s="17" t="s">
        <v>3398</v>
      </c>
      <c r="B172" s="18" t="s">
        <v>3401</v>
      </c>
      <c r="C172" s="68"/>
      <c r="D172" s="19">
        <v>4</v>
      </c>
      <c r="I172"/>
    </row>
    <row r="173" spans="1:9" hidden="1">
      <c r="A173" s="17" t="s">
        <v>3402</v>
      </c>
      <c r="B173" s="18" t="s">
        <v>3403</v>
      </c>
      <c r="C173" s="68"/>
      <c r="D173" s="19">
        <v>1</v>
      </c>
      <c r="I173"/>
    </row>
    <row r="174" spans="1:9" hidden="1">
      <c r="A174" s="17" t="s">
        <v>3404</v>
      </c>
      <c r="B174" s="18" t="s">
        <v>3405</v>
      </c>
      <c r="C174" s="68"/>
      <c r="D174" s="19">
        <v>1</v>
      </c>
      <c r="I174"/>
    </row>
    <row r="175" spans="1:9" hidden="1">
      <c r="A175" s="17" t="s">
        <v>3406</v>
      </c>
      <c r="B175" s="18" t="s">
        <v>3407</v>
      </c>
      <c r="C175" s="68"/>
      <c r="D175" s="19">
        <v>1</v>
      </c>
      <c r="I175"/>
    </row>
    <row r="176" spans="1:9" hidden="1">
      <c r="A176" s="17" t="s">
        <v>3408</v>
      </c>
      <c r="B176" s="18" t="s">
        <v>3409</v>
      </c>
      <c r="C176" s="68"/>
      <c r="D176" s="19">
        <v>1</v>
      </c>
      <c r="I176"/>
    </row>
    <row r="177" spans="1:9" hidden="1">
      <c r="A177" s="17" t="s">
        <v>3408</v>
      </c>
      <c r="B177" s="18" t="s">
        <v>3410</v>
      </c>
      <c r="C177" s="68"/>
      <c r="D177" s="19">
        <v>2</v>
      </c>
      <c r="I177"/>
    </row>
    <row r="178" spans="1:9" hidden="1">
      <c r="A178" s="17" t="s">
        <v>3408</v>
      </c>
      <c r="B178" s="18" t="s">
        <v>3411</v>
      </c>
      <c r="C178" s="68"/>
      <c r="D178" s="19">
        <v>4</v>
      </c>
      <c r="I178"/>
    </row>
    <row r="179" spans="1:9" hidden="1">
      <c r="A179" s="17" t="s">
        <v>3412</v>
      </c>
      <c r="B179" s="18" t="s">
        <v>3413</v>
      </c>
      <c r="C179" s="68"/>
      <c r="D179" s="19">
        <v>1</v>
      </c>
      <c r="I179"/>
    </row>
    <row r="180" spans="1:9" hidden="1">
      <c r="A180" s="17" t="s">
        <v>3412</v>
      </c>
      <c r="B180" s="18" t="s">
        <v>3414</v>
      </c>
      <c r="C180" s="68"/>
      <c r="D180" s="19">
        <v>2</v>
      </c>
      <c r="I180"/>
    </row>
    <row r="181" spans="1:9" hidden="1">
      <c r="A181" s="17" t="s">
        <v>3412</v>
      </c>
      <c r="B181" s="18" t="s">
        <v>3415</v>
      </c>
      <c r="C181" s="68"/>
      <c r="D181" s="19">
        <v>4</v>
      </c>
      <c r="I181"/>
    </row>
    <row r="182" spans="1:9" hidden="1">
      <c r="A182" s="17" t="s">
        <v>3416</v>
      </c>
      <c r="B182" s="18" t="s">
        <v>3417</v>
      </c>
      <c r="C182" s="68"/>
      <c r="D182" s="19">
        <v>1</v>
      </c>
      <c r="I182"/>
    </row>
    <row r="183" spans="1:9" hidden="1">
      <c r="A183" s="17" t="s">
        <v>3416</v>
      </c>
      <c r="B183" s="18" t="s">
        <v>3418</v>
      </c>
      <c r="C183" s="68"/>
      <c r="D183" s="19">
        <v>2</v>
      </c>
      <c r="I183"/>
    </row>
    <row r="184" spans="1:9" hidden="1">
      <c r="A184" s="17" t="s">
        <v>3416</v>
      </c>
      <c r="B184" s="18" t="s">
        <v>3419</v>
      </c>
      <c r="C184" s="68"/>
      <c r="D184" s="19">
        <v>4</v>
      </c>
      <c r="I184"/>
    </row>
    <row r="185" spans="1:9" hidden="1">
      <c r="A185" s="17" t="s">
        <v>3420</v>
      </c>
      <c r="B185" s="18" t="s">
        <v>3421</v>
      </c>
      <c r="C185" s="68"/>
      <c r="D185" s="19">
        <v>1</v>
      </c>
      <c r="I185"/>
    </row>
    <row r="186" spans="1:9" hidden="1">
      <c r="A186" s="17" t="s">
        <v>3422</v>
      </c>
      <c r="B186" s="18" t="s">
        <v>3423</v>
      </c>
      <c r="C186" s="68"/>
      <c r="D186" s="19">
        <v>1</v>
      </c>
      <c r="I186"/>
    </row>
    <row r="187" spans="1:9" hidden="1">
      <c r="A187" s="17" t="s">
        <v>3422</v>
      </c>
      <c r="B187" s="18" t="s">
        <v>3424</v>
      </c>
      <c r="C187" s="68"/>
      <c r="D187" s="19" t="s">
        <v>3425</v>
      </c>
      <c r="I187"/>
    </row>
    <row r="188" spans="1:9" hidden="1">
      <c r="A188" s="17" t="s">
        <v>3426</v>
      </c>
      <c r="B188" s="18" t="s">
        <v>3427</v>
      </c>
      <c r="C188" s="68"/>
      <c r="D188" s="19">
        <v>1</v>
      </c>
      <c r="I188"/>
    </row>
    <row r="189" spans="1:9" hidden="1">
      <c r="A189" s="17" t="s">
        <v>3426</v>
      </c>
      <c r="B189" s="18" t="s">
        <v>3428</v>
      </c>
      <c r="C189" s="68"/>
      <c r="D189" s="19">
        <v>2</v>
      </c>
      <c r="I189"/>
    </row>
    <row r="190" spans="1:9" hidden="1">
      <c r="A190" s="17" t="s">
        <v>3426</v>
      </c>
      <c r="B190" s="18" t="s">
        <v>3429</v>
      </c>
      <c r="C190" s="68"/>
      <c r="D190" s="19">
        <v>4</v>
      </c>
      <c r="I190"/>
    </row>
    <row r="191" spans="1:9" hidden="1">
      <c r="A191" s="17" t="s">
        <v>3426</v>
      </c>
      <c r="B191" s="18" t="s">
        <v>3430</v>
      </c>
      <c r="C191" s="68"/>
      <c r="D191" s="19">
        <v>8</v>
      </c>
      <c r="I191"/>
    </row>
    <row r="192" spans="1:9" hidden="1">
      <c r="A192" s="17" t="s">
        <v>3431</v>
      </c>
      <c r="B192" s="18" t="s">
        <v>3432</v>
      </c>
      <c r="C192" s="68"/>
      <c r="D192" s="19">
        <v>1</v>
      </c>
      <c r="I192"/>
    </row>
    <row r="193" spans="1:9" hidden="1">
      <c r="A193" s="17" t="s">
        <v>3433</v>
      </c>
      <c r="B193" s="18" t="s">
        <v>3434</v>
      </c>
      <c r="C193" s="68"/>
      <c r="D193" s="19">
        <v>1</v>
      </c>
      <c r="I193"/>
    </row>
    <row r="194" spans="1:9" hidden="1">
      <c r="A194" s="17" t="s">
        <v>3433</v>
      </c>
      <c r="B194" s="18" t="s">
        <v>3435</v>
      </c>
      <c r="C194" s="68"/>
      <c r="D194" s="19" t="s">
        <v>3436</v>
      </c>
      <c r="I194"/>
    </row>
    <row r="195" spans="1:9" hidden="1">
      <c r="A195" s="17" t="s">
        <v>3437</v>
      </c>
      <c r="B195" s="18" t="s">
        <v>3438</v>
      </c>
      <c r="C195" s="68"/>
      <c r="D195" s="19">
        <v>1</v>
      </c>
      <c r="I195"/>
    </row>
    <row r="196" spans="1:9" hidden="1">
      <c r="A196" s="17" t="s">
        <v>3437</v>
      </c>
      <c r="B196" s="18" t="s">
        <v>3439</v>
      </c>
      <c r="C196" s="68"/>
      <c r="D196" s="19" t="s">
        <v>3440</v>
      </c>
      <c r="I196"/>
    </row>
    <row r="197" spans="1:9" hidden="1">
      <c r="A197" s="17" t="s">
        <v>3441</v>
      </c>
      <c r="B197" s="18" t="s">
        <v>3442</v>
      </c>
      <c r="C197" s="68"/>
      <c r="D197" s="19">
        <v>1</v>
      </c>
      <c r="I197"/>
    </row>
    <row r="198" spans="1:9" hidden="1">
      <c r="A198" s="17" t="s">
        <v>3441</v>
      </c>
      <c r="B198" s="18" t="s">
        <v>3443</v>
      </c>
      <c r="C198" s="68"/>
      <c r="D198" s="19">
        <v>2</v>
      </c>
      <c r="I198"/>
    </row>
    <row r="199" spans="1:9" hidden="1">
      <c r="A199" s="17" t="s">
        <v>3444</v>
      </c>
      <c r="B199" s="18" t="s">
        <v>3445</v>
      </c>
      <c r="C199" s="68"/>
      <c r="D199" s="19">
        <v>1</v>
      </c>
      <c r="I199"/>
    </row>
    <row r="200" spans="1:9" hidden="1">
      <c r="A200" s="17" t="s">
        <v>3444</v>
      </c>
      <c r="B200" s="18" t="s">
        <v>3446</v>
      </c>
      <c r="C200" s="68"/>
      <c r="D200" s="19">
        <v>2</v>
      </c>
      <c r="I200"/>
    </row>
    <row r="201" spans="1:9" hidden="1">
      <c r="A201" s="17" t="s">
        <v>3447</v>
      </c>
      <c r="B201" s="18" t="s">
        <v>3448</v>
      </c>
      <c r="C201" s="68"/>
      <c r="D201" s="19">
        <v>1</v>
      </c>
      <c r="I201"/>
    </row>
    <row r="202" spans="1:9" hidden="1">
      <c r="A202" s="17" t="s">
        <v>3449</v>
      </c>
      <c r="B202" s="18" t="s">
        <v>3450</v>
      </c>
      <c r="C202" s="68"/>
      <c r="D202" s="19">
        <v>1</v>
      </c>
      <c r="I202"/>
    </row>
    <row r="203" spans="1:9" hidden="1">
      <c r="A203" s="17" t="s">
        <v>3449</v>
      </c>
      <c r="B203" s="18" t="s">
        <v>3451</v>
      </c>
      <c r="C203" s="68"/>
      <c r="D203" s="19" t="s">
        <v>3452</v>
      </c>
      <c r="I203"/>
    </row>
    <row r="204" spans="1:9" hidden="1">
      <c r="A204" s="17" t="s">
        <v>3449</v>
      </c>
      <c r="B204" s="18" t="s">
        <v>3453</v>
      </c>
      <c r="C204" s="68"/>
      <c r="D204" s="19" t="s">
        <v>3454</v>
      </c>
      <c r="I204"/>
    </row>
    <row r="205" spans="1:9" hidden="1">
      <c r="A205" s="17" t="s">
        <v>3449</v>
      </c>
      <c r="B205" s="18" t="s">
        <v>3455</v>
      </c>
      <c r="C205" s="68"/>
      <c r="D205" s="19">
        <v>2</v>
      </c>
      <c r="I205"/>
    </row>
    <row r="206" spans="1:9" hidden="1">
      <c r="A206" s="17" t="s">
        <v>3456</v>
      </c>
      <c r="B206" s="18" t="s">
        <v>3457</v>
      </c>
      <c r="C206" s="68"/>
      <c r="D206" s="19">
        <v>1</v>
      </c>
      <c r="I206"/>
    </row>
    <row r="207" spans="1:9" hidden="1">
      <c r="A207" s="17" t="s">
        <v>3456</v>
      </c>
      <c r="B207" s="18" t="s">
        <v>3458</v>
      </c>
      <c r="C207" s="68"/>
      <c r="D207" s="19">
        <v>2</v>
      </c>
      <c r="I207"/>
    </row>
    <row r="208" spans="1:9" hidden="1">
      <c r="A208" s="17" t="s">
        <v>3456</v>
      </c>
      <c r="B208" s="18" t="s">
        <v>3459</v>
      </c>
      <c r="C208" s="68"/>
      <c r="D208" s="19">
        <v>3</v>
      </c>
      <c r="I208"/>
    </row>
    <row r="209" spans="1:9" hidden="1">
      <c r="A209" s="17" t="s">
        <v>3456</v>
      </c>
      <c r="B209" s="18" t="s">
        <v>3460</v>
      </c>
      <c r="C209" s="68"/>
      <c r="D209" s="19" t="s">
        <v>3461</v>
      </c>
      <c r="I209"/>
    </row>
    <row r="210" spans="1:9" hidden="1">
      <c r="A210" s="17" t="s">
        <v>3462</v>
      </c>
      <c r="B210" s="18" t="s">
        <v>3463</v>
      </c>
      <c r="C210" s="68"/>
      <c r="D210" s="19">
        <v>1</v>
      </c>
      <c r="I210"/>
    </row>
    <row r="211" spans="1:9" hidden="1">
      <c r="A211" s="17" t="s">
        <v>3462</v>
      </c>
      <c r="B211" s="18" t="s">
        <v>3464</v>
      </c>
      <c r="C211" s="68"/>
      <c r="D211" s="19" t="s">
        <v>3465</v>
      </c>
      <c r="I211"/>
    </row>
    <row r="212" spans="1:9" hidden="1">
      <c r="A212" s="17" t="s">
        <v>3462</v>
      </c>
      <c r="B212" s="18" t="s">
        <v>3466</v>
      </c>
      <c r="C212" s="68"/>
      <c r="D212" s="19" t="s">
        <v>3467</v>
      </c>
      <c r="I212"/>
    </row>
    <row r="213" spans="1:9" hidden="1">
      <c r="A213" s="17" t="s">
        <v>3468</v>
      </c>
      <c r="B213" s="18" t="s">
        <v>3469</v>
      </c>
      <c r="C213" s="68"/>
      <c r="D213" s="19">
        <v>1</v>
      </c>
      <c r="I213"/>
    </row>
    <row r="214" spans="1:9" hidden="1">
      <c r="A214" s="17" t="s">
        <v>3468</v>
      </c>
      <c r="B214" s="18" t="s">
        <v>3470</v>
      </c>
      <c r="C214" s="68"/>
      <c r="D214" s="19">
        <v>2</v>
      </c>
      <c r="I214"/>
    </row>
    <row r="215" spans="1:9" hidden="1">
      <c r="A215" s="17" t="s">
        <v>3468</v>
      </c>
      <c r="B215" s="18" t="s">
        <v>3471</v>
      </c>
      <c r="C215" s="68"/>
      <c r="D215" s="19" t="s">
        <v>3472</v>
      </c>
      <c r="I215"/>
    </row>
    <row r="216" spans="1:9" hidden="1">
      <c r="A216" s="17" t="s">
        <v>3473</v>
      </c>
      <c r="B216" s="18" t="s">
        <v>3474</v>
      </c>
      <c r="C216" s="68"/>
      <c r="D216" s="19">
        <v>1</v>
      </c>
      <c r="I216"/>
    </row>
    <row r="217" spans="1:9" hidden="1">
      <c r="A217" s="17" t="s">
        <v>3473</v>
      </c>
      <c r="B217" s="18" t="s">
        <v>3475</v>
      </c>
      <c r="C217" s="68"/>
      <c r="D217" s="19" t="s">
        <v>3465</v>
      </c>
      <c r="I217"/>
    </row>
    <row r="218" spans="1:9" hidden="1">
      <c r="A218" s="17" t="s">
        <v>3473</v>
      </c>
      <c r="B218" s="18" t="s">
        <v>3476</v>
      </c>
      <c r="C218" s="68"/>
      <c r="D218" s="19" t="s">
        <v>3477</v>
      </c>
      <c r="I218"/>
    </row>
    <row r="219" spans="1:9" hidden="1">
      <c r="A219" s="17" t="s">
        <v>3478</v>
      </c>
      <c r="B219" s="18" t="s">
        <v>3479</v>
      </c>
      <c r="C219" s="68"/>
      <c r="D219" s="19">
        <v>1</v>
      </c>
      <c r="I219"/>
    </row>
    <row r="220" spans="1:9" hidden="1">
      <c r="A220" s="17" t="s">
        <v>3478</v>
      </c>
      <c r="B220" s="18" t="s">
        <v>3480</v>
      </c>
      <c r="C220" s="68"/>
      <c r="D220" s="19">
        <v>2</v>
      </c>
      <c r="I220"/>
    </row>
    <row r="221" spans="1:9" ht="15" hidden="1" thickBot="1">
      <c r="A221" s="64" t="s">
        <v>3478</v>
      </c>
      <c r="B221" s="65" t="s">
        <v>3481</v>
      </c>
      <c r="C221" s="69"/>
      <c r="D221" s="66" t="s">
        <v>3482</v>
      </c>
      <c r="I221"/>
    </row>
  </sheetData>
  <autoFilter ref="A1:I221" xr:uid="{696F9DC4-3F9C-450A-A954-692574E8112F}"/>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12FC6-BAF6-496B-B465-3B9599B3E227}">
  <sheetPr codeName="Sheet13"/>
  <dimension ref="A1:N274"/>
  <sheetViews>
    <sheetView topLeftCell="A44" workbookViewId="0">
      <selection activeCell="A48" sqref="A48:XFD48"/>
    </sheetView>
  </sheetViews>
  <sheetFormatPr defaultRowHeight="14.5"/>
  <cols>
    <col min="1" max="1" width="35.7265625" bestFit="1" customWidth="1"/>
    <col min="2" max="2" width="18.81640625" bestFit="1" customWidth="1"/>
    <col min="3" max="3" width="21" customWidth="1"/>
    <col min="4" max="4" width="18.1796875" bestFit="1" customWidth="1"/>
    <col min="5" max="5" width="15.7265625" bestFit="1" customWidth="1"/>
    <col min="6" max="6" width="18.1796875" bestFit="1" customWidth="1"/>
    <col min="7" max="7" width="15.7265625" bestFit="1" customWidth="1"/>
    <col min="8" max="8" width="14.81640625" hidden="1" customWidth="1"/>
    <col min="9" max="9" width="19.7265625" hidden="1" customWidth="1"/>
    <col min="10" max="10" width="20.81640625" hidden="1" customWidth="1"/>
    <col min="11" max="11" width="19.453125" hidden="1" customWidth="1"/>
    <col min="12" max="12" width="16.81640625" hidden="1" customWidth="1"/>
    <col min="13" max="13" width="20" customWidth="1"/>
    <col min="14" max="14" width="70.54296875" bestFit="1" customWidth="1"/>
  </cols>
  <sheetData>
    <row r="1" spans="1:14">
      <c r="A1" t="s">
        <v>3483</v>
      </c>
      <c r="B1" s="73" t="s">
        <v>104</v>
      </c>
      <c r="C1" s="73" t="s">
        <v>111</v>
      </c>
      <c r="D1" s="74" t="s">
        <v>3484</v>
      </c>
      <c r="E1" s="74" t="s">
        <v>3485</v>
      </c>
      <c r="F1" s="75" t="s">
        <v>3486</v>
      </c>
      <c r="G1" s="75" t="s">
        <v>3487</v>
      </c>
      <c r="H1" s="73" t="s">
        <v>3488</v>
      </c>
      <c r="I1" s="73" t="s">
        <v>3489</v>
      </c>
      <c r="J1" s="73" t="s">
        <v>3490</v>
      </c>
      <c r="K1" s="73" t="s">
        <v>3491</v>
      </c>
      <c r="L1" s="73" t="s">
        <v>3492</v>
      </c>
      <c r="M1" s="73" t="s">
        <v>3493</v>
      </c>
      <c r="N1" s="73" t="s">
        <v>3494</v>
      </c>
    </row>
    <row r="2" spans="1:14">
      <c r="A2" t="s">
        <v>3495</v>
      </c>
      <c r="B2" s="76" t="s">
        <v>418</v>
      </c>
      <c r="C2" s="76" t="s">
        <v>154</v>
      </c>
      <c r="D2" s="76" t="s">
        <v>1000</v>
      </c>
      <c r="E2" s="76" t="s">
        <v>3496</v>
      </c>
      <c r="F2" s="76" t="s">
        <v>57</v>
      </c>
      <c r="G2" s="76" t="s">
        <v>3497</v>
      </c>
      <c r="H2" s="77" t="s">
        <v>3498</v>
      </c>
      <c r="I2" s="77" t="s">
        <v>3499</v>
      </c>
      <c r="J2" s="77" t="s">
        <v>3500</v>
      </c>
      <c r="K2" s="78">
        <v>44015</v>
      </c>
      <c r="L2" s="77"/>
      <c r="M2" s="79" t="s">
        <v>3501</v>
      </c>
      <c r="N2" s="80"/>
    </row>
    <row r="3" spans="1:14">
      <c r="A3" t="s">
        <v>158</v>
      </c>
      <c r="B3" s="81" t="s">
        <v>537</v>
      </c>
      <c r="C3" s="81" t="s">
        <v>276</v>
      </c>
      <c r="D3" s="81" t="s">
        <v>466</v>
      </c>
      <c r="E3" s="81" t="s">
        <v>3497</v>
      </c>
      <c r="F3" s="81" t="s">
        <v>57</v>
      </c>
      <c r="G3" s="81" t="s">
        <v>3497</v>
      </c>
      <c r="H3" s="77" t="s">
        <v>3502</v>
      </c>
      <c r="I3" s="77" t="s">
        <v>3503</v>
      </c>
      <c r="J3" s="77" t="s">
        <v>3500</v>
      </c>
      <c r="K3" s="77"/>
      <c r="L3" s="77"/>
      <c r="M3" s="82" t="s">
        <v>3501</v>
      </c>
      <c r="N3" s="83"/>
    </row>
    <row r="4" spans="1:14">
      <c r="A4" t="s">
        <v>3504</v>
      </c>
      <c r="B4" s="81" t="s">
        <v>540</v>
      </c>
      <c r="C4" s="81" t="s">
        <v>276</v>
      </c>
      <c r="D4" s="81" t="s">
        <v>466</v>
      </c>
      <c r="E4" s="81" t="s">
        <v>3497</v>
      </c>
      <c r="F4" s="81" t="s">
        <v>57</v>
      </c>
      <c r="G4" s="81" t="s">
        <v>3497</v>
      </c>
      <c r="H4" s="77" t="s">
        <v>3502</v>
      </c>
      <c r="I4" s="77" t="s">
        <v>3503</v>
      </c>
      <c r="J4" s="77" t="s">
        <v>3500</v>
      </c>
      <c r="K4" s="77"/>
      <c r="L4" s="77"/>
      <c r="M4" s="82" t="s">
        <v>3501</v>
      </c>
      <c r="N4" s="83"/>
    </row>
    <row r="5" spans="1:14">
      <c r="A5" t="s">
        <v>3505</v>
      </c>
      <c r="B5" s="81" t="s">
        <v>542</v>
      </c>
      <c r="C5" s="81" t="s">
        <v>276</v>
      </c>
      <c r="D5" s="81" t="s">
        <v>466</v>
      </c>
      <c r="E5" s="81" t="s">
        <v>3497</v>
      </c>
      <c r="F5" s="81" t="s">
        <v>57</v>
      </c>
      <c r="G5" s="81" t="s">
        <v>3497</v>
      </c>
      <c r="H5" s="77" t="s">
        <v>3502</v>
      </c>
      <c r="I5" s="77" t="s">
        <v>3503</v>
      </c>
      <c r="J5" s="77" t="s">
        <v>3500</v>
      </c>
      <c r="K5" s="77"/>
      <c r="L5" s="77"/>
      <c r="M5" s="82" t="s">
        <v>3501</v>
      </c>
      <c r="N5" s="83"/>
    </row>
    <row r="6" spans="1:14">
      <c r="A6" t="s">
        <v>3506</v>
      </c>
      <c r="B6" s="81" t="s">
        <v>543</v>
      </c>
      <c r="C6" s="81" t="s">
        <v>276</v>
      </c>
      <c r="D6" s="81" t="s">
        <v>466</v>
      </c>
      <c r="E6" s="81" t="s">
        <v>3497</v>
      </c>
      <c r="F6" s="81" t="s">
        <v>57</v>
      </c>
      <c r="G6" s="81" t="s">
        <v>3497</v>
      </c>
      <c r="H6" s="77" t="s">
        <v>3502</v>
      </c>
      <c r="I6" s="77" t="s">
        <v>3503</v>
      </c>
      <c r="J6" s="77" t="s">
        <v>3500</v>
      </c>
      <c r="K6" s="77"/>
      <c r="L6" s="77"/>
      <c r="M6" s="82" t="s">
        <v>3501</v>
      </c>
      <c r="N6" s="83"/>
    </row>
    <row r="7" spans="1:14">
      <c r="A7" t="s">
        <v>3507</v>
      </c>
      <c r="B7" s="81" t="s">
        <v>545</v>
      </c>
      <c r="C7" s="81" t="s">
        <v>276</v>
      </c>
      <c r="D7" s="81" t="s">
        <v>466</v>
      </c>
      <c r="E7" s="81" t="s">
        <v>3497</v>
      </c>
      <c r="F7" s="81" t="s">
        <v>57</v>
      </c>
      <c r="G7" s="81" t="s">
        <v>3497</v>
      </c>
      <c r="H7" s="77" t="s">
        <v>3502</v>
      </c>
      <c r="I7" s="77" t="s">
        <v>3503</v>
      </c>
      <c r="J7" s="77" t="s">
        <v>3500</v>
      </c>
      <c r="K7" s="77"/>
      <c r="L7" s="77"/>
      <c r="M7" s="82" t="s">
        <v>3501</v>
      </c>
      <c r="N7" s="83"/>
    </row>
    <row r="8" spans="1:14">
      <c r="A8" t="s">
        <v>168</v>
      </c>
      <c r="B8" s="81" t="s">
        <v>818</v>
      </c>
      <c r="C8" s="81" t="s">
        <v>154</v>
      </c>
      <c r="D8" s="81" t="s">
        <v>155</v>
      </c>
      <c r="E8" s="81" t="s">
        <v>3508</v>
      </c>
      <c r="F8" s="81" t="s">
        <v>57</v>
      </c>
      <c r="G8" s="81" t="s">
        <v>3497</v>
      </c>
      <c r="H8" s="77" t="s">
        <v>3498</v>
      </c>
      <c r="I8" s="77" t="s">
        <v>3509</v>
      </c>
      <c r="J8" s="77" t="s">
        <v>3500</v>
      </c>
      <c r="K8" s="77"/>
      <c r="L8" s="77"/>
      <c r="M8" s="82" t="s">
        <v>3501</v>
      </c>
      <c r="N8" s="83"/>
    </row>
    <row r="9" spans="1:14">
      <c r="A9" t="s">
        <v>3510</v>
      </c>
      <c r="B9" s="81" t="s">
        <v>819</v>
      </c>
      <c r="C9" s="81" t="s">
        <v>154</v>
      </c>
      <c r="D9" s="81" t="s">
        <v>155</v>
      </c>
      <c r="E9" s="81" t="s">
        <v>3508</v>
      </c>
      <c r="F9" s="81" t="s">
        <v>57</v>
      </c>
      <c r="G9" s="81" t="s">
        <v>3497</v>
      </c>
      <c r="H9" s="77" t="s">
        <v>3498</v>
      </c>
      <c r="I9" s="77" t="s">
        <v>3509</v>
      </c>
      <c r="J9" s="77" t="s">
        <v>3500</v>
      </c>
      <c r="K9" s="77"/>
      <c r="L9" s="77"/>
      <c r="M9" s="82" t="s">
        <v>3501</v>
      </c>
      <c r="N9" s="83"/>
    </row>
    <row r="10" spans="1:14">
      <c r="A10" t="s">
        <v>170</v>
      </c>
      <c r="B10" s="84" t="s">
        <v>780</v>
      </c>
      <c r="C10" s="84" t="s">
        <v>154</v>
      </c>
      <c r="D10" s="85" t="s">
        <v>934</v>
      </c>
      <c r="E10" s="85" t="s">
        <v>3511</v>
      </c>
      <c r="F10" s="86" t="s">
        <v>58</v>
      </c>
      <c r="G10" s="86" t="s">
        <v>3512</v>
      </c>
      <c r="H10" s="77" t="s">
        <v>3513</v>
      </c>
      <c r="I10" s="77" t="s">
        <v>3514</v>
      </c>
      <c r="J10" s="77" t="s">
        <v>3500</v>
      </c>
      <c r="K10" s="78">
        <v>44015</v>
      </c>
      <c r="L10" s="77"/>
      <c r="M10" s="87" t="s">
        <v>3501</v>
      </c>
      <c r="N10" s="88" t="s">
        <v>779</v>
      </c>
    </row>
    <row r="11" spans="1:14">
      <c r="A11" t="s">
        <v>3515</v>
      </c>
      <c r="B11" s="84" t="s">
        <v>783</v>
      </c>
      <c r="C11" s="84" t="s">
        <v>154</v>
      </c>
      <c r="D11" s="85" t="s">
        <v>934</v>
      </c>
      <c r="E11" s="85" t="s">
        <v>3511</v>
      </c>
      <c r="F11" s="86" t="s">
        <v>58</v>
      </c>
      <c r="G11" s="86" t="s">
        <v>3512</v>
      </c>
      <c r="H11" s="77" t="s">
        <v>3513</v>
      </c>
      <c r="I11" s="77" t="s">
        <v>3514</v>
      </c>
      <c r="J11" s="77" t="s">
        <v>3500</v>
      </c>
      <c r="K11" s="78">
        <v>44015</v>
      </c>
      <c r="L11" s="77"/>
      <c r="M11" s="87" t="s">
        <v>3501</v>
      </c>
      <c r="N11" t="s">
        <v>779</v>
      </c>
    </row>
    <row r="12" spans="1:14">
      <c r="A12" t="s">
        <v>172</v>
      </c>
      <c r="B12" s="81" t="s">
        <v>622</v>
      </c>
      <c r="C12" s="81" t="s">
        <v>154</v>
      </c>
      <c r="D12" s="81" t="s">
        <v>624</v>
      </c>
      <c r="E12" s="81" t="s">
        <v>3516</v>
      </c>
      <c r="F12" s="81" t="s">
        <v>71</v>
      </c>
      <c r="G12" s="81" t="s">
        <v>3516</v>
      </c>
      <c r="H12" s="89" t="s">
        <v>106</v>
      </c>
      <c r="I12" s="89" t="s">
        <v>3517</v>
      </c>
      <c r="J12" s="89" t="s">
        <v>3500</v>
      </c>
      <c r="K12" s="89"/>
      <c r="L12" s="89"/>
      <c r="M12" s="82" t="s">
        <v>3518</v>
      </c>
      <c r="N12" s="83"/>
    </row>
    <row r="13" spans="1:14">
      <c r="A13" t="s">
        <v>3519</v>
      </c>
      <c r="B13" s="81" t="s">
        <v>631</v>
      </c>
      <c r="C13" s="81" t="s">
        <v>276</v>
      </c>
      <c r="D13" s="81" t="s">
        <v>74</v>
      </c>
      <c r="E13" s="81" t="s">
        <v>3520</v>
      </c>
      <c r="F13" s="81" t="s">
        <v>74</v>
      </c>
      <c r="G13" s="81" t="s">
        <v>3520</v>
      </c>
      <c r="H13" s="89" t="s">
        <v>106</v>
      </c>
      <c r="I13" s="89" t="s">
        <v>3517</v>
      </c>
      <c r="J13" s="89" t="s">
        <v>3500</v>
      </c>
      <c r="K13" s="90">
        <v>44015</v>
      </c>
      <c r="L13" s="89"/>
      <c r="M13" s="82" t="s">
        <v>3501</v>
      </c>
      <c r="N13" s="83"/>
    </row>
    <row r="14" spans="1:14">
      <c r="A14" t="s">
        <v>182</v>
      </c>
      <c r="B14" s="81" t="s">
        <v>619</v>
      </c>
      <c r="C14" s="81" t="s">
        <v>276</v>
      </c>
      <c r="D14" s="81" t="s">
        <v>500</v>
      </c>
      <c r="E14" s="81" t="s">
        <v>3521</v>
      </c>
      <c r="F14" s="81" t="s">
        <v>68</v>
      </c>
      <c r="G14" s="81" t="s">
        <v>3521</v>
      </c>
      <c r="H14" s="89" t="s">
        <v>106</v>
      </c>
      <c r="I14" s="89" t="s">
        <v>3517</v>
      </c>
      <c r="J14" s="89" t="s">
        <v>3500</v>
      </c>
      <c r="K14" s="89"/>
      <c r="L14" s="89"/>
      <c r="M14" s="82"/>
      <c r="N14" s="83"/>
    </row>
    <row r="15" spans="1:14">
      <c r="A15" t="s">
        <v>186</v>
      </c>
      <c r="B15" s="81" t="s">
        <v>628</v>
      </c>
      <c r="C15" s="81" t="s">
        <v>276</v>
      </c>
      <c r="D15" s="81" t="s">
        <v>500</v>
      </c>
      <c r="E15" s="81" t="s">
        <v>3521</v>
      </c>
      <c r="F15" s="81" t="s">
        <v>68</v>
      </c>
      <c r="G15" s="81" t="s">
        <v>3521</v>
      </c>
      <c r="H15" s="89" t="s">
        <v>106</v>
      </c>
      <c r="I15" s="89" t="s">
        <v>3517</v>
      </c>
      <c r="J15" s="89" t="s">
        <v>3500</v>
      </c>
      <c r="K15" s="89"/>
      <c r="L15" s="89"/>
      <c r="M15" s="82"/>
      <c r="N15" s="83"/>
    </row>
    <row r="16" spans="1:14" ht="17.5">
      <c r="A16" t="s">
        <v>3522</v>
      </c>
      <c r="B16" s="91" t="s">
        <v>625</v>
      </c>
      <c r="C16" s="91" t="s">
        <v>154</v>
      </c>
      <c r="D16" s="85" t="s">
        <v>80</v>
      </c>
      <c r="E16" s="85" t="s">
        <v>3523</v>
      </c>
      <c r="F16" s="86" t="s">
        <v>80</v>
      </c>
      <c r="G16" s="86" t="s">
        <v>3523</v>
      </c>
      <c r="H16" s="77" t="s">
        <v>106</v>
      </c>
      <c r="I16" s="77" t="s">
        <v>3517</v>
      </c>
      <c r="J16" s="77" t="s">
        <v>3500</v>
      </c>
      <c r="K16" s="78">
        <v>44015</v>
      </c>
      <c r="L16" s="77"/>
      <c r="M16" s="87" t="s">
        <v>3501</v>
      </c>
      <c r="N16" s="92" t="s">
        <v>613</v>
      </c>
    </row>
    <row r="17" spans="1:14">
      <c r="A17" t="s">
        <v>3524</v>
      </c>
      <c r="B17" s="81" t="s">
        <v>551</v>
      </c>
      <c r="C17" s="81" t="s">
        <v>154</v>
      </c>
      <c r="D17" s="81" t="s">
        <v>553</v>
      </c>
      <c r="E17" s="81" t="s">
        <v>3525</v>
      </c>
      <c r="F17" s="81" t="s">
        <v>56</v>
      </c>
      <c r="G17" s="81" t="s">
        <v>3526</v>
      </c>
      <c r="H17" s="89" t="s">
        <v>3527</v>
      </c>
      <c r="I17" s="89" t="s">
        <v>3528</v>
      </c>
      <c r="J17" s="89" t="s">
        <v>3500</v>
      </c>
      <c r="K17" s="89"/>
      <c r="L17" s="89"/>
      <c r="M17" s="82"/>
      <c r="N17" s="89"/>
    </row>
    <row r="18" spans="1:14">
      <c r="A18" t="s">
        <v>199</v>
      </c>
      <c r="B18" s="84" t="s">
        <v>327</v>
      </c>
      <c r="C18" s="84" t="s">
        <v>154</v>
      </c>
      <c r="D18" s="85" t="s">
        <v>345</v>
      </c>
      <c r="E18" s="85" t="s">
        <v>3525</v>
      </c>
      <c r="F18" s="86" t="s">
        <v>22</v>
      </c>
      <c r="G18" s="86" t="s">
        <v>3526</v>
      </c>
      <c r="H18" s="77" t="s">
        <v>3529</v>
      </c>
      <c r="I18" s="77" t="s">
        <v>3528</v>
      </c>
      <c r="J18" s="77" t="s">
        <v>3500</v>
      </c>
      <c r="K18" s="78">
        <v>44057</v>
      </c>
      <c r="L18" s="77"/>
      <c r="M18" s="93" t="s">
        <v>3501</v>
      </c>
      <c r="N18" s="77" t="s">
        <v>3530</v>
      </c>
    </row>
    <row r="19" spans="1:14">
      <c r="A19" t="s">
        <v>203</v>
      </c>
      <c r="B19" s="84" t="s">
        <v>435</v>
      </c>
      <c r="C19" s="84" t="s">
        <v>154</v>
      </c>
      <c r="D19" s="85" t="s">
        <v>43</v>
      </c>
      <c r="E19" s="85" t="s">
        <v>3497</v>
      </c>
      <c r="F19" s="86" t="s">
        <v>57</v>
      </c>
      <c r="G19" s="86" t="s">
        <v>3497</v>
      </c>
      <c r="H19" s="77" t="s">
        <v>3531</v>
      </c>
      <c r="I19" s="77" t="s">
        <v>3528</v>
      </c>
      <c r="J19" s="77" t="s">
        <v>3500</v>
      </c>
      <c r="K19" s="78">
        <v>44057</v>
      </c>
      <c r="L19" s="77"/>
      <c r="M19" s="93" t="s">
        <v>3501</v>
      </c>
      <c r="N19" s="77" t="s">
        <v>3532</v>
      </c>
    </row>
    <row r="20" spans="1:14">
      <c r="A20" t="s">
        <v>3533</v>
      </c>
      <c r="B20" s="84" t="s">
        <v>318</v>
      </c>
      <c r="C20" s="84" t="s">
        <v>276</v>
      </c>
      <c r="D20" s="85" t="s">
        <v>43</v>
      </c>
      <c r="E20" s="85" t="s">
        <v>3497</v>
      </c>
      <c r="F20" s="86" t="s">
        <v>57</v>
      </c>
      <c r="G20" s="86" t="s">
        <v>3497</v>
      </c>
      <c r="H20" s="77" t="s">
        <v>3534</v>
      </c>
      <c r="I20" s="77" t="s">
        <v>3528</v>
      </c>
      <c r="J20" s="77" t="s">
        <v>3500</v>
      </c>
      <c r="K20" s="78">
        <v>44057</v>
      </c>
      <c r="L20" s="77"/>
      <c r="M20" s="93" t="s">
        <v>3501</v>
      </c>
      <c r="N20" s="77" t="s">
        <v>3532</v>
      </c>
    </row>
    <row r="21" spans="1:14">
      <c r="A21" t="s">
        <v>3535</v>
      </c>
      <c r="B21" s="84" t="s">
        <v>320</v>
      </c>
      <c r="C21" s="84" t="s">
        <v>276</v>
      </c>
      <c r="D21" s="85" t="s">
        <v>43</v>
      </c>
      <c r="E21" s="85" t="s">
        <v>3497</v>
      </c>
      <c r="F21" s="86" t="s">
        <v>57</v>
      </c>
      <c r="G21" s="86" t="s">
        <v>3497</v>
      </c>
      <c r="H21" s="77" t="s">
        <v>3534</v>
      </c>
      <c r="I21" s="77" t="s">
        <v>3528</v>
      </c>
      <c r="J21" s="77" t="s">
        <v>3500</v>
      </c>
      <c r="K21" s="78">
        <v>44057</v>
      </c>
      <c r="L21" s="77"/>
      <c r="M21" s="93" t="s">
        <v>3501</v>
      </c>
      <c r="N21" s="77" t="s">
        <v>3532</v>
      </c>
    </row>
    <row r="22" spans="1:14">
      <c r="A22" t="s">
        <v>3536</v>
      </c>
      <c r="B22" s="84" t="s">
        <v>322</v>
      </c>
      <c r="C22" s="84" t="s">
        <v>276</v>
      </c>
      <c r="D22" s="85" t="s">
        <v>43</v>
      </c>
      <c r="E22" s="85" t="s">
        <v>3497</v>
      </c>
      <c r="F22" s="86" t="s">
        <v>57</v>
      </c>
      <c r="G22" s="86" t="s">
        <v>3497</v>
      </c>
      <c r="H22" s="77" t="s">
        <v>3534</v>
      </c>
      <c r="I22" s="77" t="s">
        <v>3528</v>
      </c>
      <c r="J22" s="77" t="s">
        <v>3500</v>
      </c>
      <c r="K22" s="78">
        <v>44057</v>
      </c>
      <c r="L22" s="77"/>
      <c r="M22" s="93" t="s">
        <v>3501</v>
      </c>
      <c r="N22" s="77" t="s">
        <v>3532</v>
      </c>
    </row>
    <row r="23" spans="1:14">
      <c r="A23" t="s">
        <v>213</v>
      </c>
      <c r="B23" s="84" t="s">
        <v>549</v>
      </c>
      <c r="C23" s="84" t="s">
        <v>276</v>
      </c>
      <c r="D23" s="85" t="s">
        <v>155</v>
      </c>
      <c r="E23" s="85" t="s">
        <v>3537</v>
      </c>
      <c r="F23" s="86" t="s">
        <v>57</v>
      </c>
      <c r="G23" s="86" t="s">
        <v>3497</v>
      </c>
      <c r="H23" s="77" t="s">
        <v>3534</v>
      </c>
      <c r="I23" s="77" t="s">
        <v>3528</v>
      </c>
      <c r="J23" s="77" t="s">
        <v>3500</v>
      </c>
      <c r="K23" s="78">
        <v>44057</v>
      </c>
      <c r="L23" s="77"/>
      <c r="M23" s="93" t="s">
        <v>3501</v>
      </c>
      <c r="N23" s="77" t="s">
        <v>3532</v>
      </c>
    </row>
    <row r="24" spans="1:14">
      <c r="A24" t="s">
        <v>3538</v>
      </c>
      <c r="B24" s="81" t="s">
        <v>576</v>
      </c>
      <c r="C24" s="81" t="s">
        <v>154</v>
      </c>
      <c r="D24" s="81" t="s">
        <v>553</v>
      </c>
      <c r="E24" s="81" t="s">
        <v>3525</v>
      </c>
      <c r="F24" s="81" t="s">
        <v>56</v>
      </c>
      <c r="G24" s="81" t="s">
        <v>3526</v>
      </c>
      <c r="H24" s="89" t="s">
        <v>3539</v>
      </c>
      <c r="I24" s="89" t="s">
        <v>3514</v>
      </c>
      <c r="J24" s="89" t="s">
        <v>457</v>
      </c>
      <c r="K24" s="89"/>
      <c r="L24" s="89"/>
      <c r="M24" s="82"/>
      <c r="N24" s="89"/>
    </row>
    <row r="25" spans="1:14">
      <c r="A25" t="s">
        <v>3540</v>
      </c>
      <c r="B25" s="84" t="s">
        <v>399</v>
      </c>
      <c r="C25" s="84" t="s">
        <v>154</v>
      </c>
      <c r="D25" s="85" t="s">
        <v>345</v>
      </c>
      <c r="E25" s="85" t="s">
        <v>3525</v>
      </c>
      <c r="F25" s="86" t="s">
        <v>22</v>
      </c>
      <c r="G25" s="86" t="s">
        <v>3526</v>
      </c>
      <c r="H25" s="77" t="s">
        <v>3529</v>
      </c>
      <c r="I25" s="77" t="s">
        <v>3514</v>
      </c>
      <c r="J25" s="77" t="s">
        <v>457</v>
      </c>
      <c r="K25" s="78">
        <v>44057</v>
      </c>
      <c r="L25" s="77"/>
      <c r="M25" s="93" t="s">
        <v>3501</v>
      </c>
      <c r="N25" s="77" t="s">
        <v>3541</v>
      </c>
    </row>
    <row r="26" spans="1:14">
      <c r="A26" t="s">
        <v>3542</v>
      </c>
      <c r="B26" s="84" t="s">
        <v>388</v>
      </c>
      <c r="C26" s="84" t="s">
        <v>276</v>
      </c>
      <c r="D26" s="85" t="s">
        <v>43</v>
      </c>
      <c r="E26" s="85" t="s">
        <v>3497</v>
      </c>
      <c r="F26" s="86" t="s">
        <v>57</v>
      </c>
      <c r="G26" s="86" t="s">
        <v>3497</v>
      </c>
      <c r="H26" s="77" t="s">
        <v>3543</v>
      </c>
      <c r="I26" s="77" t="s">
        <v>3514</v>
      </c>
      <c r="J26" s="77" t="s">
        <v>457</v>
      </c>
      <c r="K26" s="78">
        <v>44057</v>
      </c>
      <c r="L26" s="77"/>
      <c r="M26" s="93" t="s">
        <v>3501</v>
      </c>
      <c r="N26" s="77" t="s">
        <v>3544</v>
      </c>
    </row>
    <row r="27" spans="1:14">
      <c r="A27" t="s">
        <v>3545</v>
      </c>
      <c r="B27" s="84" t="s">
        <v>392</v>
      </c>
      <c r="C27" s="84" t="s">
        <v>276</v>
      </c>
      <c r="D27" s="85" t="s">
        <v>466</v>
      </c>
      <c r="E27" s="85" t="s">
        <v>3497</v>
      </c>
      <c r="F27" s="86" t="s">
        <v>57</v>
      </c>
      <c r="G27" s="86" t="s">
        <v>3497</v>
      </c>
      <c r="H27" s="77" t="s">
        <v>3543</v>
      </c>
      <c r="I27" s="77" t="s">
        <v>3514</v>
      </c>
      <c r="J27" s="77" t="s">
        <v>457</v>
      </c>
      <c r="K27" s="78">
        <v>44057</v>
      </c>
      <c r="L27" s="77"/>
      <c r="M27" s="93" t="s">
        <v>3501</v>
      </c>
      <c r="N27" s="77" t="s">
        <v>3544</v>
      </c>
    </row>
    <row r="28" spans="1:14">
      <c r="A28" t="s">
        <v>3546</v>
      </c>
      <c r="B28" s="84" t="s">
        <v>394</v>
      </c>
      <c r="C28" s="84" t="s">
        <v>276</v>
      </c>
      <c r="D28" s="85" t="s">
        <v>466</v>
      </c>
      <c r="E28" s="85" t="s">
        <v>3497</v>
      </c>
      <c r="F28" s="86" t="s">
        <v>57</v>
      </c>
      <c r="G28" s="86" t="s">
        <v>3497</v>
      </c>
      <c r="H28" s="77" t="s">
        <v>3543</v>
      </c>
      <c r="I28" s="77" t="s">
        <v>3514</v>
      </c>
      <c r="J28" s="77" t="s">
        <v>457</v>
      </c>
      <c r="K28" s="78">
        <v>44057</v>
      </c>
      <c r="L28" s="77"/>
      <c r="M28" s="93" t="s">
        <v>3501</v>
      </c>
      <c r="N28" s="77" t="s">
        <v>3544</v>
      </c>
    </row>
    <row r="29" spans="1:14">
      <c r="A29" t="s">
        <v>233</v>
      </c>
      <c r="B29" s="84" t="s">
        <v>396</v>
      </c>
      <c r="C29" s="84" t="s">
        <v>276</v>
      </c>
      <c r="D29" s="85" t="s">
        <v>43</v>
      </c>
      <c r="E29" s="85" t="s">
        <v>3497</v>
      </c>
      <c r="F29" s="86" t="s">
        <v>57</v>
      </c>
      <c r="G29" s="86" t="s">
        <v>3497</v>
      </c>
      <c r="H29" s="77" t="s">
        <v>3543</v>
      </c>
      <c r="I29" s="77" t="s">
        <v>3514</v>
      </c>
      <c r="J29" s="77" t="s">
        <v>457</v>
      </c>
      <c r="K29" s="78">
        <v>44057</v>
      </c>
      <c r="L29" s="77"/>
      <c r="M29" s="93" t="s">
        <v>3501</v>
      </c>
      <c r="N29" s="77" t="s">
        <v>3544</v>
      </c>
    </row>
    <row r="30" spans="1:14">
      <c r="A30" t="s">
        <v>3547</v>
      </c>
      <c r="B30" s="84" t="s">
        <v>397</v>
      </c>
      <c r="C30" s="84" t="s">
        <v>276</v>
      </c>
      <c r="D30" s="85" t="s">
        <v>43</v>
      </c>
      <c r="E30" s="85" t="s">
        <v>3497</v>
      </c>
      <c r="F30" s="86" t="s">
        <v>57</v>
      </c>
      <c r="G30" s="86" t="s">
        <v>3497</v>
      </c>
      <c r="H30" s="77" t="s">
        <v>3543</v>
      </c>
      <c r="I30" s="77" t="s">
        <v>3514</v>
      </c>
      <c r="J30" s="77" t="s">
        <v>457</v>
      </c>
      <c r="K30" s="78">
        <v>44057</v>
      </c>
      <c r="L30" s="77"/>
      <c r="M30" s="93" t="s">
        <v>3501</v>
      </c>
      <c r="N30" s="77" t="s">
        <v>3544</v>
      </c>
    </row>
    <row r="31" spans="1:14">
      <c r="A31" t="s">
        <v>3548</v>
      </c>
      <c r="B31" s="84" t="s">
        <v>574</v>
      </c>
      <c r="C31" s="84" t="s">
        <v>276</v>
      </c>
      <c r="D31" s="85" t="s">
        <v>155</v>
      </c>
      <c r="E31" s="85" t="s">
        <v>3537</v>
      </c>
      <c r="F31" s="86" t="s">
        <v>57</v>
      </c>
      <c r="G31" s="86" t="s">
        <v>3497</v>
      </c>
      <c r="H31" s="77" t="s">
        <v>3543</v>
      </c>
      <c r="I31" s="77" t="s">
        <v>3514</v>
      </c>
      <c r="J31" s="77" t="s">
        <v>457</v>
      </c>
      <c r="K31" s="78">
        <v>44057</v>
      </c>
      <c r="L31" s="77"/>
      <c r="M31" s="93" t="s">
        <v>3501</v>
      </c>
      <c r="N31" s="77" t="s">
        <v>3544</v>
      </c>
    </row>
    <row r="32" spans="1:14">
      <c r="A32" t="s">
        <v>247</v>
      </c>
      <c r="B32" s="84" t="s">
        <v>462</v>
      </c>
      <c r="C32" s="84" t="s">
        <v>276</v>
      </c>
      <c r="D32" s="85" t="s">
        <v>572</v>
      </c>
      <c r="E32" s="85" t="s">
        <v>3549</v>
      </c>
      <c r="F32" s="86" t="s">
        <v>56</v>
      </c>
      <c r="G32" s="86" t="s">
        <v>3526</v>
      </c>
      <c r="H32" s="77" t="s">
        <v>3550</v>
      </c>
      <c r="I32" s="77" t="s">
        <v>3551</v>
      </c>
      <c r="J32" s="77" t="s">
        <v>457</v>
      </c>
      <c r="K32" s="78">
        <v>44050</v>
      </c>
      <c r="L32" s="77"/>
      <c r="M32" s="93" t="s">
        <v>3501</v>
      </c>
      <c r="N32" s="94" t="s">
        <v>3552</v>
      </c>
    </row>
    <row r="33" spans="1:14">
      <c r="A33" t="s">
        <v>3553</v>
      </c>
      <c r="B33" s="84" t="s">
        <v>555</v>
      </c>
      <c r="C33" s="84" t="s">
        <v>154</v>
      </c>
      <c r="D33" s="85" t="s">
        <v>514</v>
      </c>
      <c r="E33" s="85" t="s">
        <v>3526</v>
      </c>
      <c r="F33" s="86" t="s">
        <v>56</v>
      </c>
      <c r="G33" s="86" t="s">
        <v>3526</v>
      </c>
      <c r="H33" s="77" t="s">
        <v>3554</v>
      </c>
      <c r="I33" s="77" t="s">
        <v>3555</v>
      </c>
      <c r="J33" s="77" t="s">
        <v>457</v>
      </c>
      <c r="K33" s="78">
        <v>44050</v>
      </c>
      <c r="L33" s="77"/>
      <c r="M33" s="93" t="s">
        <v>3501</v>
      </c>
      <c r="N33" s="94" t="s">
        <v>3552</v>
      </c>
    </row>
    <row r="34" spans="1:14">
      <c r="A34" t="s">
        <v>3556</v>
      </c>
      <c r="B34" s="81" t="s">
        <v>3557</v>
      </c>
      <c r="C34" s="81" t="s">
        <v>276</v>
      </c>
      <c r="D34" s="81" t="s">
        <v>918</v>
      </c>
      <c r="E34" s="81" t="s">
        <v>3558</v>
      </c>
      <c r="F34" s="81" t="s">
        <v>56</v>
      </c>
      <c r="G34" s="81" t="s">
        <v>3526</v>
      </c>
      <c r="H34" s="89" t="s">
        <v>3559</v>
      </c>
      <c r="I34" s="89" t="s">
        <v>3560</v>
      </c>
      <c r="J34" s="89" t="s">
        <v>457</v>
      </c>
      <c r="K34" s="89"/>
      <c r="L34" s="89"/>
      <c r="M34" s="82" t="s">
        <v>3518</v>
      </c>
      <c r="N34" s="83" t="s">
        <v>3561</v>
      </c>
    </row>
    <row r="35" spans="1:14">
      <c r="A35" t="s">
        <v>3562</v>
      </c>
      <c r="B35" s="81" t="s">
        <v>3563</v>
      </c>
      <c r="C35" s="81" t="s">
        <v>276</v>
      </c>
      <c r="D35" s="81" t="s">
        <v>918</v>
      </c>
      <c r="E35" s="89" t="s">
        <v>3558</v>
      </c>
      <c r="F35" s="81" t="s">
        <v>56</v>
      </c>
      <c r="G35" s="81" t="s">
        <v>3526</v>
      </c>
      <c r="H35" s="89" t="s">
        <v>3559</v>
      </c>
      <c r="I35" s="89" t="s">
        <v>3560</v>
      </c>
      <c r="J35" s="89" t="s">
        <v>457</v>
      </c>
      <c r="K35" s="89"/>
      <c r="L35" s="89"/>
      <c r="M35" s="82" t="s">
        <v>3518</v>
      </c>
      <c r="N35" s="83" t="s">
        <v>3561</v>
      </c>
    </row>
    <row r="36" spans="1:14">
      <c r="A36" t="s">
        <v>255</v>
      </c>
      <c r="B36" s="81" t="s">
        <v>282</v>
      </c>
      <c r="C36" s="81" t="s">
        <v>154</v>
      </c>
      <c r="D36" s="81" t="s">
        <v>49</v>
      </c>
      <c r="E36" s="81" t="s">
        <v>3497</v>
      </c>
      <c r="F36" s="81" t="s">
        <v>57</v>
      </c>
      <c r="G36" s="81" t="s">
        <v>3497</v>
      </c>
      <c r="H36" s="77" t="s">
        <v>3564</v>
      </c>
      <c r="I36" s="77" t="s">
        <v>3565</v>
      </c>
      <c r="J36" s="77" t="s">
        <v>457</v>
      </c>
      <c r="K36" s="77"/>
      <c r="L36" s="77"/>
      <c r="M36" s="82" t="s">
        <v>3518</v>
      </c>
      <c r="N36" s="83"/>
    </row>
    <row r="37" spans="1:14">
      <c r="A37" t="s">
        <v>3566</v>
      </c>
      <c r="B37" s="76" t="s">
        <v>291</v>
      </c>
      <c r="C37" s="76" t="s">
        <v>276</v>
      </c>
      <c r="D37" s="76" t="s">
        <v>379</v>
      </c>
      <c r="E37" s="76" t="s">
        <v>3567</v>
      </c>
      <c r="F37" s="76" t="s">
        <v>57</v>
      </c>
      <c r="G37" s="76" t="s">
        <v>3497</v>
      </c>
      <c r="H37" s="95" t="s">
        <v>3568</v>
      </c>
      <c r="I37" s="95" t="s">
        <v>3569</v>
      </c>
      <c r="J37" s="77" t="s">
        <v>457</v>
      </c>
      <c r="K37" s="78">
        <v>44064</v>
      </c>
      <c r="L37" s="77"/>
      <c r="M37" s="79" t="s">
        <v>3501</v>
      </c>
      <c r="N37" s="80"/>
    </row>
    <row r="38" spans="1:14">
      <c r="A38" t="s">
        <v>259</v>
      </c>
      <c r="B38" s="81" t="s">
        <v>307</v>
      </c>
      <c r="C38" s="81" t="s">
        <v>276</v>
      </c>
      <c r="D38" s="81" t="s">
        <v>43</v>
      </c>
      <c r="E38" s="96" t="s">
        <v>3497</v>
      </c>
      <c r="F38" s="81" t="s">
        <v>57</v>
      </c>
      <c r="G38" s="81" t="s">
        <v>3497</v>
      </c>
      <c r="H38" s="77" t="s">
        <v>3570</v>
      </c>
      <c r="I38" s="77" t="s">
        <v>3517</v>
      </c>
      <c r="J38" s="77" t="s">
        <v>457</v>
      </c>
      <c r="K38" s="77"/>
      <c r="L38" s="77"/>
      <c r="M38" s="82" t="s">
        <v>3501</v>
      </c>
      <c r="N38" s="83"/>
    </row>
    <row r="39" spans="1:14">
      <c r="A39" t="s">
        <v>265</v>
      </c>
      <c r="B39" s="84" t="s">
        <v>403</v>
      </c>
      <c r="C39" s="84" t="s">
        <v>276</v>
      </c>
      <c r="D39" s="85" t="s">
        <v>340</v>
      </c>
      <c r="E39" s="85" t="s">
        <v>3571</v>
      </c>
      <c r="F39" s="86" t="s">
        <v>58</v>
      </c>
      <c r="G39" s="86" t="s">
        <v>3512</v>
      </c>
      <c r="H39" s="77" t="s">
        <v>3572</v>
      </c>
      <c r="I39" s="77" t="s">
        <v>3573</v>
      </c>
      <c r="J39" s="77" t="s">
        <v>457</v>
      </c>
      <c r="K39" s="78">
        <v>44050</v>
      </c>
      <c r="L39" s="77"/>
      <c r="M39" s="93" t="s">
        <v>3501</v>
      </c>
      <c r="N39" t="s">
        <v>3574</v>
      </c>
    </row>
    <row r="40" spans="1:14">
      <c r="A40" t="s">
        <v>3575</v>
      </c>
      <c r="B40" s="81" t="s">
        <v>451</v>
      </c>
      <c r="C40" s="81" t="s">
        <v>276</v>
      </c>
      <c r="D40" s="81" t="s">
        <v>71</v>
      </c>
      <c r="E40" s="81" t="s">
        <v>3576</v>
      </c>
      <c r="F40" s="81" t="s">
        <v>71</v>
      </c>
      <c r="G40" s="81" t="s">
        <v>3576</v>
      </c>
      <c r="H40" s="77" t="s">
        <v>3570</v>
      </c>
      <c r="I40" s="77" t="s">
        <v>3517</v>
      </c>
      <c r="J40" s="77" t="s">
        <v>457</v>
      </c>
      <c r="K40" s="77"/>
      <c r="L40" s="77"/>
      <c r="M40" s="82" t="s">
        <v>3501</v>
      </c>
      <c r="N40" s="83"/>
    </row>
    <row r="41" spans="1:14" ht="17.5">
      <c r="A41" t="s">
        <v>3577</v>
      </c>
      <c r="B41" s="84" t="s">
        <v>644</v>
      </c>
      <c r="C41" s="84" t="s">
        <v>154</v>
      </c>
      <c r="D41" s="85" t="s">
        <v>675</v>
      </c>
      <c r="E41" s="85" t="s">
        <v>3521</v>
      </c>
      <c r="F41" s="86" t="s">
        <v>68</v>
      </c>
      <c r="G41" s="86" t="s">
        <v>3521</v>
      </c>
      <c r="H41" s="77" t="s">
        <v>3572</v>
      </c>
      <c r="I41" s="77" t="s">
        <v>3573</v>
      </c>
      <c r="J41" s="77" t="s">
        <v>457</v>
      </c>
      <c r="K41" s="78">
        <v>44050</v>
      </c>
      <c r="L41" s="77"/>
      <c r="M41" s="93" t="s">
        <v>3501</v>
      </c>
      <c r="N41" s="92" t="s">
        <v>3578</v>
      </c>
    </row>
    <row r="42" spans="1:14">
      <c r="A42" t="s">
        <v>3579</v>
      </c>
      <c r="B42" s="81" t="s">
        <v>474</v>
      </c>
      <c r="C42" s="81" t="s">
        <v>276</v>
      </c>
      <c r="D42" s="81" t="s">
        <v>340</v>
      </c>
      <c r="E42" s="81" t="s">
        <v>3580</v>
      </c>
      <c r="F42" s="81" t="s">
        <v>58</v>
      </c>
      <c r="G42" s="81" t="s">
        <v>3512</v>
      </c>
      <c r="H42" s="77" t="s">
        <v>3581</v>
      </c>
      <c r="I42" s="77" t="s">
        <v>3573</v>
      </c>
      <c r="J42" s="77" t="s">
        <v>3500</v>
      </c>
      <c r="K42" s="77"/>
      <c r="L42" s="77"/>
      <c r="M42" s="89"/>
      <c r="N42" s="83"/>
    </row>
    <row r="43" spans="1:14">
      <c r="A43" t="s">
        <v>3582</v>
      </c>
      <c r="B43" s="81" t="s">
        <v>312</v>
      </c>
      <c r="C43" s="81" t="s">
        <v>154</v>
      </c>
      <c r="D43" s="81" t="s">
        <v>25</v>
      </c>
      <c r="E43" s="81" t="s">
        <v>3497</v>
      </c>
      <c r="F43" s="81" t="s">
        <v>25</v>
      </c>
      <c r="G43" s="81" t="s">
        <v>3497</v>
      </c>
      <c r="H43" s="89" t="s">
        <v>3583</v>
      </c>
      <c r="I43" s="89" t="s">
        <v>3584</v>
      </c>
      <c r="J43" s="89" t="s">
        <v>3500</v>
      </c>
      <c r="K43" s="89"/>
      <c r="L43" s="89"/>
      <c r="M43" s="81" t="s">
        <v>3518</v>
      </c>
      <c r="N43" s="83"/>
    </row>
    <row r="44" spans="1:14">
      <c r="A44" t="s">
        <v>3585</v>
      </c>
      <c r="B44" s="81" t="s">
        <v>402</v>
      </c>
      <c r="C44" s="81" t="s">
        <v>154</v>
      </c>
      <c r="D44" s="81" t="s">
        <v>25</v>
      </c>
      <c r="E44" s="81" t="s">
        <v>3497</v>
      </c>
      <c r="F44" s="81" t="s">
        <v>25</v>
      </c>
      <c r="G44" s="81" t="s">
        <v>3497</v>
      </c>
      <c r="H44" s="89" t="s">
        <v>3586</v>
      </c>
      <c r="I44" s="89" t="s">
        <v>3584</v>
      </c>
      <c r="J44" s="89" t="s">
        <v>3500</v>
      </c>
      <c r="K44" s="89"/>
      <c r="L44" s="89"/>
      <c r="M44" s="81" t="s">
        <v>3518</v>
      </c>
      <c r="N44" s="83"/>
    </row>
    <row r="45" spans="1:14">
      <c r="A45" t="s">
        <v>3587</v>
      </c>
      <c r="B45" s="84" t="s">
        <v>667</v>
      </c>
      <c r="C45" s="84" t="s">
        <v>154</v>
      </c>
      <c r="D45" s="85" t="s">
        <v>994</v>
      </c>
      <c r="E45" s="85" t="s">
        <v>3588</v>
      </c>
      <c r="F45" s="86" t="s">
        <v>56</v>
      </c>
      <c r="G45" s="86" t="s">
        <v>3526</v>
      </c>
      <c r="H45" s="77" t="s">
        <v>3589</v>
      </c>
      <c r="I45" s="77" t="s">
        <v>3565</v>
      </c>
      <c r="J45" s="77" t="s">
        <v>3500</v>
      </c>
      <c r="K45" s="78">
        <v>44050</v>
      </c>
      <c r="L45" s="77"/>
      <c r="M45" s="97" t="s">
        <v>3501</v>
      </c>
      <c r="N45" s="94" t="s">
        <v>3590</v>
      </c>
    </row>
    <row r="46" spans="1:14">
      <c r="A46" t="s">
        <v>3591</v>
      </c>
      <c r="B46" s="81" t="s">
        <v>526</v>
      </c>
      <c r="C46" s="81" t="s">
        <v>276</v>
      </c>
      <c r="D46" s="81" t="s">
        <v>41</v>
      </c>
      <c r="E46" s="81" t="s">
        <v>3526</v>
      </c>
      <c r="F46" s="81" t="s">
        <v>56</v>
      </c>
      <c r="G46" s="81" t="s">
        <v>3526</v>
      </c>
      <c r="H46" s="89" t="s">
        <v>3570</v>
      </c>
      <c r="I46" s="89" t="s">
        <v>3592</v>
      </c>
      <c r="J46" s="89" t="s">
        <v>3500</v>
      </c>
      <c r="K46" s="89"/>
      <c r="L46" s="89"/>
      <c r="M46" s="81" t="s">
        <v>3501</v>
      </c>
      <c r="N46" s="83"/>
    </row>
    <row r="47" spans="1:14">
      <c r="A47" t="s">
        <v>3593</v>
      </c>
      <c r="B47" s="81" t="s">
        <v>641</v>
      </c>
      <c r="C47" s="81" t="s">
        <v>276</v>
      </c>
      <c r="D47" s="81" t="s">
        <v>41</v>
      </c>
      <c r="E47" s="81" t="s">
        <v>3526</v>
      </c>
      <c r="F47" s="81" t="s">
        <v>56</v>
      </c>
      <c r="G47" s="81" t="s">
        <v>3526</v>
      </c>
      <c r="H47" s="89" t="s">
        <v>3594</v>
      </c>
      <c r="I47" s="89" t="s">
        <v>3595</v>
      </c>
      <c r="J47" s="89" t="s">
        <v>3500</v>
      </c>
      <c r="K47" s="89"/>
      <c r="L47" s="89"/>
      <c r="M47" s="81" t="s">
        <v>3501</v>
      </c>
      <c r="N47" s="83"/>
    </row>
    <row r="48" spans="1:14">
      <c r="A48" t="s">
        <v>273</v>
      </c>
      <c r="B48" s="81" t="s">
        <v>647</v>
      </c>
      <c r="C48" s="81" t="s">
        <v>276</v>
      </c>
      <c r="D48" s="81" t="s">
        <v>41</v>
      </c>
      <c r="E48" s="81" t="s">
        <v>3526</v>
      </c>
      <c r="F48" s="81" t="s">
        <v>56</v>
      </c>
      <c r="G48" s="81" t="s">
        <v>3526</v>
      </c>
      <c r="H48" s="89" t="s">
        <v>3594</v>
      </c>
      <c r="I48" s="89" t="s">
        <v>3595</v>
      </c>
      <c r="J48" s="89" t="s">
        <v>3500</v>
      </c>
      <c r="K48" s="89"/>
      <c r="L48" s="89"/>
      <c r="M48" s="81" t="s">
        <v>3501</v>
      </c>
      <c r="N48" s="83"/>
    </row>
    <row r="49" spans="1:14">
      <c r="A49" t="s">
        <v>279</v>
      </c>
      <c r="B49" s="76" t="s">
        <v>677</v>
      </c>
      <c r="C49" s="76" t="s">
        <v>276</v>
      </c>
      <c r="D49" s="76" t="s">
        <v>514</v>
      </c>
      <c r="E49" s="76" t="s">
        <v>3526</v>
      </c>
      <c r="F49" s="76" t="s">
        <v>56</v>
      </c>
      <c r="G49" s="76" t="s">
        <v>3526</v>
      </c>
      <c r="H49" s="77" t="s">
        <v>3596</v>
      </c>
      <c r="I49" s="77" t="s">
        <v>3597</v>
      </c>
      <c r="J49" s="77" t="s">
        <v>3500</v>
      </c>
      <c r="K49" s="78">
        <v>44050</v>
      </c>
      <c r="L49" s="77"/>
      <c r="M49" s="76" t="s">
        <v>3501</v>
      </c>
      <c r="N49" s="98" t="s">
        <v>3598</v>
      </c>
    </row>
    <row r="50" spans="1:14">
      <c r="A50" t="s">
        <v>3599</v>
      </c>
      <c r="B50" s="84" t="s">
        <v>505</v>
      </c>
      <c r="C50" s="84" t="s">
        <v>154</v>
      </c>
      <c r="D50" s="18" t="s">
        <v>852</v>
      </c>
      <c r="E50" s="18" t="s">
        <v>3600</v>
      </c>
      <c r="F50" s="18" t="s">
        <v>56</v>
      </c>
      <c r="G50" s="18" t="s">
        <v>3526</v>
      </c>
      <c r="H50" s="89" t="s">
        <v>3583</v>
      </c>
      <c r="I50" s="89" t="s">
        <v>3584</v>
      </c>
      <c r="J50" s="89" t="s">
        <v>3500</v>
      </c>
      <c r="K50" s="90">
        <v>44015</v>
      </c>
      <c r="L50" s="99" t="s">
        <v>3601</v>
      </c>
      <c r="M50" s="73" t="s">
        <v>3518</v>
      </c>
      <c r="N50" s="100" t="s">
        <v>3590</v>
      </c>
    </row>
    <row r="51" spans="1:14">
      <c r="A51" s="101" t="s">
        <v>406</v>
      </c>
      <c r="B51" s="76" t="s">
        <v>520</v>
      </c>
      <c r="C51" s="76" t="s">
        <v>154</v>
      </c>
      <c r="D51" s="76" t="s">
        <v>466</v>
      </c>
      <c r="E51" s="76" t="s">
        <v>3497</v>
      </c>
      <c r="F51" s="76" t="s">
        <v>57</v>
      </c>
      <c r="G51" s="76" t="s">
        <v>3497</v>
      </c>
      <c r="H51" s="95" t="s">
        <v>3586</v>
      </c>
      <c r="I51" s="95" t="s">
        <v>3602</v>
      </c>
      <c r="J51" s="95" t="s">
        <v>3500</v>
      </c>
      <c r="K51" s="78">
        <v>44015</v>
      </c>
      <c r="L51" s="102"/>
      <c r="M51" s="76" t="s">
        <v>3501</v>
      </c>
      <c r="N51" s="80" t="s">
        <v>3603</v>
      </c>
    </row>
    <row r="52" spans="1:14">
      <c r="A52" s="101" t="s">
        <v>411</v>
      </c>
      <c r="B52" s="81" t="s">
        <v>464</v>
      </c>
      <c r="C52" s="81" t="s">
        <v>276</v>
      </c>
      <c r="D52" s="81" t="s">
        <v>466</v>
      </c>
      <c r="E52" s="81" t="s">
        <v>3497</v>
      </c>
      <c r="F52" s="81" t="s">
        <v>57</v>
      </c>
      <c r="G52" s="81" t="s">
        <v>3497</v>
      </c>
      <c r="H52" s="77" t="s">
        <v>3604</v>
      </c>
      <c r="I52" s="77" t="s">
        <v>3503</v>
      </c>
      <c r="J52" s="77" t="s">
        <v>3500</v>
      </c>
      <c r="K52" s="77"/>
      <c r="L52" s="77"/>
      <c r="M52" s="89"/>
      <c r="N52" s="83"/>
    </row>
    <row r="53" spans="1:14">
      <c r="A53" t="s">
        <v>286</v>
      </c>
      <c r="B53" s="81" t="s">
        <v>284</v>
      </c>
      <c r="C53" s="81" t="s">
        <v>154</v>
      </c>
      <c r="D53" s="81" t="s">
        <v>43</v>
      </c>
      <c r="E53" s="81" t="s">
        <v>3497</v>
      </c>
      <c r="F53" s="81" t="s">
        <v>57</v>
      </c>
      <c r="G53" s="81" t="s">
        <v>3497</v>
      </c>
      <c r="H53" s="77" t="s">
        <v>3605</v>
      </c>
      <c r="I53" s="77" t="s">
        <v>3565</v>
      </c>
      <c r="J53" s="77" t="s">
        <v>3500</v>
      </c>
      <c r="K53" s="77"/>
      <c r="L53" s="77"/>
      <c r="M53" s="81" t="s">
        <v>3518</v>
      </c>
      <c r="N53" s="83"/>
    </row>
    <row r="54" spans="1:14">
      <c r="A54" s="101" t="s">
        <v>418</v>
      </c>
      <c r="B54" s="84" t="s">
        <v>300</v>
      </c>
      <c r="C54" s="84" t="s">
        <v>276</v>
      </c>
      <c r="D54" s="85" t="s">
        <v>379</v>
      </c>
      <c r="E54" s="85" t="s">
        <v>3606</v>
      </c>
      <c r="F54" s="86" t="s">
        <v>57</v>
      </c>
      <c r="G54" s="86" t="s">
        <v>3497</v>
      </c>
      <c r="H54" s="77" t="s">
        <v>3568</v>
      </c>
      <c r="I54" s="77" t="s">
        <v>3569</v>
      </c>
      <c r="J54" s="77" t="s">
        <v>3500</v>
      </c>
      <c r="K54" s="78">
        <v>44050</v>
      </c>
      <c r="L54" s="77"/>
      <c r="M54" s="97" t="s">
        <v>3501</v>
      </c>
      <c r="N54" t="s">
        <v>3607</v>
      </c>
    </row>
    <row r="55" spans="1:14">
      <c r="A55" t="s">
        <v>293</v>
      </c>
      <c r="B55" s="81" t="s">
        <v>310</v>
      </c>
      <c r="C55" s="81" t="s">
        <v>154</v>
      </c>
      <c r="D55" s="81" t="s">
        <v>43</v>
      </c>
      <c r="E55" s="81" t="s">
        <v>3497</v>
      </c>
      <c r="F55" s="81" t="s">
        <v>57</v>
      </c>
      <c r="G55" s="81" t="s">
        <v>3497</v>
      </c>
      <c r="H55" s="77" t="s">
        <v>3605</v>
      </c>
      <c r="I55" s="77" t="s">
        <v>3565</v>
      </c>
      <c r="J55" s="77" t="s">
        <v>3500</v>
      </c>
      <c r="K55" s="77"/>
      <c r="L55" s="77"/>
      <c r="M55" s="81" t="s">
        <v>3518</v>
      </c>
      <c r="N55" s="83"/>
    </row>
    <row r="56" spans="1:14">
      <c r="A56" t="s">
        <v>296</v>
      </c>
      <c r="B56" s="81" t="s">
        <v>657</v>
      </c>
      <c r="C56" s="81" t="s">
        <v>276</v>
      </c>
      <c r="D56" s="81" t="s">
        <v>649</v>
      </c>
      <c r="E56" s="81" t="s">
        <v>3608</v>
      </c>
      <c r="F56" s="81" t="s">
        <v>72</v>
      </c>
      <c r="G56" s="81" t="s">
        <v>3608</v>
      </c>
      <c r="H56" s="77" t="s">
        <v>3570</v>
      </c>
      <c r="I56" s="77" t="s">
        <v>3595</v>
      </c>
      <c r="J56" s="77" t="s">
        <v>3500</v>
      </c>
      <c r="K56" s="77"/>
      <c r="L56" s="77"/>
      <c r="M56" s="81" t="s">
        <v>3501</v>
      </c>
      <c r="N56" s="83"/>
    </row>
    <row r="57" spans="1:14">
      <c r="A57" s="101" t="s">
        <v>423</v>
      </c>
      <c r="B57" s="81" t="s">
        <v>661</v>
      </c>
      <c r="C57" s="81" t="s">
        <v>276</v>
      </c>
      <c r="D57" s="81" t="s">
        <v>649</v>
      </c>
      <c r="E57" s="81" t="s">
        <v>3608</v>
      </c>
      <c r="F57" s="81" t="s">
        <v>72</v>
      </c>
      <c r="G57" s="81" t="s">
        <v>3608</v>
      </c>
      <c r="H57" s="77" t="s">
        <v>3594</v>
      </c>
      <c r="I57" s="77" t="s">
        <v>3595</v>
      </c>
      <c r="J57" s="77" t="s">
        <v>3500</v>
      </c>
      <c r="K57" s="77"/>
      <c r="L57" s="77"/>
      <c r="M57" s="81" t="s">
        <v>3501</v>
      </c>
      <c r="N57" s="83"/>
    </row>
    <row r="58" spans="1:14">
      <c r="A58" t="s">
        <v>302</v>
      </c>
      <c r="B58" s="81" t="s">
        <v>652</v>
      </c>
      <c r="C58" s="81" t="s">
        <v>154</v>
      </c>
      <c r="D58" s="81" t="s">
        <v>500</v>
      </c>
      <c r="E58" s="81" t="s">
        <v>3521</v>
      </c>
      <c r="F58" s="81" t="s">
        <v>68</v>
      </c>
      <c r="G58" s="81" t="s">
        <v>3521</v>
      </c>
      <c r="H58" s="89" t="s">
        <v>3581</v>
      </c>
      <c r="I58" s="89" t="s">
        <v>3573</v>
      </c>
      <c r="J58" s="89" t="s">
        <v>3500</v>
      </c>
      <c r="K58" s="89"/>
      <c r="L58" s="89"/>
      <c r="M58" s="89"/>
      <c r="N58" s="83"/>
    </row>
    <row r="59" spans="1:14">
      <c r="A59" t="s">
        <v>305</v>
      </c>
      <c r="B59" s="81" t="s">
        <v>498</v>
      </c>
      <c r="C59" s="81" t="s">
        <v>154</v>
      </c>
      <c r="D59" s="81" t="s">
        <v>500</v>
      </c>
      <c r="E59" s="81" t="s">
        <v>3521</v>
      </c>
      <c r="F59" s="81" t="s">
        <v>68</v>
      </c>
      <c r="G59" s="81" t="s">
        <v>3521</v>
      </c>
      <c r="H59" s="89" t="s">
        <v>3581</v>
      </c>
      <c r="I59" s="89" t="s">
        <v>3609</v>
      </c>
      <c r="J59" s="89" t="s">
        <v>3500</v>
      </c>
      <c r="K59" s="89"/>
      <c r="L59" s="89"/>
      <c r="M59" s="89"/>
      <c r="N59" s="83"/>
    </row>
    <row r="60" spans="1:14">
      <c r="A60" s="101" t="s">
        <v>425</v>
      </c>
      <c r="B60" s="81" t="s">
        <v>672</v>
      </c>
      <c r="C60" s="81" t="s">
        <v>276</v>
      </c>
      <c r="D60" s="81" t="s">
        <v>80</v>
      </c>
      <c r="E60" s="81" t="s">
        <v>3523</v>
      </c>
      <c r="F60" s="81" t="s">
        <v>80</v>
      </c>
      <c r="G60" s="81" t="s">
        <v>3523</v>
      </c>
      <c r="H60" s="89" t="s">
        <v>3610</v>
      </c>
      <c r="I60" s="89" t="s">
        <v>3611</v>
      </c>
      <c r="J60" s="89" t="s">
        <v>3500</v>
      </c>
      <c r="K60" s="89"/>
      <c r="L60" s="89"/>
      <c r="M60" s="89"/>
      <c r="N60" s="83" t="s">
        <v>3612</v>
      </c>
    </row>
    <row r="61" spans="1:14">
      <c r="A61" s="101" t="s">
        <v>427</v>
      </c>
      <c r="B61" s="84" t="s">
        <v>445</v>
      </c>
      <c r="C61" s="84" t="s">
        <v>276</v>
      </c>
      <c r="D61" s="85" t="s">
        <v>85</v>
      </c>
      <c r="E61" s="85" t="s">
        <v>3525</v>
      </c>
      <c r="F61" s="86" t="s">
        <v>77</v>
      </c>
      <c r="G61" s="86" t="s">
        <v>3525</v>
      </c>
      <c r="H61" s="77" t="s">
        <v>3596</v>
      </c>
      <c r="I61" s="77" t="s">
        <v>3597</v>
      </c>
      <c r="J61" s="77" t="s">
        <v>3500</v>
      </c>
      <c r="K61" s="78">
        <v>44050</v>
      </c>
      <c r="L61" s="77"/>
      <c r="M61" s="97" t="s">
        <v>3501</v>
      </c>
      <c r="N61" s="94" t="s">
        <v>3613</v>
      </c>
    </row>
    <row r="62" spans="1:14">
      <c r="A62" s="101" t="s">
        <v>429</v>
      </c>
      <c r="B62" s="81" t="s">
        <v>406</v>
      </c>
      <c r="C62" s="81" t="s">
        <v>154</v>
      </c>
      <c r="D62" s="81" t="s">
        <v>345</v>
      </c>
      <c r="E62" s="81" t="s">
        <v>3525</v>
      </c>
      <c r="F62" s="81" t="s">
        <v>22</v>
      </c>
      <c r="G62" s="81" t="s">
        <v>3526</v>
      </c>
      <c r="H62" s="77" t="s">
        <v>3614</v>
      </c>
      <c r="I62" s="77" t="s">
        <v>3615</v>
      </c>
      <c r="J62" s="77" t="s">
        <v>457</v>
      </c>
      <c r="K62" s="77"/>
      <c r="L62" s="77"/>
      <c r="M62" s="82" t="s">
        <v>3518</v>
      </c>
      <c r="N62" s="83"/>
    </row>
    <row r="63" spans="1:14">
      <c r="A63" s="101" t="s">
        <v>433</v>
      </c>
      <c r="B63" s="76" t="s">
        <v>840</v>
      </c>
      <c r="C63" s="76" t="s">
        <v>276</v>
      </c>
      <c r="D63" s="76" t="s">
        <v>22</v>
      </c>
      <c r="E63" s="76" t="s">
        <v>3526</v>
      </c>
      <c r="F63" s="76" t="s">
        <v>22</v>
      </c>
      <c r="G63" s="76" t="s">
        <v>3526</v>
      </c>
      <c r="H63" s="77" t="s">
        <v>3513</v>
      </c>
      <c r="I63" s="77" t="s">
        <v>3616</v>
      </c>
      <c r="J63" s="77" t="s">
        <v>457</v>
      </c>
      <c r="K63" s="78">
        <v>44015</v>
      </c>
      <c r="L63" s="77"/>
      <c r="M63" s="79" t="s">
        <v>3501</v>
      </c>
      <c r="N63" s="80" t="s">
        <v>3617</v>
      </c>
    </row>
    <row r="64" spans="1:14">
      <c r="A64" s="101" t="s">
        <v>435</v>
      </c>
      <c r="B64" s="81" t="s">
        <v>516</v>
      </c>
      <c r="C64" s="81" t="s">
        <v>154</v>
      </c>
      <c r="D64" s="81" t="s">
        <v>52</v>
      </c>
      <c r="E64" s="81" t="s">
        <v>3618</v>
      </c>
      <c r="F64" s="81" t="s">
        <v>60</v>
      </c>
      <c r="G64" s="81" t="s">
        <v>3619</v>
      </c>
      <c r="H64" s="89" t="s">
        <v>3620</v>
      </c>
      <c r="I64" s="89" t="s">
        <v>3565</v>
      </c>
      <c r="J64" s="89" t="s">
        <v>457</v>
      </c>
      <c r="K64" s="89"/>
      <c r="L64" s="89"/>
      <c r="M64" s="82" t="s">
        <v>3518</v>
      </c>
      <c r="N64" s="103"/>
    </row>
    <row r="65" spans="1:14">
      <c r="A65" s="101" t="s">
        <v>437</v>
      </c>
      <c r="B65" s="84" t="s">
        <v>429</v>
      </c>
      <c r="C65" s="84" t="s">
        <v>276</v>
      </c>
      <c r="D65" s="85" t="s">
        <v>431</v>
      </c>
      <c r="E65" s="85" t="s">
        <v>25</v>
      </c>
      <c r="F65" s="86" t="s">
        <v>25</v>
      </c>
      <c r="G65" s="86" t="s">
        <v>25</v>
      </c>
      <c r="H65" s="77" t="s">
        <v>3621</v>
      </c>
      <c r="I65" s="77" t="s">
        <v>3622</v>
      </c>
      <c r="J65" s="77" t="s">
        <v>457</v>
      </c>
      <c r="K65" s="78">
        <v>44015</v>
      </c>
      <c r="L65" s="77"/>
      <c r="M65" s="87" t="s">
        <v>3501</v>
      </c>
      <c r="N65" s="94" t="s">
        <v>311</v>
      </c>
    </row>
    <row r="66" spans="1:14">
      <c r="A66" s="101" t="s">
        <v>442</v>
      </c>
      <c r="B66" s="81" t="s">
        <v>795</v>
      </c>
      <c r="C66" s="81" t="s">
        <v>276</v>
      </c>
      <c r="D66" s="81" t="s">
        <v>289</v>
      </c>
      <c r="E66" s="81" t="s">
        <v>3497</v>
      </c>
      <c r="F66" s="81" t="s">
        <v>57</v>
      </c>
      <c r="G66" s="81" t="s">
        <v>3497</v>
      </c>
      <c r="H66" s="77" t="s">
        <v>3614</v>
      </c>
      <c r="I66" s="77" t="s">
        <v>3499</v>
      </c>
      <c r="J66" s="77" t="s">
        <v>457</v>
      </c>
      <c r="K66" s="77"/>
      <c r="L66" s="77"/>
      <c r="M66" s="82" t="s">
        <v>3518</v>
      </c>
      <c r="N66" s="103"/>
    </row>
    <row r="67" spans="1:14">
      <c r="A67" t="s">
        <v>323</v>
      </c>
      <c r="B67" s="76" t="s">
        <v>471</v>
      </c>
      <c r="C67" s="76" t="s">
        <v>276</v>
      </c>
      <c r="D67" s="76" t="s">
        <v>25</v>
      </c>
      <c r="E67" s="76" t="s">
        <v>25</v>
      </c>
      <c r="F67" s="76" t="s">
        <v>25</v>
      </c>
      <c r="G67" s="76" t="s">
        <v>25</v>
      </c>
      <c r="H67" s="77" t="s">
        <v>3623</v>
      </c>
      <c r="I67" s="77" t="s">
        <v>3499</v>
      </c>
      <c r="J67" s="77" t="s">
        <v>457</v>
      </c>
      <c r="K67" s="78">
        <v>44015</v>
      </c>
      <c r="L67" s="77"/>
      <c r="M67" s="79" t="s">
        <v>3501</v>
      </c>
      <c r="N67" s="98"/>
    </row>
    <row r="68" spans="1:14">
      <c r="A68" s="101" t="s">
        <v>520</v>
      </c>
      <c r="B68" s="84" t="s">
        <v>507</v>
      </c>
      <c r="C68" s="84" t="s">
        <v>276</v>
      </c>
      <c r="D68" s="85" t="s">
        <v>431</v>
      </c>
      <c r="E68" s="85" t="s">
        <v>25</v>
      </c>
      <c r="F68" s="86" t="s">
        <v>25</v>
      </c>
      <c r="G68" s="86" t="s">
        <v>25</v>
      </c>
      <c r="H68" s="77" t="s">
        <v>3621</v>
      </c>
      <c r="I68" s="77" t="s">
        <v>3622</v>
      </c>
      <c r="J68" s="77" t="s">
        <v>457</v>
      </c>
      <c r="K68" s="78">
        <v>44015</v>
      </c>
      <c r="L68" s="77"/>
      <c r="M68" s="87" t="s">
        <v>3501</v>
      </c>
      <c r="N68" s="94" t="s">
        <v>309</v>
      </c>
    </row>
    <row r="69" spans="1:14">
      <c r="A69" s="101" t="s">
        <v>447</v>
      </c>
      <c r="B69" s="76" t="s">
        <v>523</v>
      </c>
      <c r="C69" s="76" t="s">
        <v>276</v>
      </c>
      <c r="D69" s="76" t="s">
        <v>41</v>
      </c>
      <c r="E69" s="76" t="s">
        <v>3526</v>
      </c>
      <c r="F69" s="76" t="s">
        <v>56</v>
      </c>
      <c r="G69" s="76" t="s">
        <v>3526</v>
      </c>
      <c r="H69" s="77" t="s">
        <v>3559</v>
      </c>
      <c r="I69" s="77" t="s">
        <v>3560</v>
      </c>
      <c r="J69" s="77" t="s">
        <v>457</v>
      </c>
      <c r="K69" s="78">
        <v>44015</v>
      </c>
      <c r="L69" s="77"/>
      <c r="M69" s="79" t="s">
        <v>3501</v>
      </c>
      <c r="N69" s="98"/>
    </row>
    <row r="70" spans="1:14">
      <c r="A70" t="s">
        <v>331</v>
      </c>
      <c r="B70" s="84" t="s">
        <v>529</v>
      </c>
      <c r="C70" s="84" t="s">
        <v>276</v>
      </c>
      <c r="D70" s="85" t="s">
        <v>514</v>
      </c>
      <c r="E70" s="85" t="s">
        <v>3526</v>
      </c>
      <c r="F70" s="86" t="s">
        <v>56</v>
      </c>
      <c r="G70" s="86" t="s">
        <v>3526</v>
      </c>
      <c r="H70" s="77" t="s">
        <v>3624</v>
      </c>
      <c r="I70" s="77" t="s">
        <v>3625</v>
      </c>
      <c r="J70" s="77" t="s">
        <v>457</v>
      </c>
      <c r="K70" s="78">
        <v>44015</v>
      </c>
      <c r="L70" s="77"/>
      <c r="M70" s="87" t="s">
        <v>3501</v>
      </c>
      <c r="N70" s="94" t="s">
        <v>314</v>
      </c>
    </row>
    <row r="71" spans="1:14">
      <c r="A71" t="s">
        <v>333</v>
      </c>
      <c r="B71" s="84" t="s">
        <v>532</v>
      </c>
      <c r="C71" s="84" t="s">
        <v>276</v>
      </c>
      <c r="D71" s="85" t="s">
        <v>514</v>
      </c>
      <c r="E71" s="85" t="s">
        <v>3526</v>
      </c>
      <c r="F71" s="86" t="s">
        <v>56</v>
      </c>
      <c r="G71" s="86" t="s">
        <v>3526</v>
      </c>
      <c r="H71" s="77" t="s">
        <v>3624</v>
      </c>
      <c r="I71" s="77" t="s">
        <v>3625</v>
      </c>
      <c r="J71" s="77" t="s">
        <v>457</v>
      </c>
      <c r="K71" s="78">
        <v>44015</v>
      </c>
      <c r="L71" s="77"/>
      <c r="M71" s="87" t="s">
        <v>3501</v>
      </c>
      <c r="N71" s="94" t="s">
        <v>314</v>
      </c>
    </row>
    <row r="72" spans="1:14">
      <c r="A72" t="s">
        <v>336</v>
      </c>
      <c r="B72" s="81" t="s">
        <v>642</v>
      </c>
      <c r="C72" s="81" t="s">
        <v>154</v>
      </c>
      <c r="D72" s="81" t="s">
        <v>81</v>
      </c>
      <c r="E72" s="81" t="s">
        <v>3626</v>
      </c>
      <c r="F72" s="81" t="s">
        <v>81</v>
      </c>
      <c r="G72" s="81" t="s">
        <v>3626</v>
      </c>
      <c r="H72" s="89" t="s">
        <v>3627</v>
      </c>
      <c r="I72" s="89" t="s">
        <v>3584</v>
      </c>
      <c r="J72" s="89" t="s">
        <v>457</v>
      </c>
      <c r="K72" s="89"/>
      <c r="L72" s="89"/>
      <c r="M72" s="82" t="s">
        <v>3628</v>
      </c>
      <c r="N72" s="103"/>
    </row>
    <row r="73" spans="1:14">
      <c r="A73" t="s">
        <v>338</v>
      </c>
      <c r="B73" s="84" t="s">
        <v>433</v>
      </c>
      <c r="C73" s="84" t="s">
        <v>276</v>
      </c>
      <c r="D73" s="85" t="s">
        <v>514</v>
      </c>
      <c r="E73" s="85" t="s">
        <v>3526</v>
      </c>
      <c r="F73" s="86" t="s">
        <v>56</v>
      </c>
      <c r="G73" s="86" t="s">
        <v>3526</v>
      </c>
      <c r="H73" s="77" t="s">
        <v>3629</v>
      </c>
      <c r="I73" s="77" t="s">
        <v>3630</v>
      </c>
      <c r="J73" s="77" t="s">
        <v>457</v>
      </c>
      <c r="K73" s="78">
        <v>44015</v>
      </c>
      <c r="L73" s="77"/>
      <c r="M73" s="87" t="s">
        <v>3501</v>
      </c>
      <c r="N73" s="94" t="s">
        <v>314</v>
      </c>
    </row>
    <row r="74" spans="1:14">
      <c r="A74" s="101" t="s">
        <v>449</v>
      </c>
      <c r="B74" s="84" t="s">
        <v>460</v>
      </c>
      <c r="C74" s="84" t="s">
        <v>154</v>
      </c>
      <c r="D74" s="85" t="s">
        <v>41</v>
      </c>
      <c r="E74" s="85" t="s">
        <v>3526</v>
      </c>
      <c r="F74" s="86" t="s">
        <v>56</v>
      </c>
      <c r="G74" s="86" t="s">
        <v>3526</v>
      </c>
      <c r="H74" s="77" t="s">
        <v>3554</v>
      </c>
      <c r="I74" s="77" t="s">
        <v>3555</v>
      </c>
      <c r="J74" s="77" t="s">
        <v>457</v>
      </c>
      <c r="K74" s="78">
        <v>44015</v>
      </c>
      <c r="L74" s="77"/>
      <c r="M74" s="87" t="s">
        <v>3501</v>
      </c>
      <c r="N74" s="94" t="s">
        <v>314</v>
      </c>
    </row>
    <row r="75" spans="1:14">
      <c r="A75" t="s">
        <v>343</v>
      </c>
      <c r="B75" s="84" t="s">
        <v>467</v>
      </c>
      <c r="C75" s="84" t="s">
        <v>154</v>
      </c>
      <c r="D75" s="85" t="s">
        <v>41</v>
      </c>
      <c r="E75" s="85" t="s">
        <v>3526</v>
      </c>
      <c r="F75" s="86" t="s">
        <v>56</v>
      </c>
      <c r="G75" s="86" t="s">
        <v>3526</v>
      </c>
      <c r="H75" s="77" t="s">
        <v>3631</v>
      </c>
      <c r="I75" s="77" t="s">
        <v>3565</v>
      </c>
      <c r="J75" s="77" t="s">
        <v>457</v>
      </c>
      <c r="K75" s="78">
        <v>44015</v>
      </c>
      <c r="L75" s="77"/>
      <c r="M75" s="87" t="s">
        <v>3501</v>
      </c>
      <c r="N75" s="94" t="s">
        <v>314</v>
      </c>
    </row>
    <row r="76" spans="1:14">
      <c r="A76" t="s">
        <v>346</v>
      </c>
      <c r="B76" s="84" t="s">
        <v>476</v>
      </c>
      <c r="C76" s="84" t="s">
        <v>276</v>
      </c>
      <c r="D76" s="85" t="s">
        <v>514</v>
      </c>
      <c r="E76" s="85" t="s">
        <v>3526</v>
      </c>
      <c r="F76" s="86" t="s">
        <v>56</v>
      </c>
      <c r="G76" s="86" t="s">
        <v>3526</v>
      </c>
      <c r="H76" s="77" t="s">
        <v>3624</v>
      </c>
      <c r="I76" s="77" t="s">
        <v>3625</v>
      </c>
      <c r="J76" s="77" t="s">
        <v>457</v>
      </c>
      <c r="K76" s="78">
        <v>44015</v>
      </c>
      <c r="L76" s="77"/>
      <c r="M76" s="87" t="s">
        <v>3501</v>
      </c>
      <c r="N76" s="94" t="s">
        <v>314</v>
      </c>
    </row>
    <row r="77" spans="1:14">
      <c r="A77" s="101" t="s">
        <v>462</v>
      </c>
      <c r="B77" s="84" t="s">
        <v>479</v>
      </c>
      <c r="C77" s="84" t="s">
        <v>276</v>
      </c>
      <c r="D77" s="85" t="s">
        <v>41</v>
      </c>
      <c r="E77" s="85" t="s">
        <v>3526</v>
      </c>
      <c r="F77" s="86" t="s">
        <v>56</v>
      </c>
      <c r="G77" s="86" t="s">
        <v>3526</v>
      </c>
      <c r="H77" s="77" t="s">
        <v>3559</v>
      </c>
      <c r="I77" s="77" t="s">
        <v>3560</v>
      </c>
      <c r="J77" s="77" t="s">
        <v>457</v>
      </c>
      <c r="K77" s="78">
        <v>44015</v>
      </c>
      <c r="L77" s="77"/>
      <c r="M77" s="87" t="s">
        <v>3501</v>
      </c>
      <c r="N77" s="94" t="s">
        <v>314</v>
      </c>
    </row>
    <row r="78" spans="1:14">
      <c r="A78" s="101" t="s">
        <v>458</v>
      </c>
      <c r="B78" s="76" t="s">
        <v>481</v>
      </c>
      <c r="C78" s="76" t="s">
        <v>154</v>
      </c>
      <c r="D78" s="76" t="s">
        <v>514</v>
      </c>
      <c r="E78" s="76" t="s">
        <v>3526</v>
      </c>
      <c r="F78" s="76" t="s">
        <v>56</v>
      </c>
      <c r="G78" s="76" t="s">
        <v>3526</v>
      </c>
      <c r="H78" s="95" t="s">
        <v>3632</v>
      </c>
      <c r="I78" s="95" t="s">
        <v>3602</v>
      </c>
      <c r="J78" s="95" t="s">
        <v>457</v>
      </c>
      <c r="K78" s="78">
        <v>44015</v>
      </c>
      <c r="L78" s="95"/>
      <c r="M78" s="79" t="s">
        <v>3501</v>
      </c>
      <c r="N78" s="98"/>
    </row>
    <row r="79" spans="1:14">
      <c r="A79" s="101" t="s">
        <v>460</v>
      </c>
      <c r="B79" s="81" t="s">
        <v>679</v>
      </c>
      <c r="C79" s="81" t="s">
        <v>276</v>
      </c>
      <c r="D79" s="81" t="s">
        <v>649</v>
      </c>
      <c r="E79" s="81" t="s">
        <v>3608</v>
      </c>
      <c r="F79" s="81" t="s">
        <v>72</v>
      </c>
      <c r="G79" s="81" t="s">
        <v>3608</v>
      </c>
      <c r="H79" s="89" t="s">
        <v>106</v>
      </c>
      <c r="I79" s="89" t="s">
        <v>3592</v>
      </c>
      <c r="J79" s="89" t="s">
        <v>457</v>
      </c>
      <c r="K79" s="89"/>
      <c r="L79" s="89"/>
      <c r="M79" s="82"/>
      <c r="N79" s="103"/>
    </row>
    <row r="80" spans="1:14">
      <c r="A80" s="101" t="s">
        <v>555</v>
      </c>
      <c r="B80" s="76" t="s">
        <v>502</v>
      </c>
      <c r="C80" s="76" t="s">
        <v>276</v>
      </c>
      <c r="D80" s="76" t="s">
        <v>514</v>
      </c>
      <c r="E80" s="76" t="s">
        <v>3526</v>
      </c>
      <c r="F80" s="76" t="s">
        <v>56</v>
      </c>
      <c r="G80" s="76" t="s">
        <v>3526</v>
      </c>
      <c r="H80" s="77" t="s">
        <v>3596</v>
      </c>
      <c r="I80" s="77" t="s">
        <v>3597</v>
      </c>
      <c r="J80" s="77" t="s">
        <v>457</v>
      </c>
      <c r="K80" s="78">
        <v>44015</v>
      </c>
      <c r="L80" s="77"/>
      <c r="M80" s="79" t="s">
        <v>3501</v>
      </c>
      <c r="N80" s="98"/>
    </row>
    <row r="81" spans="1:14">
      <c r="A81" s="101" t="s">
        <v>667</v>
      </c>
      <c r="B81" s="84" t="s">
        <v>510</v>
      </c>
      <c r="C81" s="84" t="s">
        <v>276</v>
      </c>
      <c r="D81" s="85" t="s">
        <v>514</v>
      </c>
      <c r="E81" s="85" t="s">
        <v>3526</v>
      </c>
      <c r="F81" s="86" t="s">
        <v>56</v>
      </c>
      <c r="G81" s="86" t="s">
        <v>3526</v>
      </c>
      <c r="H81" s="77" t="s">
        <v>3624</v>
      </c>
      <c r="I81" s="77" t="s">
        <v>3625</v>
      </c>
      <c r="J81" s="77" t="s">
        <v>457</v>
      </c>
      <c r="K81" s="78">
        <v>44015</v>
      </c>
      <c r="L81" s="77"/>
      <c r="M81" s="87" t="s">
        <v>157</v>
      </c>
      <c r="N81" s="94" t="s">
        <v>314</v>
      </c>
    </row>
    <row r="82" spans="1:14">
      <c r="A82" s="101" t="s">
        <v>467</v>
      </c>
      <c r="B82" s="84" t="s">
        <v>512</v>
      </c>
      <c r="C82" s="84" t="s">
        <v>276</v>
      </c>
      <c r="D82" s="85" t="s">
        <v>41</v>
      </c>
      <c r="E82" s="85" t="s">
        <v>3526</v>
      </c>
      <c r="F82" s="86" t="s">
        <v>56</v>
      </c>
      <c r="G82" s="86" t="s">
        <v>3526</v>
      </c>
      <c r="H82" s="77" t="s">
        <v>3559</v>
      </c>
      <c r="I82" s="77" t="s">
        <v>3560</v>
      </c>
      <c r="J82" s="77" t="s">
        <v>457</v>
      </c>
      <c r="K82" s="78">
        <v>44015</v>
      </c>
      <c r="L82" s="77"/>
      <c r="M82" s="87" t="s">
        <v>3501</v>
      </c>
      <c r="N82" s="94" t="s">
        <v>314</v>
      </c>
    </row>
    <row r="83" spans="1:14">
      <c r="A83" s="101" t="s">
        <v>469</v>
      </c>
      <c r="B83" s="84" t="s">
        <v>808</v>
      </c>
      <c r="C83" s="84" t="s">
        <v>276</v>
      </c>
      <c r="D83" s="85" t="s">
        <v>25</v>
      </c>
      <c r="E83" s="85" t="s">
        <v>3497</v>
      </c>
      <c r="F83" s="86" t="s">
        <v>25</v>
      </c>
      <c r="G83" s="86" t="s">
        <v>3497</v>
      </c>
      <c r="H83" s="89" t="s">
        <v>3633</v>
      </c>
      <c r="I83" s="89" t="s">
        <v>3565</v>
      </c>
      <c r="J83" s="89" t="s">
        <v>457</v>
      </c>
      <c r="K83" s="90"/>
      <c r="L83" s="89"/>
      <c r="M83" s="73"/>
      <c r="N83" s="94" t="s">
        <v>311</v>
      </c>
    </row>
    <row r="84" spans="1:14">
      <c r="A84" s="101" t="s">
        <v>471</v>
      </c>
      <c r="B84" s="81" t="s">
        <v>483</v>
      </c>
      <c r="C84" s="81" t="s">
        <v>154</v>
      </c>
      <c r="D84" s="81" t="s">
        <v>51</v>
      </c>
      <c r="E84" s="81" t="s">
        <v>3634</v>
      </c>
      <c r="F84" s="81" t="s">
        <v>59</v>
      </c>
      <c r="G84" s="81" t="s">
        <v>3635</v>
      </c>
      <c r="H84" s="89" t="s">
        <v>3620</v>
      </c>
      <c r="I84" s="89" t="s">
        <v>3565</v>
      </c>
      <c r="J84" s="89" t="s">
        <v>457</v>
      </c>
      <c r="K84" s="90"/>
      <c r="L84" s="104" t="s">
        <v>3636</v>
      </c>
      <c r="M84" s="82" t="s">
        <v>3518</v>
      </c>
      <c r="N84" s="103"/>
    </row>
    <row r="85" spans="1:14">
      <c r="A85" s="101" t="s">
        <v>472</v>
      </c>
      <c r="B85" s="81" t="s">
        <v>513</v>
      </c>
      <c r="C85" s="81" t="s">
        <v>154</v>
      </c>
      <c r="D85" s="81" t="s">
        <v>514</v>
      </c>
      <c r="E85" s="81" t="s">
        <v>3526</v>
      </c>
      <c r="F85" s="81" t="s">
        <v>56</v>
      </c>
      <c r="G85" s="81" t="s">
        <v>3526</v>
      </c>
      <c r="H85" s="83" t="s">
        <v>3632</v>
      </c>
      <c r="I85" s="83" t="s">
        <v>3602</v>
      </c>
      <c r="J85" s="89" t="s">
        <v>457</v>
      </c>
      <c r="K85" s="90"/>
      <c r="L85" s="89"/>
      <c r="M85" s="82" t="s">
        <v>3501</v>
      </c>
      <c r="N85" s="103"/>
    </row>
    <row r="86" spans="1:14">
      <c r="A86" s="101" t="s">
        <v>464</v>
      </c>
      <c r="B86" s="76" t="s">
        <v>533</v>
      </c>
      <c r="C86" s="76" t="s">
        <v>276</v>
      </c>
      <c r="D86" s="76" t="s">
        <v>41</v>
      </c>
      <c r="E86" s="76" t="s">
        <v>3526</v>
      </c>
      <c r="F86" s="76" t="s">
        <v>56</v>
      </c>
      <c r="G86" s="76" t="s">
        <v>3526</v>
      </c>
      <c r="H86" s="77" t="s">
        <v>3559</v>
      </c>
      <c r="I86" s="77" t="s">
        <v>3560</v>
      </c>
      <c r="J86" s="77" t="s">
        <v>457</v>
      </c>
      <c r="K86" s="78">
        <v>44015</v>
      </c>
      <c r="L86" s="77"/>
      <c r="M86" s="79" t="s">
        <v>3501</v>
      </c>
      <c r="N86" s="98"/>
    </row>
    <row r="87" spans="1:14">
      <c r="A87" s="101" t="s">
        <v>476</v>
      </c>
      <c r="B87" s="84" t="s">
        <v>635</v>
      </c>
      <c r="C87" s="84" t="s">
        <v>276</v>
      </c>
      <c r="D87" s="85" t="s">
        <v>514</v>
      </c>
      <c r="E87" s="85" t="s">
        <v>3526</v>
      </c>
      <c r="F87" s="86" t="s">
        <v>56</v>
      </c>
      <c r="G87" s="86" t="s">
        <v>3526</v>
      </c>
      <c r="H87" s="77" t="s">
        <v>3629</v>
      </c>
      <c r="I87" s="77" t="s">
        <v>3630</v>
      </c>
      <c r="J87" s="77" t="s">
        <v>457</v>
      </c>
      <c r="K87" s="78">
        <v>44015</v>
      </c>
      <c r="L87" s="77"/>
      <c r="M87" s="87" t="s">
        <v>3501</v>
      </c>
      <c r="N87" s="94" t="s">
        <v>314</v>
      </c>
    </row>
    <row r="88" spans="1:14">
      <c r="A88" t="s">
        <v>368</v>
      </c>
      <c r="B88" s="84" t="s">
        <v>802</v>
      </c>
      <c r="C88" s="84" t="s">
        <v>154</v>
      </c>
      <c r="D88" s="85" t="s">
        <v>514</v>
      </c>
      <c r="E88" s="85" t="s">
        <v>3526</v>
      </c>
      <c r="F88" s="86" t="s">
        <v>56</v>
      </c>
      <c r="G88" s="86" t="s">
        <v>3526</v>
      </c>
      <c r="H88" s="77" t="s">
        <v>3637</v>
      </c>
      <c r="I88" s="77" t="s">
        <v>3573</v>
      </c>
      <c r="J88" s="77" t="s">
        <v>457</v>
      </c>
      <c r="K88" s="78">
        <v>44064</v>
      </c>
      <c r="L88" s="77"/>
      <c r="M88" s="87" t="s">
        <v>3501</v>
      </c>
      <c r="N88" s="94" t="s">
        <v>314</v>
      </c>
    </row>
    <row r="89" spans="1:14">
      <c r="A89" s="101" t="s">
        <v>479</v>
      </c>
      <c r="B89" s="84" t="s">
        <v>522</v>
      </c>
      <c r="C89" s="84" t="s">
        <v>276</v>
      </c>
      <c r="D89" s="85" t="s">
        <v>514</v>
      </c>
      <c r="E89" s="85" t="s">
        <v>3526</v>
      </c>
      <c r="F89" s="86" t="s">
        <v>56</v>
      </c>
      <c r="G89" s="86" t="s">
        <v>3526</v>
      </c>
      <c r="H89" s="77" t="s">
        <v>3624</v>
      </c>
      <c r="I89" s="77" t="s">
        <v>3625</v>
      </c>
      <c r="J89" s="77" t="s">
        <v>457</v>
      </c>
      <c r="K89" s="78">
        <v>44015</v>
      </c>
      <c r="L89" s="77"/>
      <c r="M89" s="87" t="s">
        <v>3501</v>
      </c>
      <c r="N89" s="94" t="s">
        <v>314</v>
      </c>
    </row>
    <row r="90" spans="1:14">
      <c r="A90" s="101" t="s">
        <v>481</v>
      </c>
      <c r="B90" s="76" t="s">
        <v>530</v>
      </c>
      <c r="C90" s="76" t="s">
        <v>276</v>
      </c>
      <c r="D90" s="76" t="s">
        <v>41</v>
      </c>
      <c r="E90" s="76" t="s">
        <v>3526</v>
      </c>
      <c r="F90" s="76" t="s">
        <v>56</v>
      </c>
      <c r="G90" s="76" t="s">
        <v>3526</v>
      </c>
      <c r="H90" s="77" t="s">
        <v>3559</v>
      </c>
      <c r="I90" s="77" t="s">
        <v>3560</v>
      </c>
      <c r="J90" s="77" t="s">
        <v>457</v>
      </c>
      <c r="K90" s="78">
        <v>44015</v>
      </c>
      <c r="L90" s="77"/>
      <c r="M90" s="79" t="s">
        <v>3501</v>
      </c>
      <c r="N90" s="98"/>
    </row>
    <row r="91" spans="1:14">
      <c r="A91" s="101" t="s">
        <v>483</v>
      </c>
      <c r="B91" s="84" t="s">
        <v>427</v>
      </c>
      <c r="C91" s="84" t="s">
        <v>276</v>
      </c>
      <c r="D91" s="85" t="s">
        <v>155</v>
      </c>
      <c r="E91" s="85" t="s">
        <v>3537</v>
      </c>
      <c r="F91" s="86" t="s">
        <v>57</v>
      </c>
      <c r="G91" s="86" t="s">
        <v>3497</v>
      </c>
      <c r="H91" s="77" t="s">
        <v>3638</v>
      </c>
      <c r="I91" s="77" t="s">
        <v>3639</v>
      </c>
      <c r="J91" s="77" t="s">
        <v>457</v>
      </c>
      <c r="K91" s="78">
        <v>44064</v>
      </c>
      <c r="L91" s="77"/>
      <c r="M91" s="87" t="s">
        <v>3501</v>
      </c>
      <c r="N91" s="94" t="s">
        <v>309</v>
      </c>
    </row>
    <row r="92" spans="1:14">
      <c r="A92" s="101" t="s">
        <v>282</v>
      </c>
      <c r="B92" s="84" t="s">
        <v>838</v>
      </c>
      <c r="C92" s="84" t="s">
        <v>154</v>
      </c>
      <c r="D92" s="85" t="s">
        <v>466</v>
      </c>
      <c r="E92" s="85" t="s">
        <v>3497</v>
      </c>
      <c r="F92" s="86" t="s">
        <v>57</v>
      </c>
      <c r="G92" s="86" t="s">
        <v>3497</v>
      </c>
      <c r="H92" s="77" t="s">
        <v>3513</v>
      </c>
      <c r="I92" s="77" t="s">
        <v>3616</v>
      </c>
      <c r="J92" s="77" t="s">
        <v>457</v>
      </c>
      <c r="K92" s="78">
        <v>44064</v>
      </c>
      <c r="L92" s="77"/>
      <c r="M92" s="87" t="s">
        <v>3501</v>
      </c>
      <c r="N92" s="94" t="s">
        <v>351</v>
      </c>
    </row>
    <row r="93" spans="1:14">
      <c r="A93" s="101" t="s">
        <v>284</v>
      </c>
      <c r="B93" s="84" t="s">
        <v>469</v>
      </c>
      <c r="C93" s="84" t="s">
        <v>276</v>
      </c>
      <c r="D93" s="85" t="s">
        <v>43</v>
      </c>
      <c r="E93" s="85" t="s">
        <v>3497</v>
      </c>
      <c r="F93" s="86" t="s">
        <v>57</v>
      </c>
      <c r="G93" s="86" t="s">
        <v>3497</v>
      </c>
      <c r="H93" s="77" t="s">
        <v>3640</v>
      </c>
      <c r="I93" s="77" t="s">
        <v>3514</v>
      </c>
      <c r="J93" s="77" t="s">
        <v>457</v>
      </c>
      <c r="K93" s="78">
        <v>44015</v>
      </c>
      <c r="L93" s="77"/>
      <c r="M93" s="87" t="s">
        <v>3501</v>
      </c>
      <c r="N93" s="94" t="s">
        <v>309</v>
      </c>
    </row>
    <row r="94" spans="1:14">
      <c r="A94" s="101" t="s">
        <v>485</v>
      </c>
      <c r="B94" s="81" t="s">
        <v>659</v>
      </c>
      <c r="C94" s="81" t="s">
        <v>276</v>
      </c>
      <c r="D94" s="81" t="s">
        <v>289</v>
      </c>
      <c r="E94" s="81" t="s">
        <v>3497</v>
      </c>
      <c r="F94" s="81" t="s">
        <v>57</v>
      </c>
      <c r="G94" s="81" t="s">
        <v>3497</v>
      </c>
      <c r="H94" s="77" t="s">
        <v>3596</v>
      </c>
      <c r="I94" s="77" t="s">
        <v>3597</v>
      </c>
      <c r="J94" s="77" t="s">
        <v>457</v>
      </c>
      <c r="K94" s="77"/>
      <c r="L94" s="77"/>
      <c r="M94" s="82" t="s">
        <v>3501</v>
      </c>
      <c r="N94" s="103"/>
    </row>
    <row r="95" spans="1:14">
      <c r="A95" t="s">
        <v>381</v>
      </c>
      <c r="B95" s="84" t="s">
        <v>447</v>
      </c>
      <c r="C95" s="84" t="s">
        <v>154</v>
      </c>
      <c r="D95" s="85" t="s">
        <v>155</v>
      </c>
      <c r="E95" s="85" t="s">
        <v>3537</v>
      </c>
      <c r="F95" s="86" t="s">
        <v>57</v>
      </c>
      <c r="G95" s="86" t="s">
        <v>3497</v>
      </c>
      <c r="H95" s="77" t="s">
        <v>3641</v>
      </c>
      <c r="I95" s="77" t="s">
        <v>3499</v>
      </c>
      <c r="J95" s="77" t="s">
        <v>457</v>
      </c>
      <c r="K95" s="78">
        <v>44015</v>
      </c>
      <c r="L95" s="77"/>
      <c r="M95" s="87" t="s">
        <v>3501</v>
      </c>
      <c r="N95" s="94" t="s">
        <v>309</v>
      </c>
    </row>
    <row r="96" spans="1:14">
      <c r="A96" t="s">
        <v>384</v>
      </c>
      <c r="B96" s="84" t="s">
        <v>449</v>
      </c>
      <c r="C96" s="84" t="s">
        <v>154</v>
      </c>
      <c r="D96" s="85" t="s">
        <v>43</v>
      </c>
      <c r="E96" s="85" t="s">
        <v>3497</v>
      </c>
      <c r="F96" s="86" t="s">
        <v>57</v>
      </c>
      <c r="G96" s="86" t="s">
        <v>3497</v>
      </c>
      <c r="H96" s="77" t="s">
        <v>3642</v>
      </c>
      <c r="I96" s="77" t="s">
        <v>3643</v>
      </c>
      <c r="J96" s="77" t="s">
        <v>457</v>
      </c>
      <c r="K96" s="78">
        <v>44015</v>
      </c>
      <c r="L96" s="77"/>
      <c r="M96" s="87" t="s">
        <v>157</v>
      </c>
      <c r="N96" s="94" t="s">
        <v>309</v>
      </c>
    </row>
    <row r="97" spans="1:14">
      <c r="A97" t="s">
        <v>386</v>
      </c>
      <c r="B97" s="84" t="s">
        <v>458</v>
      </c>
      <c r="C97" s="84" t="s">
        <v>154</v>
      </c>
      <c r="D97" s="85" t="s">
        <v>43</v>
      </c>
      <c r="E97" s="85" t="s">
        <v>3497</v>
      </c>
      <c r="F97" s="86" t="s">
        <v>57</v>
      </c>
      <c r="G97" s="86" t="s">
        <v>3497</v>
      </c>
      <c r="H97" s="77" t="s">
        <v>3644</v>
      </c>
      <c r="I97" s="77" t="s">
        <v>3499</v>
      </c>
      <c r="J97" s="77" t="s">
        <v>457</v>
      </c>
      <c r="K97" s="78">
        <v>44015</v>
      </c>
      <c r="L97" s="77"/>
      <c r="M97" s="87" t="s">
        <v>3501</v>
      </c>
      <c r="N97" s="94" t="s">
        <v>351</v>
      </c>
    </row>
    <row r="98" spans="1:14">
      <c r="A98" s="101" t="s">
        <v>488</v>
      </c>
      <c r="B98" s="81" t="s">
        <v>828</v>
      </c>
      <c r="C98" s="81" t="s">
        <v>154</v>
      </c>
      <c r="D98" s="81" t="s">
        <v>830</v>
      </c>
      <c r="E98" s="81" t="s">
        <v>3588</v>
      </c>
      <c r="F98" s="81" t="s">
        <v>56</v>
      </c>
      <c r="G98" s="81" t="s">
        <v>3526</v>
      </c>
      <c r="H98" s="89" t="s">
        <v>3645</v>
      </c>
      <c r="I98" s="89" t="s">
        <v>3499</v>
      </c>
      <c r="J98" s="89" t="s">
        <v>457</v>
      </c>
      <c r="K98" s="90"/>
      <c r="L98" s="89"/>
      <c r="M98" s="82" t="s">
        <v>3518</v>
      </c>
      <c r="N98" s="103"/>
    </row>
    <row r="99" spans="1:14">
      <c r="A99" t="s">
        <v>390</v>
      </c>
      <c r="B99" s="81" t="s">
        <v>832</v>
      </c>
      <c r="C99" s="81" t="s">
        <v>154</v>
      </c>
      <c r="D99" s="81" t="s">
        <v>830</v>
      </c>
      <c r="E99" s="81" t="s">
        <v>3588</v>
      </c>
      <c r="F99" s="81" t="s">
        <v>56</v>
      </c>
      <c r="G99" s="81" t="s">
        <v>3526</v>
      </c>
      <c r="H99" s="89" t="s">
        <v>3645</v>
      </c>
      <c r="I99" s="89" t="s">
        <v>3499</v>
      </c>
      <c r="J99" s="89" t="s">
        <v>457</v>
      </c>
      <c r="K99" s="90"/>
      <c r="L99" s="89"/>
      <c r="M99" s="82" t="s">
        <v>3518</v>
      </c>
      <c r="N99" s="103"/>
    </row>
    <row r="100" spans="1:14">
      <c r="A100" t="s">
        <v>391</v>
      </c>
      <c r="B100" s="81" t="s">
        <v>485</v>
      </c>
      <c r="C100" s="81" t="s">
        <v>276</v>
      </c>
      <c r="D100" s="81" t="s">
        <v>43</v>
      </c>
      <c r="E100" s="81" t="s">
        <v>3497</v>
      </c>
      <c r="F100" s="81" t="s">
        <v>57</v>
      </c>
      <c r="G100" s="81" t="s">
        <v>3497</v>
      </c>
      <c r="H100" s="89" t="s">
        <v>3646</v>
      </c>
      <c r="I100" s="89" t="s">
        <v>3647</v>
      </c>
      <c r="J100" s="89" t="s">
        <v>457</v>
      </c>
      <c r="K100" s="90"/>
      <c r="L100" s="89"/>
      <c r="M100" s="82" t="s">
        <v>3501</v>
      </c>
      <c r="N100" s="103"/>
    </row>
    <row r="101" spans="1:14">
      <c r="A101" s="101" t="s">
        <v>492</v>
      </c>
      <c r="B101" s="84" t="s">
        <v>488</v>
      </c>
      <c r="C101" s="84" t="s">
        <v>276</v>
      </c>
      <c r="D101" s="85" t="s">
        <v>466</v>
      </c>
      <c r="E101" s="85" t="s">
        <v>3497</v>
      </c>
      <c r="F101" s="86" t="s">
        <v>57</v>
      </c>
      <c r="G101" s="86" t="s">
        <v>3497</v>
      </c>
      <c r="H101" s="77" t="s">
        <v>3648</v>
      </c>
      <c r="I101" s="77" t="s">
        <v>3622</v>
      </c>
      <c r="J101" s="77" t="s">
        <v>457</v>
      </c>
      <c r="K101" s="78">
        <v>44064</v>
      </c>
      <c r="L101" s="77"/>
      <c r="M101" s="87" t="s">
        <v>3501</v>
      </c>
      <c r="N101" s="94" t="s">
        <v>309</v>
      </c>
    </row>
    <row r="102" spans="1:14">
      <c r="A102" s="101" t="s">
        <v>291</v>
      </c>
      <c r="B102" s="84" t="s">
        <v>492</v>
      </c>
      <c r="C102" s="84" t="s">
        <v>276</v>
      </c>
      <c r="D102" s="85" t="s">
        <v>379</v>
      </c>
      <c r="E102" s="85" t="s">
        <v>3567</v>
      </c>
      <c r="F102" s="86" t="s">
        <v>57</v>
      </c>
      <c r="G102" s="86" t="s">
        <v>3497</v>
      </c>
      <c r="H102" s="77" t="s">
        <v>3649</v>
      </c>
      <c r="I102" s="77" t="s">
        <v>3569</v>
      </c>
      <c r="J102" s="77" t="s">
        <v>457</v>
      </c>
      <c r="K102" s="78">
        <v>44064</v>
      </c>
      <c r="L102" s="77"/>
      <c r="M102" s="87" t="s">
        <v>3501</v>
      </c>
      <c r="N102" s="94" t="s">
        <v>309</v>
      </c>
    </row>
    <row r="103" spans="1:14">
      <c r="A103" s="101" t="s">
        <v>300</v>
      </c>
      <c r="B103" s="81" t="s">
        <v>495</v>
      </c>
      <c r="C103" s="81" t="s">
        <v>276</v>
      </c>
      <c r="D103" s="81" t="s">
        <v>43</v>
      </c>
      <c r="E103" s="81" t="s">
        <v>3497</v>
      </c>
      <c r="F103" s="81" t="s">
        <v>57</v>
      </c>
      <c r="G103" s="81" t="s">
        <v>3497</v>
      </c>
      <c r="H103" s="77" t="s">
        <v>3570</v>
      </c>
      <c r="I103" s="77" t="s">
        <v>3592</v>
      </c>
      <c r="J103" s="77" t="s">
        <v>457</v>
      </c>
      <c r="K103" s="78"/>
      <c r="L103" s="77"/>
      <c r="M103" s="82" t="s">
        <v>3501</v>
      </c>
      <c r="N103" s="103"/>
    </row>
    <row r="104" spans="1:14">
      <c r="A104" s="101" t="s">
        <v>495</v>
      </c>
      <c r="B104" s="84" t="s">
        <v>508</v>
      </c>
      <c r="C104" s="84" t="s">
        <v>154</v>
      </c>
      <c r="D104" s="85" t="s">
        <v>43</v>
      </c>
      <c r="E104" s="85" t="s">
        <v>3497</v>
      </c>
      <c r="F104" s="86" t="s">
        <v>57</v>
      </c>
      <c r="G104" s="86" t="s">
        <v>3497</v>
      </c>
      <c r="H104" s="77" t="s">
        <v>3642</v>
      </c>
      <c r="I104" s="105" t="s">
        <v>3643</v>
      </c>
      <c r="J104" s="77" t="s">
        <v>457</v>
      </c>
      <c r="K104" s="78">
        <v>44064</v>
      </c>
      <c r="L104" s="77"/>
      <c r="M104" s="87" t="s">
        <v>157</v>
      </c>
      <c r="N104" s="94" t="s">
        <v>309</v>
      </c>
    </row>
    <row r="105" spans="1:14">
      <c r="A105" s="101" t="s">
        <v>307</v>
      </c>
      <c r="B105" s="81" t="s">
        <v>519</v>
      </c>
      <c r="C105" s="81" t="s">
        <v>276</v>
      </c>
      <c r="D105" s="81" t="s">
        <v>43</v>
      </c>
      <c r="E105" s="81" t="s">
        <v>3497</v>
      </c>
      <c r="F105" s="81" t="s">
        <v>57</v>
      </c>
      <c r="G105" s="81" t="s">
        <v>3497</v>
      </c>
      <c r="H105" s="77" t="s">
        <v>3570</v>
      </c>
      <c r="I105" s="77" t="s">
        <v>3592</v>
      </c>
      <c r="J105" s="77" t="s">
        <v>457</v>
      </c>
      <c r="K105" s="78"/>
      <c r="L105" s="77"/>
      <c r="M105" s="82" t="s">
        <v>3501</v>
      </c>
      <c r="N105" s="103"/>
    </row>
    <row r="106" spans="1:14">
      <c r="A106" s="101" t="s">
        <v>526</v>
      </c>
      <c r="B106" s="84" t="s">
        <v>521</v>
      </c>
      <c r="C106" s="84" t="s">
        <v>154</v>
      </c>
      <c r="D106" s="85" t="s">
        <v>43</v>
      </c>
      <c r="E106" s="85" t="s">
        <v>3497</v>
      </c>
      <c r="F106" s="86" t="s">
        <v>57</v>
      </c>
      <c r="G106" s="86" t="s">
        <v>3497</v>
      </c>
      <c r="H106" s="95" t="s">
        <v>3650</v>
      </c>
      <c r="I106" s="95" t="s">
        <v>3602</v>
      </c>
      <c r="J106" s="95" t="s">
        <v>457</v>
      </c>
      <c r="K106" s="78">
        <v>44015</v>
      </c>
      <c r="L106" s="95"/>
      <c r="M106" s="87" t="s">
        <v>3501</v>
      </c>
      <c r="N106" s="94" t="s">
        <v>309</v>
      </c>
    </row>
    <row r="107" spans="1:14">
      <c r="A107" s="101" t="s">
        <v>502</v>
      </c>
      <c r="B107" s="81" t="s">
        <v>524</v>
      </c>
      <c r="C107" s="81" t="s">
        <v>276</v>
      </c>
      <c r="D107" s="81" t="s">
        <v>43</v>
      </c>
      <c r="E107" s="81" t="s">
        <v>3497</v>
      </c>
      <c r="F107" s="81" t="s">
        <v>57</v>
      </c>
      <c r="G107" s="81" t="s">
        <v>3497</v>
      </c>
      <c r="H107" s="77" t="s">
        <v>3570</v>
      </c>
      <c r="I107" s="77" t="s">
        <v>3592</v>
      </c>
      <c r="J107" s="77" t="s">
        <v>457</v>
      </c>
      <c r="K107" s="78"/>
      <c r="L107" s="77"/>
      <c r="M107" s="82" t="s">
        <v>3501</v>
      </c>
      <c r="N107" s="103"/>
    </row>
    <row r="108" spans="1:14">
      <c r="A108" s="101" t="s">
        <v>445</v>
      </c>
      <c r="B108" s="84" t="s">
        <v>546</v>
      </c>
      <c r="C108" s="84" t="s">
        <v>276</v>
      </c>
      <c r="D108" s="85" t="s">
        <v>1000</v>
      </c>
      <c r="E108" s="85" t="s">
        <v>3619</v>
      </c>
      <c r="F108" s="86" t="s">
        <v>57</v>
      </c>
      <c r="G108" s="86" t="s">
        <v>3497</v>
      </c>
      <c r="H108" s="77" t="s">
        <v>3651</v>
      </c>
      <c r="I108" s="77" t="s">
        <v>3499</v>
      </c>
      <c r="J108" s="77" t="s">
        <v>457</v>
      </c>
      <c r="K108" s="78">
        <v>44015</v>
      </c>
      <c r="L108" s="77"/>
      <c r="M108" s="87" t="s">
        <v>3501</v>
      </c>
      <c r="N108" s="94" t="s">
        <v>309</v>
      </c>
    </row>
    <row r="109" spans="1:14">
      <c r="A109" t="s">
        <v>409</v>
      </c>
      <c r="B109" s="84" t="s">
        <v>578</v>
      </c>
      <c r="C109" s="84" t="s">
        <v>276</v>
      </c>
      <c r="D109" s="85" t="s">
        <v>466</v>
      </c>
      <c r="E109" s="85" t="s">
        <v>3497</v>
      </c>
      <c r="F109" s="86" t="s">
        <v>57</v>
      </c>
      <c r="G109" s="86" t="s">
        <v>3497</v>
      </c>
      <c r="H109" s="77" t="s">
        <v>3652</v>
      </c>
      <c r="I109" s="77" t="s">
        <v>3622</v>
      </c>
      <c r="J109" s="77" t="s">
        <v>457</v>
      </c>
      <c r="K109" s="78">
        <v>44015</v>
      </c>
      <c r="L109" s="77"/>
      <c r="M109" s="87" t="s">
        <v>3501</v>
      </c>
      <c r="N109" s="94" t="s">
        <v>351</v>
      </c>
    </row>
    <row r="110" spans="1:14">
      <c r="A110" t="s">
        <v>410</v>
      </c>
      <c r="B110" s="84" t="s">
        <v>580</v>
      </c>
      <c r="C110" s="84" t="s">
        <v>276</v>
      </c>
      <c r="D110" s="85" t="s">
        <v>466</v>
      </c>
      <c r="E110" s="85" t="s">
        <v>3497</v>
      </c>
      <c r="F110" s="86" t="s">
        <v>57</v>
      </c>
      <c r="G110" s="86" t="s">
        <v>3497</v>
      </c>
      <c r="H110" s="77" t="s">
        <v>3652</v>
      </c>
      <c r="I110" s="77" t="s">
        <v>3622</v>
      </c>
      <c r="J110" s="77" t="s">
        <v>457</v>
      </c>
      <c r="K110" s="78">
        <v>44015</v>
      </c>
      <c r="L110" s="77"/>
      <c r="M110" s="87" t="s">
        <v>3501</v>
      </c>
      <c r="N110" s="94" t="s">
        <v>309</v>
      </c>
    </row>
    <row r="111" spans="1:14">
      <c r="A111" s="101" t="s">
        <v>507</v>
      </c>
      <c r="B111" s="84" t="s">
        <v>611</v>
      </c>
      <c r="C111" s="84" t="s">
        <v>276</v>
      </c>
      <c r="D111" s="85" t="s">
        <v>466</v>
      </c>
      <c r="E111" s="85" t="s">
        <v>3497</v>
      </c>
      <c r="F111" s="86" t="s">
        <v>57</v>
      </c>
      <c r="G111" s="86" t="s">
        <v>3497</v>
      </c>
      <c r="H111" s="77" t="s">
        <v>3652</v>
      </c>
      <c r="I111" s="77" t="s">
        <v>3622</v>
      </c>
      <c r="J111" s="77" t="s">
        <v>457</v>
      </c>
      <c r="K111" s="78">
        <v>44015</v>
      </c>
      <c r="L111" s="77"/>
      <c r="M111" s="87" t="s">
        <v>3501</v>
      </c>
      <c r="N111" s="94" t="s">
        <v>351</v>
      </c>
    </row>
    <row r="112" spans="1:14">
      <c r="A112" t="s">
        <v>413</v>
      </c>
      <c r="B112" s="81" t="s">
        <v>819</v>
      </c>
      <c r="C112" s="81" t="s">
        <v>154</v>
      </c>
      <c r="D112" s="81" t="s">
        <v>155</v>
      </c>
      <c r="E112" s="81" t="s">
        <v>3537</v>
      </c>
      <c r="F112" s="81" t="s">
        <v>57</v>
      </c>
      <c r="G112" s="81" t="s">
        <v>3497</v>
      </c>
      <c r="H112" s="77" t="s">
        <v>3641</v>
      </c>
      <c r="I112" s="77" t="s">
        <v>3499</v>
      </c>
      <c r="J112" s="77" t="s">
        <v>457</v>
      </c>
      <c r="K112" s="78"/>
      <c r="L112" s="77"/>
      <c r="M112" s="82" t="s">
        <v>3501</v>
      </c>
      <c r="N112" s="103"/>
    </row>
    <row r="113" spans="1:14">
      <c r="A113" t="s">
        <v>415</v>
      </c>
      <c r="B113" s="76" t="s">
        <v>425</v>
      </c>
      <c r="C113" s="76" t="s">
        <v>276</v>
      </c>
      <c r="D113" s="76" t="s">
        <v>155</v>
      </c>
      <c r="E113" s="76" t="s">
        <v>3537</v>
      </c>
      <c r="F113" s="76" t="s">
        <v>57</v>
      </c>
      <c r="G113" s="76" t="s">
        <v>3497</v>
      </c>
      <c r="H113" s="77" t="s">
        <v>3653</v>
      </c>
      <c r="I113" s="77" t="s">
        <v>3654</v>
      </c>
      <c r="J113" s="77" t="s">
        <v>457</v>
      </c>
      <c r="K113" s="78">
        <v>44015</v>
      </c>
      <c r="L113" s="77"/>
      <c r="M113" s="79" t="s">
        <v>3501</v>
      </c>
      <c r="N113" s="98"/>
    </row>
    <row r="114" spans="1:14">
      <c r="A114" t="s">
        <v>416</v>
      </c>
      <c r="B114" s="84" t="s">
        <v>598</v>
      </c>
      <c r="C114" s="84" t="s">
        <v>276</v>
      </c>
      <c r="D114" s="85" t="s">
        <v>466</v>
      </c>
      <c r="E114" s="85" t="s">
        <v>3497</v>
      </c>
      <c r="F114" s="86" t="s">
        <v>57</v>
      </c>
      <c r="G114" s="86" t="s">
        <v>3497</v>
      </c>
      <c r="H114" s="77" t="s">
        <v>3652</v>
      </c>
      <c r="I114" s="77" t="s">
        <v>3622</v>
      </c>
      <c r="J114" s="77" t="s">
        <v>457</v>
      </c>
      <c r="K114" s="78">
        <v>44015</v>
      </c>
      <c r="L114" s="77"/>
      <c r="M114" s="87" t="s">
        <v>3501</v>
      </c>
      <c r="N114" s="94" t="s">
        <v>351</v>
      </c>
    </row>
    <row r="115" spans="1:14">
      <c r="A115" s="101" t="s">
        <v>508</v>
      </c>
      <c r="B115" s="84" t="s">
        <v>612</v>
      </c>
      <c r="C115" s="84" t="s">
        <v>276</v>
      </c>
      <c r="D115" s="85" t="s">
        <v>466</v>
      </c>
      <c r="E115" s="85" t="s">
        <v>3497</v>
      </c>
      <c r="F115" s="86" t="s">
        <v>57</v>
      </c>
      <c r="G115" s="86" t="s">
        <v>3497</v>
      </c>
      <c r="H115" s="77" t="s">
        <v>3652</v>
      </c>
      <c r="I115" s="77" t="s">
        <v>3622</v>
      </c>
      <c r="J115" s="77" t="s">
        <v>457</v>
      </c>
      <c r="K115" s="78">
        <v>44015</v>
      </c>
      <c r="L115" s="77"/>
      <c r="M115" s="87" t="s">
        <v>3501</v>
      </c>
      <c r="N115" s="94" t="s">
        <v>351</v>
      </c>
    </row>
    <row r="116" spans="1:14">
      <c r="A116" t="s">
        <v>421</v>
      </c>
      <c r="B116" s="84" t="s">
        <v>614</v>
      </c>
      <c r="C116" s="84" t="s">
        <v>276</v>
      </c>
      <c r="D116" s="85" t="s">
        <v>466</v>
      </c>
      <c r="E116" s="85" t="s">
        <v>3497</v>
      </c>
      <c r="F116" s="86" t="s">
        <v>57</v>
      </c>
      <c r="G116" s="86" t="s">
        <v>3497</v>
      </c>
      <c r="H116" s="77" t="s">
        <v>3652</v>
      </c>
      <c r="I116" s="77" t="s">
        <v>3622</v>
      </c>
      <c r="J116" s="77" t="s">
        <v>457</v>
      </c>
      <c r="K116" s="78">
        <v>44015</v>
      </c>
      <c r="L116" s="77"/>
      <c r="M116" s="87" t="s">
        <v>3501</v>
      </c>
      <c r="N116" s="94" t="s">
        <v>351</v>
      </c>
    </row>
    <row r="117" spans="1:14">
      <c r="A117" s="101" t="s">
        <v>510</v>
      </c>
      <c r="B117" s="81" t="s">
        <v>818</v>
      </c>
      <c r="C117" s="81" t="s">
        <v>154</v>
      </c>
      <c r="D117" s="81" t="s">
        <v>155</v>
      </c>
      <c r="E117" s="81" t="s">
        <v>3537</v>
      </c>
      <c r="F117" s="81" t="s">
        <v>57</v>
      </c>
      <c r="G117" s="81" t="s">
        <v>3497</v>
      </c>
      <c r="H117" s="77" t="s">
        <v>3641</v>
      </c>
      <c r="I117" s="77" t="s">
        <v>3499</v>
      </c>
      <c r="J117" s="77" t="s">
        <v>457</v>
      </c>
      <c r="K117" s="77"/>
      <c r="L117" s="77"/>
      <c r="M117" s="82" t="s">
        <v>3501</v>
      </c>
      <c r="N117" s="103"/>
    </row>
    <row r="118" spans="1:14">
      <c r="A118" s="101" t="s">
        <v>512</v>
      </c>
      <c r="B118" s="81" t="s">
        <v>637</v>
      </c>
      <c r="C118" s="81" t="s">
        <v>154</v>
      </c>
      <c r="D118" s="81" t="s">
        <v>639</v>
      </c>
      <c r="E118" s="81" t="s">
        <v>3520</v>
      </c>
      <c r="F118" s="81" t="s">
        <v>74</v>
      </c>
      <c r="G118" s="81" t="s">
        <v>3520</v>
      </c>
      <c r="H118" s="89" t="s">
        <v>3581</v>
      </c>
      <c r="I118" s="89" t="s">
        <v>3573</v>
      </c>
      <c r="J118" s="77" t="s">
        <v>457</v>
      </c>
      <c r="K118" s="77"/>
      <c r="L118" s="77"/>
      <c r="M118" s="82" t="s">
        <v>3518</v>
      </c>
      <c r="N118" s="103"/>
    </row>
    <row r="119" spans="1:14">
      <c r="A119" s="101" t="s">
        <v>513</v>
      </c>
      <c r="B119" s="81" t="s">
        <v>663</v>
      </c>
      <c r="C119" s="81" t="s">
        <v>154</v>
      </c>
      <c r="D119" s="81" t="s">
        <v>639</v>
      </c>
      <c r="E119" s="81" t="s">
        <v>3520</v>
      </c>
      <c r="F119" s="81" t="s">
        <v>74</v>
      </c>
      <c r="G119" s="81" t="s">
        <v>3520</v>
      </c>
      <c r="H119" s="89" t="s">
        <v>3627</v>
      </c>
      <c r="I119" s="89" t="s">
        <v>3602</v>
      </c>
      <c r="J119" s="106" t="s">
        <v>457</v>
      </c>
      <c r="K119" s="106"/>
      <c r="L119" s="106"/>
      <c r="M119" s="82" t="s">
        <v>3518</v>
      </c>
      <c r="N119" s="103"/>
    </row>
    <row r="120" spans="1:14">
      <c r="A120" s="101" t="s">
        <v>516</v>
      </c>
      <c r="B120" s="81" t="s">
        <v>822</v>
      </c>
      <c r="C120" s="81" t="s">
        <v>154</v>
      </c>
      <c r="D120" s="81" t="s">
        <v>824</v>
      </c>
      <c r="E120" s="81" t="s">
        <v>3525</v>
      </c>
      <c r="F120" s="81" t="s">
        <v>77</v>
      </c>
      <c r="G120" s="81" t="s">
        <v>3525</v>
      </c>
      <c r="H120" s="77" t="s">
        <v>3645</v>
      </c>
      <c r="I120" s="77" t="s">
        <v>3499</v>
      </c>
      <c r="J120" s="77" t="s">
        <v>457</v>
      </c>
      <c r="K120" s="77"/>
      <c r="L120" s="77"/>
      <c r="M120" s="82" t="s">
        <v>3518</v>
      </c>
      <c r="N120" s="103"/>
    </row>
    <row r="121" spans="1:14">
      <c r="A121" s="101" t="s">
        <v>310</v>
      </c>
      <c r="B121" s="81" t="s">
        <v>826</v>
      </c>
      <c r="C121" s="81" t="s">
        <v>154</v>
      </c>
      <c r="D121" s="81" t="s">
        <v>824</v>
      </c>
      <c r="E121" s="81" t="s">
        <v>3525</v>
      </c>
      <c r="F121" s="81" t="s">
        <v>77</v>
      </c>
      <c r="G121" s="81" t="s">
        <v>3525</v>
      </c>
      <c r="H121" s="77" t="s">
        <v>3645</v>
      </c>
      <c r="I121" s="77" t="s">
        <v>3499</v>
      </c>
      <c r="J121" s="77" t="s">
        <v>457</v>
      </c>
      <c r="K121" s="77"/>
      <c r="L121" s="77"/>
      <c r="M121" s="82" t="s">
        <v>3518</v>
      </c>
      <c r="N121" s="103"/>
    </row>
    <row r="122" spans="1:14">
      <c r="A122" s="101" t="s">
        <v>519</v>
      </c>
      <c r="B122" s="84" t="s">
        <v>423</v>
      </c>
      <c r="C122" s="84" t="s">
        <v>276</v>
      </c>
      <c r="D122" s="85" t="s">
        <v>3655</v>
      </c>
      <c r="E122" s="85" t="s">
        <v>3656</v>
      </c>
      <c r="F122" s="86" t="s">
        <v>58</v>
      </c>
      <c r="G122" s="86" t="s">
        <v>3512</v>
      </c>
      <c r="H122" s="77" t="s">
        <v>3529</v>
      </c>
      <c r="I122" s="77" t="s">
        <v>3514</v>
      </c>
      <c r="J122" s="77" t="s">
        <v>457</v>
      </c>
      <c r="K122" s="78">
        <v>44015</v>
      </c>
      <c r="L122" s="77"/>
      <c r="M122" s="87" t="s">
        <v>3501</v>
      </c>
      <c r="N122" s="94" t="s">
        <v>299</v>
      </c>
    </row>
    <row r="123" spans="1:14">
      <c r="A123" s="101" t="s">
        <v>641</v>
      </c>
      <c r="B123" s="84" t="s">
        <v>788</v>
      </c>
      <c r="C123" s="84" t="s">
        <v>154</v>
      </c>
      <c r="D123" s="85" t="s">
        <v>934</v>
      </c>
      <c r="E123" s="85" t="s">
        <v>3657</v>
      </c>
      <c r="F123" s="86" t="s">
        <v>58</v>
      </c>
      <c r="G123" s="86" t="s">
        <v>3512</v>
      </c>
      <c r="H123" s="77" t="s">
        <v>3513</v>
      </c>
      <c r="I123" s="77" t="s">
        <v>3514</v>
      </c>
      <c r="J123" s="77" t="s">
        <v>457</v>
      </c>
      <c r="K123" s="78">
        <v>44015</v>
      </c>
      <c r="L123" s="77"/>
      <c r="M123" s="87" t="s">
        <v>3501</v>
      </c>
      <c r="N123" s="94" t="s">
        <v>299</v>
      </c>
    </row>
    <row r="124" spans="1:14">
      <c r="A124" t="s">
        <v>440</v>
      </c>
      <c r="B124" s="76" t="s">
        <v>790</v>
      </c>
      <c r="C124" s="76" t="s">
        <v>154</v>
      </c>
      <c r="D124" s="76" t="s">
        <v>1003</v>
      </c>
      <c r="E124" s="76" t="s">
        <v>3657</v>
      </c>
      <c r="F124" s="76" t="s">
        <v>58</v>
      </c>
      <c r="G124" s="76" t="s">
        <v>3512</v>
      </c>
      <c r="H124" s="77" t="s">
        <v>3513</v>
      </c>
      <c r="I124" s="77" t="s">
        <v>3514</v>
      </c>
      <c r="J124" s="77" t="s">
        <v>457</v>
      </c>
      <c r="K124" s="78">
        <v>44015</v>
      </c>
      <c r="L124" s="77"/>
      <c r="M124" s="79" t="s">
        <v>3501</v>
      </c>
      <c r="N124" s="98"/>
    </row>
    <row r="125" spans="1:14">
      <c r="A125" s="101" t="s">
        <v>521</v>
      </c>
      <c r="B125" s="81" t="s">
        <v>3658</v>
      </c>
      <c r="C125" s="81" t="s">
        <v>154</v>
      </c>
      <c r="D125" s="81" t="s">
        <v>934</v>
      </c>
      <c r="E125" s="81" t="s">
        <v>3657</v>
      </c>
      <c r="F125" s="81" t="s">
        <v>58</v>
      </c>
      <c r="G125" s="81" t="s">
        <v>3512</v>
      </c>
      <c r="H125" s="95" t="s">
        <v>3513</v>
      </c>
      <c r="I125" s="95" t="s">
        <v>3514</v>
      </c>
      <c r="J125" s="77" t="s">
        <v>457</v>
      </c>
      <c r="K125" s="77"/>
      <c r="L125" s="77"/>
      <c r="M125" s="82" t="s">
        <v>3501</v>
      </c>
      <c r="N125" s="103" t="s">
        <v>3561</v>
      </c>
    </row>
    <row r="126" spans="1:14">
      <c r="A126" t="s">
        <v>444</v>
      </c>
      <c r="B126" s="81" t="s">
        <v>411</v>
      </c>
      <c r="C126" s="81" t="s">
        <v>276</v>
      </c>
      <c r="D126" s="81" t="s">
        <v>304</v>
      </c>
      <c r="E126" s="81" t="s">
        <v>3526</v>
      </c>
      <c r="F126" s="81" t="s">
        <v>56</v>
      </c>
      <c r="G126" s="81" t="s">
        <v>3526</v>
      </c>
      <c r="H126" s="77" t="s">
        <v>3614</v>
      </c>
      <c r="I126" s="77" t="s">
        <v>3659</v>
      </c>
      <c r="J126" s="77" t="s">
        <v>457</v>
      </c>
      <c r="K126" s="77"/>
      <c r="L126" s="77"/>
      <c r="M126" s="82"/>
      <c r="N126" s="103"/>
    </row>
    <row r="127" spans="1:14">
      <c r="A127" s="101" t="s">
        <v>522</v>
      </c>
      <c r="B127" s="81" t="s">
        <v>3660</v>
      </c>
      <c r="C127" s="81" t="s">
        <v>154</v>
      </c>
      <c r="D127" s="81" t="s">
        <v>934</v>
      </c>
      <c r="E127" s="81" t="s">
        <v>3657</v>
      </c>
      <c r="F127" s="81" t="s">
        <v>58</v>
      </c>
      <c r="G127" s="81" t="s">
        <v>3512</v>
      </c>
      <c r="H127" s="95" t="s">
        <v>3513</v>
      </c>
      <c r="I127" s="95" t="s">
        <v>3514</v>
      </c>
      <c r="J127" s="77" t="s">
        <v>457</v>
      </c>
      <c r="K127" s="78"/>
      <c r="L127" s="77"/>
      <c r="M127" s="82" t="s">
        <v>3501</v>
      </c>
      <c r="N127" s="103" t="s">
        <v>3661</v>
      </c>
    </row>
    <row r="128" spans="1:14">
      <c r="A128" s="101" t="s">
        <v>523</v>
      </c>
      <c r="B128" s="81" t="s">
        <v>834</v>
      </c>
      <c r="C128" s="81" t="s">
        <v>276</v>
      </c>
      <c r="D128" s="81" t="s">
        <v>340</v>
      </c>
      <c r="E128" s="81" t="s">
        <v>3512</v>
      </c>
      <c r="F128" s="81" t="s">
        <v>58</v>
      </c>
      <c r="G128" s="81" t="s">
        <v>3512</v>
      </c>
      <c r="H128" s="77" t="s">
        <v>3570</v>
      </c>
      <c r="I128" s="77" t="s">
        <v>3592</v>
      </c>
      <c r="J128" s="77" t="s">
        <v>457</v>
      </c>
      <c r="K128" s="78"/>
      <c r="L128" s="77"/>
      <c r="M128" s="82" t="s">
        <v>3501</v>
      </c>
      <c r="N128" s="103"/>
    </row>
    <row r="129" spans="1:14">
      <c r="A129" s="101" t="s">
        <v>524</v>
      </c>
      <c r="B129" s="84" t="s">
        <v>472</v>
      </c>
      <c r="C129" s="84" t="s">
        <v>276</v>
      </c>
      <c r="D129" s="85" t="s">
        <v>340</v>
      </c>
      <c r="E129" s="85" t="s">
        <v>3512</v>
      </c>
      <c r="F129" s="86" t="s">
        <v>58</v>
      </c>
      <c r="G129" s="86" t="s">
        <v>3512</v>
      </c>
      <c r="H129" s="77" t="s">
        <v>3662</v>
      </c>
      <c r="I129" s="77" t="s">
        <v>3659</v>
      </c>
      <c r="J129" s="77" t="s">
        <v>457</v>
      </c>
      <c r="K129" s="78">
        <v>44064</v>
      </c>
      <c r="L129" s="77"/>
      <c r="M129" s="87" t="s">
        <v>3501</v>
      </c>
      <c r="N129" s="94" t="s">
        <v>299</v>
      </c>
    </row>
    <row r="130" spans="1:14">
      <c r="A130" s="101" t="s">
        <v>647</v>
      </c>
      <c r="B130" s="84" t="s">
        <v>437</v>
      </c>
      <c r="C130" s="84" t="s">
        <v>276</v>
      </c>
      <c r="D130" s="85" t="s">
        <v>340</v>
      </c>
      <c r="E130" s="85" t="s">
        <v>3512</v>
      </c>
      <c r="F130" s="86" t="s">
        <v>58</v>
      </c>
      <c r="G130" s="86" t="s">
        <v>3512</v>
      </c>
      <c r="H130" s="77" t="s">
        <v>3663</v>
      </c>
      <c r="I130" s="77" t="s">
        <v>3622</v>
      </c>
      <c r="J130" s="77" t="s">
        <v>457</v>
      </c>
      <c r="K130" s="78">
        <v>44064</v>
      </c>
      <c r="L130" s="77"/>
      <c r="M130" s="87" t="s">
        <v>3501</v>
      </c>
      <c r="N130" s="94" t="s">
        <v>299</v>
      </c>
    </row>
    <row r="131" spans="1:14">
      <c r="A131" s="101" t="s">
        <v>529</v>
      </c>
      <c r="B131" s="84" t="s">
        <v>785</v>
      </c>
      <c r="C131" s="84" t="s">
        <v>154</v>
      </c>
      <c r="D131" s="85" t="s">
        <v>934</v>
      </c>
      <c r="E131" s="85" t="s">
        <v>3657</v>
      </c>
      <c r="F131" s="86" t="s">
        <v>58</v>
      </c>
      <c r="G131" s="86" t="s">
        <v>3512</v>
      </c>
      <c r="H131" s="77" t="s">
        <v>3513</v>
      </c>
      <c r="I131" s="77" t="s">
        <v>3514</v>
      </c>
      <c r="J131" s="77" t="s">
        <v>457</v>
      </c>
      <c r="K131" s="78">
        <v>44015</v>
      </c>
      <c r="L131" s="77"/>
      <c r="M131" s="87" t="s">
        <v>3501</v>
      </c>
      <c r="N131" s="94" t="s">
        <v>299</v>
      </c>
    </row>
    <row r="132" spans="1:14">
      <c r="A132" s="101" t="s">
        <v>530</v>
      </c>
      <c r="B132" s="81" t="s">
        <v>615</v>
      </c>
      <c r="C132" s="81" t="s">
        <v>276</v>
      </c>
      <c r="D132" s="81" t="s">
        <v>466</v>
      </c>
      <c r="E132" s="81" t="s">
        <v>3497</v>
      </c>
      <c r="F132" s="81" t="s">
        <v>57</v>
      </c>
      <c r="G132" s="81" t="s">
        <v>3497</v>
      </c>
      <c r="H132" s="77" t="s">
        <v>3623</v>
      </c>
      <c r="I132" s="77" t="s">
        <v>3499</v>
      </c>
      <c r="J132" s="77" t="s">
        <v>457</v>
      </c>
      <c r="K132" s="77"/>
      <c r="L132" s="77"/>
      <c r="M132" s="82" t="s">
        <v>3518</v>
      </c>
      <c r="N132" s="103"/>
    </row>
    <row r="133" spans="1:14">
      <c r="A133" s="101" t="s">
        <v>532</v>
      </c>
      <c r="B133" s="81" t="s">
        <v>836</v>
      </c>
      <c r="C133" s="81" t="s">
        <v>276</v>
      </c>
      <c r="D133" s="81" t="s">
        <v>340</v>
      </c>
      <c r="E133" s="81" t="s">
        <v>3512</v>
      </c>
      <c r="F133" s="81" t="s">
        <v>58</v>
      </c>
      <c r="G133" s="81" t="s">
        <v>3512</v>
      </c>
      <c r="H133" s="77" t="s">
        <v>3570</v>
      </c>
      <c r="I133" s="77" t="s">
        <v>3592</v>
      </c>
      <c r="J133" s="77" t="s">
        <v>457</v>
      </c>
      <c r="K133" s="77"/>
      <c r="L133" s="77"/>
      <c r="M133" s="82" t="s">
        <v>3501</v>
      </c>
      <c r="N133" s="103"/>
    </row>
    <row r="134" spans="1:14">
      <c r="A134" s="101" t="s">
        <v>533</v>
      </c>
      <c r="B134" s="81" t="s">
        <v>671</v>
      </c>
      <c r="C134" s="81" t="s">
        <v>276</v>
      </c>
      <c r="D134" s="81" t="s">
        <v>639</v>
      </c>
      <c r="E134" s="81" t="s">
        <v>3520</v>
      </c>
      <c r="F134" s="81" t="s">
        <v>74</v>
      </c>
      <c r="G134" s="81" t="s">
        <v>3520</v>
      </c>
      <c r="H134" s="77" t="s">
        <v>3570</v>
      </c>
      <c r="I134" s="77" t="s">
        <v>3592</v>
      </c>
      <c r="J134" s="77" t="s">
        <v>457</v>
      </c>
      <c r="K134" s="77"/>
      <c r="L134" s="77"/>
      <c r="M134" s="82" t="s">
        <v>3501</v>
      </c>
      <c r="N134" s="103"/>
    </row>
    <row r="135" spans="1:14">
      <c r="A135" s="101" t="s">
        <v>537</v>
      </c>
      <c r="B135" s="81" t="s">
        <v>654</v>
      </c>
      <c r="C135" s="81" t="s">
        <v>276</v>
      </c>
      <c r="D135" s="81" t="s">
        <v>655</v>
      </c>
      <c r="E135" s="81" t="s">
        <v>3664</v>
      </c>
      <c r="F135" s="81" t="s">
        <v>3665</v>
      </c>
      <c r="G135" s="81" t="s">
        <v>3666</v>
      </c>
      <c r="H135" s="77" t="s">
        <v>3570</v>
      </c>
      <c r="I135" s="77" t="s">
        <v>3592</v>
      </c>
      <c r="J135" s="77" t="s">
        <v>457</v>
      </c>
      <c r="K135" s="77"/>
      <c r="L135" s="77"/>
      <c r="M135" s="82" t="s">
        <v>3501</v>
      </c>
      <c r="N135" s="103"/>
    </row>
    <row r="136" spans="1:14" ht="17.5">
      <c r="A136" s="101" t="s">
        <v>540</v>
      </c>
      <c r="B136" s="84" t="s">
        <v>442</v>
      </c>
      <c r="C136" s="84" t="s">
        <v>154</v>
      </c>
      <c r="D136" s="85" t="s">
        <v>675</v>
      </c>
      <c r="E136" s="85" t="s">
        <v>3521</v>
      </c>
      <c r="F136" s="86" t="s">
        <v>68</v>
      </c>
      <c r="G136" s="86" t="s">
        <v>3521</v>
      </c>
      <c r="H136" s="95" t="s">
        <v>3627</v>
      </c>
      <c r="I136" s="95" t="s">
        <v>3602</v>
      </c>
      <c r="J136" s="95" t="s">
        <v>457</v>
      </c>
      <c r="K136" s="78">
        <v>44015</v>
      </c>
      <c r="L136" s="95"/>
      <c r="M136" s="87" t="s">
        <v>3501</v>
      </c>
      <c r="N136" s="92" t="s">
        <v>321</v>
      </c>
    </row>
    <row r="137" spans="1:14">
      <c r="A137" s="101" t="s">
        <v>542</v>
      </c>
      <c r="B137" s="81" t="s">
        <v>648</v>
      </c>
      <c r="C137" s="81" t="s">
        <v>276</v>
      </c>
      <c r="D137" s="81" t="s">
        <v>649</v>
      </c>
      <c r="E137" s="81" t="s">
        <v>3608</v>
      </c>
      <c r="F137" s="81" t="s">
        <v>72</v>
      </c>
      <c r="G137" s="81" t="s">
        <v>3608</v>
      </c>
      <c r="H137" s="77" t="s">
        <v>106</v>
      </c>
      <c r="I137" s="77" t="s">
        <v>3592</v>
      </c>
      <c r="J137" s="77" t="s">
        <v>457</v>
      </c>
      <c r="K137" s="77"/>
      <c r="L137" s="77"/>
      <c r="M137" s="82"/>
      <c r="N137" s="103"/>
    </row>
    <row r="138" spans="1:14">
      <c r="A138" s="101" t="s">
        <v>543</v>
      </c>
      <c r="B138" s="81" t="s">
        <v>669</v>
      </c>
      <c r="C138" s="81" t="s">
        <v>276</v>
      </c>
      <c r="D138" s="81" t="s">
        <v>649</v>
      </c>
      <c r="E138" s="81" t="s">
        <v>3608</v>
      </c>
      <c r="F138" s="81" t="s">
        <v>72</v>
      </c>
      <c r="G138" s="81" t="s">
        <v>3608</v>
      </c>
      <c r="H138" s="77" t="s">
        <v>106</v>
      </c>
      <c r="I138" s="77" t="s">
        <v>3592</v>
      </c>
      <c r="J138" s="77" t="s">
        <v>457</v>
      </c>
      <c r="K138" s="77"/>
      <c r="L138" s="77"/>
      <c r="M138" s="82"/>
      <c r="N138" s="103"/>
    </row>
    <row r="139" spans="1:14">
      <c r="A139" s="101" t="s">
        <v>545</v>
      </c>
      <c r="B139" s="81" t="s">
        <v>680</v>
      </c>
      <c r="C139" s="81" t="s">
        <v>276</v>
      </c>
      <c r="D139" s="81" t="s">
        <v>649</v>
      </c>
      <c r="E139" s="81" t="s">
        <v>3608</v>
      </c>
      <c r="F139" s="81" t="s">
        <v>72</v>
      </c>
      <c r="G139" s="81" t="s">
        <v>3608</v>
      </c>
      <c r="H139" s="77" t="s">
        <v>106</v>
      </c>
      <c r="I139" s="77" t="s">
        <v>3592</v>
      </c>
      <c r="J139" s="77" t="s">
        <v>457</v>
      </c>
      <c r="K139" s="77"/>
      <c r="L139" s="77"/>
      <c r="M139" s="82"/>
      <c r="N139" s="103"/>
    </row>
    <row r="140" spans="1:14">
      <c r="A140" s="101" t="s">
        <v>546</v>
      </c>
      <c r="B140" s="81" t="s">
        <v>855</v>
      </c>
      <c r="C140" s="81" t="s">
        <v>276</v>
      </c>
      <c r="D140" s="81" t="s">
        <v>85</v>
      </c>
      <c r="E140" s="81" t="s">
        <v>3525</v>
      </c>
      <c r="F140" s="81" t="s">
        <v>77</v>
      </c>
      <c r="G140" s="81" t="s">
        <v>3525</v>
      </c>
      <c r="H140" s="77" t="s">
        <v>3667</v>
      </c>
      <c r="I140" s="77" t="s">
        <v>3625</v>
      </c>
      <c r="J140" s="77" t="s">
        <v>457</v>
      </c>
      <c r="K140" s="77"/>
      <c r="L140" s="77"/>
      <c r="M140" s="82" t="s">
        <v>3501</v>
      </c>
      <c r="N140" s="103"/>
    </row>
    <row r="141" spans="1:14">
      <c r="A141" s="101" t="s">
        <v>318</v>
      </c>
      <c r="B141" s="81" t="s">
        <v>853</v>
      </c>
      <c r="C141" s="81" t="s">
        <v>276</v>
      </c>
      <c r="D141" s="81" t="s">
        <v>85</v>
      </c>
      <c r="E141" s="81" t="s">
        <v>3525</v>
      </c>
      <c r="F141" s="81" t="s">
        <v>77</v>
      </c>
      <c r="G141" s="81" t="s">
        <v>3525</v>
      </c>
      <c r="H141" s="77" t="s">
        <v>3667</v>
      </c>
      <c r="I141" s="77" t="s">
        <v>3625</v>
      </c>
      <c r="J141" s="77" t="s">
        <v>457</v>
      </c>
      <c r="K141" s="77"/>
      <c r="L141" s="77"/>
      <c r="M141" s="82" t="s">
        <v>3501</v>
      </c>
      <c r="N141" s="103"/>
    </row>
    <row r="142" spans="1:14" ht="17.5">
      <c r="A142" s="101" t="s">
        <v>320</v>
      </c>
      <c r="B142" s="84" t="s">
        <v>665</v>
      </c>
      <c r="C142" s="84" t="s">
        <v>154</v>
      </c>
      <c r="D142" s="85" t="s">
        <v>81</v>
      </c>
      <c r="E142" s="85" t="s">
        <v>3626</v>
      </c>
      <c r="F142" s="86" t="s">
        <v>81</v>
      </c>
      <c r="G142" s="86" t="s">
        <v>3626</v>
      </c>
      <c r="H142" s="77" t="s">
        <v>106</v>
      </c>
      <c r="I142" s="77" t="s">
        <v>3592</v>
      </c>
      <c r="J142" s="77" t="s">
        <v>457</v>
      </c>
      <c r="K142" s="78">
        <v>44015</v>
      </c>
      <c r="L142" s="77"/>
      <c r="M142" s="73" t="s">
        <v>3501</v>
      </c>
      <c r="N142" s="92" t="s">
        <v>634</v>
      </c>
    </row>
    <row r="143" spans="1:14">
      <c r="A143" s="101" t="s">
        <v>322</v>
      </c>
      <c r="B143" s="81" t="s">
        <v>674</v>
      </c>
      <c r="C143" s="81" t="s">
        <v>154</v>
      </c>
      <c r="D143" s="81" t="s">
        <v>675</v>
      </c>
      <c r="E143" s="81" t="s">
        <v>3668</v>
      </c>
      <c r="F143" s="81" t="s">
        <v>68</v>
      </c>
      <c r="G143" s="81" t="s">
        <v>3521</v>
      </c>
      <c r="H143" s="89" t="s">
        <v>3627</v>
      </c>
      <c r="I143" s="89" t="s">
        <v>3602</v>
      </c>
      <c r="J143" s="106" t="s">
        <v>457</v>
      </c>
      <c r="K143" s="106"/>
      <c r="L143" s="106"/>
      <c r="M143" s="82" t="s">
        <v>3518</v>
      </c>
      <c r="N143" s="103"/>
    </row>
    <row r="144" spans="1:14">
      <c r="A144" s="101" t="s">
        <v>549</v>
      </c>
      <c r="B144" s="107" t="s">
        <v>571</v>
      </c>
      <c r="C144" s="107" t="s">
        <v>276</v>
      </c>
      <c r="D144" s="107" t="s">
        <v>572</v>
      </c>
      <c r="E144" s="107" t="s">
        <v>3549</v>
      </c>
      <c r="F144" s="107" t="s">
        <v>57</v>
      </c>
      <c r="G144" s="107" t="s">
        <v>3497</v>
      </c>
      <c r="H144" s="108" t="s">
        <v>3669</v>
      </c>
      <c r="I144" s="108" t="s">
        <v>3514</v>
      </c>
      <c r="J144" s="108" t="s">
        <v>457</v>
      </c>
      <c r="K144" s="108"/>
      <c r="L144" s="108"/>
      <c r="M144" s="109" t="s">
        <v>3518</v>
      </c>
      <c r="N144" s="103"/>
    </row>
    <row r="145" spans="1:14">
      <c r="A145" s="101" t="s">
        <v>551</v>
      </c>
      <c r="B145" s="81" t="s">
        <v>573</v>
      </c>
      <c r="C145" s="81" t="s">
        <v>276</v>
      </c>
      <c r="D145" s="81" t="s">
        <v>572</v>
      </c>
      <c r="E145" s="81" t="s">
        <v>3549</v>
      </c>
      <c r="F145" s="81" t="s">
        <v>57</v>
      </c>
      <c r="G145" s="81" t="s">
        <v>3497</v>
      </c>
      <c r="H145" s="77" t="s">
        <v>3669</v>
      </c>
      <c r="I145" s="77" t="s">
        <v>3514</v>
      </c>
      <c r="J145" s="77" t="s">
        <v>457</v>
      </c>
      <c r="K145" s="77"/>
      <c r="L145" s="77"/>
      <c r="M145" s="82" t="s">
        <v>3518</v>
      </c>
      <c r="N145" s="103"/>
    </row>
    <row r="146" spans="1:14">
      <c r="A146" s="101" t="s">
        <v>327</v>
      </c>
      <c r="B146" s="84" t="s">
        <v>349</v>
      </c>
      <c r="C146" s="84" t="s">
        <v>276</v>
      </c>
      <c r="D146" s="85" t="s">
        <v>22</v>
      </c>
      <c r="E146" s="85" t="s">
        <v>3526</v>
      </c>
      <c r="F146" s="86" t="s">
        <v>22</v>
      </c>
      <c r="G146" s="86" t="s">
        <v>3526</v>
      </c>
      <c r="H146" s="77" t="s">
        <v>3670</v>
      </c>
      <c r="I146" s="77" t="s">
        <v>3514</v>
      </c>
      <c r="J146" s="77" t="s">
        <v>457</v>
      </c>
      <c r="K146" s="78">
        <v>44057</v>
      </c>
      <c r="L146" s="77"/>
      <c r="M146" s="93" t="s">
        <v>3501</v>
      </c>
      <c r="N146" s="94" t="s">
        <v>3671</v>
      </c>
    </row>
    <row r="147" spans="1:14">
      <c r="A147" s="101" t="s">
        <v>329</v>
      </c>
      <c r="B147" s="84" t="s">
        <v>366</v>
      </c>
      <c r="C147" s="84" t="s">
        <v>154</v>
      </c>
      <c r="D147" s="85" t="s">
        <v>345</v>
      </c>
      <c r="E147" s="85" t="s">
        <v>3525</v>
      </c>
      <c r="F147" s="86" t="s">
        <v>22</v>
      </c>
      <c r="G147" s="86" t="s">
        <v>3526</v>
      </c>
      <c r="H147" s="77" t="s">
        <v>3670</v>
      </c>
      <c r="I147" s="77" t="s">
        <v>3514</v>
      </c>
      <c r="J147" s="77" t="s">
        <v>457</v>
      </c>
      <c r="K147" s="78">
        <v>44057</v>
      </c>
      <c r="L147" s="77"/>
      <c r="M147" s="93" t="s">
        <v>3501</v>
      </c>
      <c r="N147" s="94" t="s">
        <v>3672</v>
      </c>
    </row>
    <row r="148" spans="1:14">
      <c r="A148" s="101" t="s">
        <v>341</v>
      </c>
      <c r="B148" s="84" t="s">
        <v>373</v>
      </c>
      <c r="C148" s="84" t="s">
        <v>276</v>
      </c>
      <c r="D148" s="85" t="s">
        <v>22</v>
      </c>
      <c r="E148" s="85" t="s">
        <v>3526</v>
      </c>
      <c r="F148" s="86" t="s">
        <v>22</v>
      </c>
      <c r="G148" s="86" t="s">
        <v>3526</v>
      </c>
      <c r="H148" s="77" t="s">
        <v>3673</v>
      </c>
      <c r="I148" s="77" t="s">
        <v>3514</v>
      </c>
      <c r="J148" s="77" t="s">
        <v>457</v>
      </c>
      <c r="K148" s="78">
        <v>44057</v>
      </c>
      <c r="L148" s="77"/>
      <c r="M148" s="93" t="s">
        <v>3501</v>
      </c>
      <c r="N148" s="94" t="s">
        <v>3671</v>
      </c>
    </row>
    <row r="149" spans="1:14">
      <c r="A149" s="101" t="s">
        <v>315</v>
      </c>
      <c r="B149" s="107" t="s">
        <v>377</v>
      </c>
      <c r="C149" s="107" t="s">
        <v>276</v>
      </c>
      <c r="D149" s="107" t="s">
        <v>22</v>
      </c>
      <c r="E149" s="107" t="s">
        <v>3526</v>
      </c>
      <c r="F149" s="107" t="s">
        <v>22</v>
      </c>
      <c r="G149" s="107" t="s">
        <v>3526</v>
      </c>
      <c r="H149" s="108" t="s">
        <v>3669</v>
      </c>
      <c r="I149" s="108" t="s">
        <v>3514</v>
      </c>
      <c r="J149" s="108" t="s">
        <v>457</v>
      </c>
      <c r="K149" s="108"/>
      <c r="L149" s="108"/>
      <c r="M149" s="109" t="s">
        <v>3518</v>
      </c>
      <c r="N149" s="103"/>
    </row>
    <row r="150" spans="1:14">
      <c r="A150" s="101" t="s">
        <v>557</v>
      </c>
      <c r="B150" s="84" t="s">
        <v>380</v>
      </c>
      <c r="C150" s="84" t="s">
        <v>276</v>
      </c>
      <c r="D150" s="85" t="s">
        <v>22</v>
      </c>
      <c r="E150" s="85" t="s">
        <v>3526</v>
      </c>
      <c r="F150" s="86" t="s">
        <v>22</v>
      </c>
      <c r="G150" s="86" t="s">
        <v>3526</v>
      </c>
      <c r="H150" s="77" t="s">
        <v>3670</v>
      </c>
      <c r="I150" s="77" t="s">
        <v>3514</v>
      </c>
      <c r="J150" s="77" t="s">
        <v>457</v>
      </c>
      <c r="K150" s="78">
        <v>44057</v>
      </c>
      <c r="L150" s="77"/>
      <c r="M150" s="93" t="s">
        <v>3501</v>
      </c>
      <c r="N150" s="94" t="s">
        <v>3671</v>
      </c>
    </row>
    <row r="151" spans="1:14">
      <c r="A151" s="101" t="s">
        <v>349</v>
      </c>
      <c r="B151" s="76" t="s">
        <v>355</v>
      </c>
      <c r="C151" s="76" t="s">
        <v>276</v>
      </c>
      <c r="D151" s="76" t="s">
        <v>25</v>
      </c>
      <c r="E151" s="76" t="s">
        <v>3497</v>
      </c>
      <c r="F151" s="76" t="s">
        <v>25</v>
      </c>
      <c r="G151" s="76" t="s">
        <v>3497</v>
      </c>
      <c r="H151" s="77" t="s">
        <v>3543</v>
      </c>
      <c r="I151" s="77" t="s">
        <v>3514</v>
      </c>
      <c r="J151" s="77" t="s">
        <v>457</v>
      </c>
      <c r="K151" s="78">
        <v>44015</v>
      </c>
      <c r="L151" s="77"/>
      <c r="M151" s="79" t="s">
        <v>3501</v>
      </c>
      <c r="N151" s="98" t="s">
        <v>3674</v>
      </c>
    </row>
    <row r="152" spans="1:14">
      <c r="A152" s="101" t="s">
        <v>352</v>
      </c>
      <c r="B152" s="110" t="s">
        <v>374</v>
      </c>
      <c r="C152" s="110" t="s">
        <v>276</v>
      </c>
      <c r="D152" s="85" t="s">
        <v>25</v>
      </c>
      <c r="E152" s="85" t="s">
        <v>25</v>
      </c>
      <c r="F152" s="86" t="s">
        <v>25</v>
      </c>
      <c r="G152" s="86" t="s">
        <v>25</v>
      </c>
      <c r="H152" s="108" t="s">
        <v>3675</v>
      </c>
      <c r="I152" s="108" t="s">
        <v>3514</v>
      </c>
      <c r="J152" s="108" t="s">
        <v>457</v>
      </c>
      <c r="K152" s="108"/>
      <c r="L152" s="108"/>
      <c r="M152" s="111" t="s">
        <v>3518</v>
      </c>
      <c r="N152" s="94" t="s">
        <v>3676</v>
      </c>
    </row>
    <row r="153" spans="1:14">
      <c r="A153" s="101" t="s">
        <v>355</v>
      </c>
      <c r="B153" s="84" t="s">
        <v>315</v>
      </c>
      <c r="C153" s="84" t="s">
        <v>276</v>
      </c>
      <c r="D153" s="85" t="s">
        <v>45</v>
      </c>
      <c r="E153" s="85" t="s">
        <v>3677</v>
      </c>
      <c r="F153" s="86" t="s">
        <v>59</v>
      </c>
      <c r="G153" s="86" t="s">
        <v>3635</v>
      </c>
      <c r="H153" s="77" t="s">
        <v>3543</v>
      </c>
      <c r="I153" s="77" t="s">
        <v>3514</v>
      </c>
      <c r="J153" s="77" t="s">
        <v>457</v>
      </c>
      <c r="K153" s="78">
        <v>44057</v>
      </c>
      <c r="L153" s="77"/>
      <c r="M153" s="87" t="s">
        <v>3501</v>
      </c>
      <c r="N153" s="77" t="s">
        <v>3678</v>
      </c>
    </row>
    <row r="154" spans="1:14">
      <c r="A154" s="101" t="s">
        <v>559</v>
      </c>
      <c r="B154" s="107" t="s">
        <v>3679</v>
      </c>
      <c r="C154" s="107" t="s">
        <v>154</v>
      </c>
      <c r="D154" s="107" t="s">
        <v>930</v>
      </c>
      <c r="E154" s="107" t="s">
        <v>3588</v>
      </c>
      <c r="F154" s="107" t="s">
        <v>56</v>
      </c>
      <c r="G154" s="107" t="s">
        <v>3526</v>
      </c>
      <c r="H154" s="108" t="s">
        <v>3680</v>
      </c>
      <c r="I154" s="108" t="s">
        <v>3514</v>
      </c>
      <c r="J154" s="108" t="s">
        <v>457</v>
      </c>
      <c r="K154" s="108"/>
      <c r="L154" s="108"/>
      <c r="M154" s="109" t="s">
        <v>3518</v>
      </c>
      <c r="N154" s="83" t="s">
        <v>3561</v>
      </c>
    </row>
    <row r="155" spans="1:14">
      <c r="A155" s="101" t="s">
        <v>561</v>
      </c>
      <c r="B155" s="84" t="s">
        <v>365</v>
      </c>
      <c r="C155" s="84" t="s">
        <v>276</v>
      </c>
      <c r="D155" s="85" t="s">
        <v>41</v>
      </c>
      <c r="E155" s="85" t="s">
        <v>3526</v>
      </c>
      <c r="F155" s="86" t="s">
        <v>56</v>
      </c>
      <c r="G155" s="86" t="s">
        <v>3526</v>
      </c>
      <c r="H155" s="77" t="s">
        <v>3681</v>
      </c>
      <c r="I155" s="77" t="s">
        <v>3514</v>
      </c>
      <c r="J155" s="77" t="s">
        <v>457</v>
      </c>
      <c r="K155" s="78">
        <v>44057</v>
      </c>
      <c r="L155" s="77"/>
      <c r="M155" s="93" t="s">
        <v>3501</v>
      </c>
      <c r="N155" s="77" t="s">
        <v>3590</v>
      </c>
    </row>
    <row r="156" spans="1:14">
      <c r="A156" s="101" t="s">
        <v>357</v>
      </c>
      <c r="B156" s="107" t="s">
        <v>3682</v>
      </c>
      <c r="C156" s="107" t="s">
        <v>276</v>
      </c>
      <c r="D156" s="107" t="s">
        <v>968</v>
      </c>
      <c r="E156" s="107" t="s">
        <v>3526</v>
      </c>
      <c r="F156" s="107" t="s">
        <v>56</v>
      </c>
      <c r="G156" s="107" t="s">
        <v>3526</v>
      </c>
      <c r="H156" s="108" t="s">
        <v>3669</v>
      </c>
      <c r="I156" s="108" t="s">
        <v>3514</v>
      </c>
      <c r="J156" s="108" t="s">
        <v>457</v>
      </c>
      <c r="K156" s="108"/>
      <c r="L156" s="108"/>
      <c r="M156" s="109" t="s">
        <v>3518</v>
      </c>
      <c r="N156" s="83" t="s">
        <v>3561</v>
      </c>
    </row>
    <row r="157" spans="1:14">
      <c r="A157" s="101" t="s">
        <v>359</v>
      </c>
      <c r="B157" s="81" t="s">
        <v>3683</v>
      </c>
      <c r="C157" s="81" t="s">
        <v>276</v>
      </c>
      <c r="D157" s="81" t="s">
        <v>968</v>
      </c>
      <c r="E157" s="81" t="s">
        <v>3526</v>
      </c>
      <c r="F157" s="81" t="s">
        <v>56</v>
      </c>
      <c r="G157" s="81" t="s">
        <v>3526</v>
      </c>
      <c r="H157" s="77" t="s">
        <v>3669</v>
      </c>
      <c r="I157" s="77" t="s">
        <v>3514</v>
      </c>
      <c r="J157" s="77" t="s">
        <v>457</v>
      </c>
      <c r="K157" s="77"/>
      <c r="L157" s="77"/>
      <c r="M157" s="82" t="s">
        <v>3518</v>
      </c>
      <c r="N157" s="83" t="s">
        <v>3561</v>
      </c>
    </row>
    <row r="158" spans="1:14">
      <c r="A158" s="101" t="s">
        <v>360</v>
      </c>
      <c r="B158" s="81" t="s">
        <v>3684</v>
      </c>
      <c r="C158" s="81" t="s">
        <v>276</v>
      </c>
      <c r="D158" s="81" t="s">
        <v>968</v>
      </c>
      <c r="E158" s="81" t="s">
        <v>3526</v>
      </c>
      <c r="F158" s="81" t="s">
        <v>56</v>
      </c>
      <c r="G158" s="81" t="s">
        <v>3526</v>
      </c>
      <c r="H158" s="77" t="s">
        <v>3669</v>
      </c>
      <c r="I158" s="77" t="s">
        <v>3514</v>
      </c>
      <c r="J158" s="77" t="s">
        <v>457</v>
      </c>
      <c r="K158" s="77"/>
      <c r="L158" s="77"/>
      <c r="M158" s="82" t="s">
        <v>3518</v>
      </c>
      <c r="N158" s="83" t="s">
        <v>3561</v>
      </c>
    </row>
    <row r="159" spans="1:14">
      <c r="A159" s="101" t="s">
        <v>361</v>
      </c>
      <c r="B159" s="81" t="s">
        <v>3685</v>
      </c>
      <c r="C159" s="81" t="s">
        <v>276</v>
      </c>
      <c r="D159" s="81" t="s">
        <v>968</v>
      </c>
      <c r="E159" s="81" t="s">
        <v>3526</v>
      </c>
      <c r="F159" s="81" t="s">
        <v>56</v>
      </c>
      <c r="G159" s="81" t="s">
        <v>3526</v>
      </c>
      <c r="H159" s="77" t="s">
        <v>3669</v>
      </c>
      <c r="I159" s="77" t="s">
        <v>3514</v>
      </c>
      <c r="J159" s="77" t="s">
        <v>457</v>
      </c>
      <c r="K159" s="77"/>
      <c r="L159" s="77"/>
      <c r="M159" s="82" t="s">
        <v>3518</v>
      </c>
      <c r="N159" s="83" t="s">
        <v>3561</v>
      </c>
    </row>
    <row r="160" spans="1:14">
      <c r="A160" s="101" t="s">
        <v>362</v>
      </c>
      <c r="B160" s="84" t="s">
        <v>559</v>
      </c>
      <c r="C160" s="84" t="s">
        <v>276</v>
      </c>
      <c r="D160" s="85" t="s">
        <v>466</v>
      </c>
      <c r="E160" s="85" t="s">
        <v>3497</v>
      </c>
      <c r="F160" s="86" t="s">
        <v>57</v>
      </c>
      <c r="G160" s="86" t="s">
        <v>3497</v>
      </c>
      <c r="H160" s="77" t="s">
        <v>3681</v>
      </c>
      <c r="I160" s="77" t="s">
        <v>3514</v>
      </c>
      <c r="J160" s="77" t="s">
        <v>457</v>
      </c>
      <c r="K160" s="78">
        <v>44057</v>
      </c>
      <c r="L160" s="77"/>
      <c r="M160" s="93" t="s">
        <v>3501</v>
      </c>
      <c r="N160" s="77" t="s">
        <v>3686</v>
      </c>
    </row>
    <row r="161" spans="1:14">
      <c r="A161" s="101" t="s">
        <v>363</v>
      </c>
      <c r="B161" s="84" t="s">
        <v>561</v>
      </c>
      <c r="C161" s="84" t="s">
        <v>276</v>
      </c>
      <c r="D161" s="85" t="s">
        <v>466</v>
      </c>
      <c r="E161" s="85" t="s">
        <v>3497</v>
      </c>
      <c r="F161" s="86" t="s">
        <v>57</v>
      </c>
      <c r="G161" s="86" t="s">
        <v>3497</v>
      </c>
      <c r="H161" s="77" t="s">
        <v>3681</v>
      </c>
      <c r="I161" s="77" t="s">
        <v>3514</v>
      </c>
      <c r="J161" s="77" t="s">
        <v>457</v>
      </c>
      <c r="K161" s="78">
        <v>44057</v>
      </c>
      <c r="L161" s="77"/>
      <c r="M161" s="93" t="s">
        <v>3501</v>
      </c>
      <c r="N161" s="77" t="s">
        <v>3686</v>
      </c>
    </row>
    <row r="162" spans="1:14">
      <c r="A162" s="101" t="s">
        <v>562</v>
      </c>
      <c r="B162" s="84" t="s">
        <v>562</v>
      </c>
      <c r="C162" s="84" t="s">
        <v>276</v>
      </c>
      <c r="D162" s="85" t="s">
        <v>155</v>
      </c>
      <c r="E162" s="85" t="s">
        <v>3537</v>
      </c>
      <c r="F162" s="86" t="s">
        <v>57</v>
      </c>
      <c r="G162" s="86" t="s">
        <v>3497</v>
      </c>
      <c r="H162" s="77" t="s">
        <v>3670</v>
      </c>
      <c r="I162" s="77" t="s">
        <v>3514</v>
      </c>
      <c r="J162" s="77" t="s">
        <v>457</v>
      </c>
      <c r="K162" s="78">
        <v>44057</v>
      </c>
      <c r="L162" s="77"/>
      <c r="M162" s="93" t="s">
        <v>3501</v>
      </c>
      <c r="N162" s="77" t="s">
        <v>3686</v>
      </c>
    </row>
    <row r="163" spans="1:14">
      <c r="A163" s="101" t="s">
        <v>365</v>
      </c>
      <c r="B163" s="84" t="s">
        <v>564</v>
      </c>
      <c r="C163" s="84" t="s">
        <v>276</v>
      </c>
      <c r="D163" s="85" t="s">
        <v>466</v>
      </c>
      <c r="E163" s="85" t="s">
        <v>3497</v>
      </c>
      <c r="F163" s="86" t="s">
        <v>57</v>
      </c>
      <c r="G163" s="86" t="s">
        <v>3497</v>
      </c>
      <c r="H163" s="77" t="s">
        <v>3681</v>
      </c>
      <c r="I163" s="77" t="s">
        <v>3514</v>
      </c>
      <c r="J163" s="77" t="s">
        <v>457</v>
      </c>
      <c r="K163" s="78">
        <v>44057</v>
      </c>
      <c r="L163" s="77"/>
      <c r="M163" s="93" t="s">
        <v>3501</v>
      </c>
      <c r="N163" s="77" t="s">
        <v>3686</v>
      </c>
    </row>
    <row r="164" spans="1:14">
      <c r="A164" s="101" t="s">
        <v>564</v>
      </c>
      <c r="B164" s="107" t="s">
        <v>565</v>
      </c>
      <c r="C164" s="107" t="s">
        <v>154</v>
      </c>
      <c r="D164" s="107" t="s">
        <v>567</v>
      </c>
      <c r="E164" s="107" t="s">
        <v>3537</v>
      </c>
      <c r="F164" s="107" t="s">
        <v>57</v>
      </c>
      <c r="G164" s="107" t="s">
        <v>3497</v>
      </c>
      <c r="H164" s="108" t="s">
        <v>3527</v>
      </c>
      <c r="I164" s="108" t="s">
        <v>3514</v>
      </c>
      <c r="J164" s="108" t="s">
        <v>457</v>
      </c>
      <c r="K164" s="108"/>
      <c r="L164" s="108"/>
      <c r="M164" s="109"/>
      <c r="N164" s="83"/>
    </row>
    <row r="165" spans="1:14">
      <c r="A165" s="101" t="s">
        <v>565</v>
      </c>
      <c r="B165" s="81" t="s">
        <v>378</v>
      </c>
      <c r="C165" s="81" t="s">
        <v>276</v>
      </c>
      <c r="D165" s="81" t="s">
        <v>379</v>
      </c>
      <c r="E165" s="81" t="s">
        <v>3567</v>
      </c>
      <c r="F165" s="81" t="s">
        <v>57</v>
      </c>
      <c r="G165" s="81" t="s">
        <v>3497</v>
      </c>
      <c r="H165" s="77" t="s">
        <v>3669</v>
      </c>
      <c r="I165" s="77" t="s">
        <v>3514</v>
      </c>
      <c r="J165" s="77" t="s">
        <v>457</v>
      </c>
      <c r="K165" s="77"/>
      <c r="L165" s="77"/>
      <c r="M165" s="82" t="s">
        <v>3518</v>
      </c>
      <c r="N165" s="83"/>
    </row>
    <row r="166" spans="1:14">
      <c r="A166" s="101" t="s">
        <v>366</v>
      </c>
      <c r="B166" s="84" t="s">
        <v>329</v>
      </c>
      <c r="C166" s="84" t="s">
        <v>276</v>
      </c>
      <c r="D166" s="85" t="s">
        <v>77</v>
      </c>
      <c r="E166" s="85" t="s">
        <v>3525</v>
      </c>
      <c r="F166" s="86" t="s">
        <v>77</v>
      </c>
      <c r="G166" s="86" t="s">
        <v>3525</v>
      </c>
      <c r="H166" s="77" t="s">
        <v>3687</v>
      </c>
      <c r="I166" s="77" t="s">
        <v>3514</v>
      </c>
      <c r="J166" s="77" t="s">
        <v>457</v>
      </c>
      <c r="K166" s="78">
        <v>44015</v>
      </c>
      <c r="L166" s="77"/>
      <c r="M166" s="93" t="s">
        <v>3501</v>
      </c>
      <c r="N166" s="77" t="s">
        <v>3688</v>
      </c>
    </row>
    <row r="167" spans="1:14">
      <c r="A167" s="101" t="s">
        <v>371</v>
      </c>
      <c r="B167" s="107" t="s">
        <v>557</v>
      </c>
      <c r="C167" s="107" t="s">
        <v>276</v>
      </c>
      <c r="D167" s="107" t="s">
        <v>85</v>
      </c>
      <c r="E167" s="107" t="s">
        <v>3525</v>
      </c>
      <c r="F167" s="107" t="s">
        <v>77</v>
      </c>
      <c r="G167" s="107" t="s">
        <v>3525</v>
      </c>
      <c r="H167" s="108" t="s">
        <v>3529</v>
      </c>
      <c r="I167" s="108" t="s">
        <v>3514</v>
      </c>
      <c r="J167" s="108" t="s">
        <v>457</v>
      </c>
      <c r="K167" s="108"/>
      <c r="L167" s="108"/>
      <c r="M167" s="109" t="s">
        <v>3501</v>
      </c>
      <c r="N167" s="83"/>
    </row>
    <row r="168" spans="1:14">
      <c r="A168" t="s">
        <v>534</v>
      </c>
      <c r="B168" s="81" t="s">
        <v>3689</v>
      </c>
      <c r="C168" s="81" t="s">
        <v>154</v>
      </c>
      <c r="D168" s="81" t="s">
        <v>1042</v>
      </c>
      <c r="E168" s="81" t="s">
        <v>3690</v>
      </c>
      <c r="F168" s="81" t="s">
        <v>77</v>
      </c>
      <c r="G168" s="81" t="s">
        <v>3525</v>
      </c>
      <c r="H168" s="77" t="s">
        <v>3691</v>
      </c>
      <c r="I168" s="77" t="s">
        <v>3514</v>
      </c>
      <c r="J168" s="77" t="s">
        <v>457</v>
      </c>
      <c r="K168" s="77"/>
      <c r="L168" s="77"/>
      <c r="M168" s="82" t="s">
        <v>3518</v>
      </c>
      <c r="N168" s="83" t="s">
        <v>3561</v>
      </c>
    </row>
    <row r="169" spans="1:14">
      <c r="A169" s="101" t="s">
        <v>570</v>
      </c>
      <c r="B169" s="84" t="s">
        <v>341</v>
      </c>
      <c r="C169" s="84" t="s">
        <v>276</v>
      </c>
      <c r="D169" s="85" t="s">
        <v>78</v>
      </c>
      <c r="E169" s="85" t="s">
        <v>3692</v>
      </c>
      <c r="F169" s="86" t="s">
        <v>78</v>
      </c>
      <c r="G169" s="86" t="s">
        <v>3692</v>
      </c>
      <c r="H169" s="77" t="s">
        <v>3687</v>
      </c>
      <c r="I169" s="77" t="s">
        <v>3514</v>
      </c>
      <c r="J169" s="77" t="s">
        <v>457</v>
      </c>
      <c r="K169" s="78">
        <v>44015</v>
      </c>
      <c r="L169" s="77"/>
      <c r="M169" s="93" t="s">
        <v>3501</v>
      </c>
      <c r="N169" s="77" t="s">
        <v>3693</v>
      </c>
    </row>
    <row r="170" spans="1:14">
      <c r="A170" s="101" t="s">
        <v>373</v>
      </c>
      <c r="B170" s="84" t="s">
        <v>570</v>
      </c>
      <c r="C170" s="84" t="s">
        <v>154</v>
      </c>
      <c r="D170" s="85" t="s">
        <v>1055</v>
      </c>
      <c r="E170" s="85" t="s">
        <v>3692</v>
      </c>
      <c r="F170" s="86" t="s">
        <v>78</v>
      </c>
      <c r="G170" s="86" t="s">
        <v>3692</v>
      </c>
      <c r="H170" s="77" t="s">
        <v>3694</v>
      </c>
      <c r="I170" s="77" t="s">
        <v>3514</v>
      </c>
      <c r="J170" s="77" t="s">
        <v>457</v>
      </c>
      <c r="K170" s="78">
        <v>44057</v>
      </c>
      <c r="L170" s="77"/>
      <c r="M170" s="93" t="s">
        <v>3501</v>
      </c>
      <c r="N170" s="77" t="s">
        <v>3695</v>
      </c>
    </row>
    <row r="171" spans="1:14">
      <c r="A171" s="101" t="s">
        <v>374</v>
      </c>
      <c r="B171" s="84" t="s">
        <v>357</v>
      </c>
      <c r="C171" s="84" t="s">
        <v>276</v>
      </c>
      <c r="D171" s="85" t="s">
        <v>1056</v>
      </c>
      <c r="E171" s="85" t="s">
        <v>3696</v>
      </c>
      <c r="F171" s="86" t="s">
        <v>79</v>
      </c>
      <c r="G171" s="86" t="s">
        <v>3696</v>
      </c>
      <c r="H171" s="77" t="s">
        <v>3543</v>
      </c>
      <c r="I171" s="77" t="s">
        <v>3514</v>
      </c>
      <c r="J171" s="77" t="s">
        <v>457</v>
      </c>
      <c r="K171" s="78">
        <v>44057</v>
      </c>
      <c r="L171" s="77"/>
      <c r="M171" s="93" t="s">
        <v>3501</v>
      </c>
      <c r="N171" s="77" t="s">
        <v>3697</v>
      </c>
    </row>
    <row r="172" spans="1:14">
      <c r="A172" s="101" t="s">
        <v>377</v>
      </c>
      <c r="B172" s="84" t="s">
        <v>359</v>
      </c>
      <c r="C172" s="84" t="s">
        <v>276</v>
      </c>
      <c r="D172" s="85" t="s">
        <v>1050</v>
      </c>
      <c r="E172" s="85" t="s">
        <v>3696</v>
      </c>
      <c r="F172" s="86" t="s">
        <v>79</v>
      </c>
      <c r="G172" s="86" t="s">
        <v>3696</v>
      </c>
      <c r="H172" s="77" t="s">
        <v>3543</v>
      </c>
      <c r="I172" s="77" t="s">
        <v>3514</v>
      </c>
      <c r="J172" s="77" t="s">
        <v>457</v>
      </c>
      <c r="K172" s="78">
        <v>44057</v>
      </c>
      <c r="L172" s="77"/>
      <c r="M172" s="93" t="s">
        <v>3501</v>
      </c>
      <c r="N172" s="77" t="s">
        <v>3698</v>
      </c>
    </row>
    <row r="173" spans="1:14">
      <c r="A173" s="101" t="s">
        <v>378</v>
      </c>
      <c r="B173" s="84" t="s">
        <v>360</v>
      </c>
      <c r="C173" s="84" t="s">
        <v>276</v>
      </c>
      <c r="D173" s="85" t="s">
        <v>1050</v>
      </c>
      <c r="E173" s="85" t="s">
        <v>3696</v>
      </c>
      <c r="F173" s="86" t="s">
        <v>79</v>
      </c>
      <c r="G173" s="86" t="s">
        <v>3696</v>
      </c>
      <c r="H173" s="77" t="s">
        <v>3543</v>
      </c>
      <c r="I173" s="77" t="s">
        <v>3514</v>
      </c>
      <c r="J173" s="77" t="s">
        <v>457</v>
      </c>
      <c r="K173" s="78">
        <v>44057</v>
      </c>
      <c r="L173" s="77"/>
      <c r="M173" s="93" t="s">
        <v>3501</v>
      </c>
      <c r="N173" s="77" t="s">
        <v>3698</v>
      </c>
    </row>
    <row r="174" spans="1:14">
      <c r="A174" s="101" t="s">
        <v>571</v>
      </c>
      <c r="B174" s="84" t="s">
        <v>361</v>
      </c>
      <c r="C174" s="84" t="s">
        <v>276</v>
      </c>
      <c r="D174" s="85" t="s">
        <v>1050</v>
      </c>
      <c r="E174" s="85" t="s">
        <v>3696</v>
      </c>
      <c r="F174" s="86" t="s">
        <v>79</v>
      </c>
      <c r="G174" s="86" t="s">
        <v>3696</v>
      </c>
      <c r="H174" s="77" t="s">
        <v>3543</v>
      </c>
      <c r="I174" s="77" t="s">
        <v>3514</v>
      </c>
      <c r="J174" s="77" t="s">
        <v>457</v>
      </c>
      <c r="K174" s="78">
        <v>44057</v>
      </c>
      <c r="L174" s="77"/>
      <c r="M174" s="93" t="s">
        <v>3501</v>
      </c>
      <c r="N174" s="77" t="s">
        <v>3698</v>
      </c>
    </row>
    <row r="175" spans="1:14">
      <c r="A175" s="101" t="s">
        <v>573</v>
      </c>
      <c r="B175" s="84" t="s">
        <v>362</v>
      </c>
      <c r="C175" s="84" t="s">
        <v>276</v>
      </c>
      <c r="D175" s="85" t="s">
        <v>1050</v>
      </c>
      <c r="E175" s="85" t="s">
        <v>3696</v>
      </c>
      <c r="F175" s="86" t="s">
        <v>79</v>
      </c>
      <c r="G175" s="86" t="s">
        <v>3696</v>
      </c>
      <c r="H175" s="77" t="s">
        <v>3543</v>
      </c>
      <c r="I175" s="77" t="s">
        <v>3514</v>
      </c>
      <c r="J175" s="77" t="s">
        <v>457</v>
      </c>
      <c r="K175" s="78">
        <v>44057</v>
      </c>
      <c r="L175" s="77"/>
      <c r="M175" s="93" t="s">
        <v>3501</v>
      </c>
      <c r="N175" s="77" t="s">
        <v>3698</v>
      </c>
    </row>
    <row r="176" spans="1:14">
      <c r="A176" s="101" t="s">
        <v>380</v>
      </c>
      <c r="B176" s="84" t="s">
        <v>363</v>
      </c>
      <c r="C176" s="84" t="s">
        <v>276</v>
      </c>
      <c r="D176" s="85" t="s">
        <v>1050</v>
      </c>
      <c r="E176" s="85" t="s">
        <v>3696</v>
      </c>
      <c r="F176" s="86" t="s">
        <v>79</v>
      </c>
      <c r="G176" s="86" t="s">
        <v>3696</v>
      </c>
      <c r="H176" s="77" t="s">
        <v>3543</v>
      </c>
      <c r="I176" s="77" t="s">
        <v>3514</v>
      </c>
      <c r="J176" s="77" t="s">
        <v>457</v>
      </c>
      <c r="K176" s="78">
        <v>44057</v>
      </c>
      <c r="L176" s="77"/>
      <c r="M176" s="93" t="s">
        <v>3501</v>
      </c>
      <c r="N176" s="77" t="s">
        <v>3698</v>
      </c>
    </row>
    <row r="177" spans="1:14">
      <c r="A177" s="101" t="s">
        <v>388</v>
      </c>
      <c r="B177" s="84" t="s">
        <v>371</v>
      </c>
      <c r="C177" s="84" t="s">
        <v>154</v>
      </c>
      <c r="D177" s="85" t="s">
        <v>79</v>
      </c>
      <c r="E177" s="85" t="s">
        <v>3696</v>
      </c>
      <c r="F177" s="86" t="s">
        <v>79</v>
      </c>
      <c r="G177" s="86" t="s">
        <v>3696</v>
      </c>
      <c r="H177" s="77" t="s">
        <v>3699</v>
      </c>
      <c r="I177" s="77" t="s">
        <v>3514</v>
      </c>
      <c r="J177" s="77" t="s">
        <v>457</v>
      </c>
      <c r="K177" s="78">
        <v>44057</v>
      </c>
      <c r="L177" s="77"/>
      <c r="M177" s="93" t="s">
        <v>3501</v>
      </c>
      <c r="N177" s="77" t="s">
        <v>3698</v>
      </c>
    </row>
    <row r="178" spans="1:14">
      <c r="A178" s="101" t="s">
        <v>392</v>
      </c>
      <c r="B178" s="107" t="s">
        <v>352</v>
      </c>
      <c r="C178" s="107" t="s">
        <v>154</v>
      </c>
      <c r="D178" s="112" t="s">
        <v>353</v>
      </c>
      <c r="E178" s="112"/>
      <c r="F178" s="113"/>
      <c r="G178" s="113"/>
      <c r="H178" s="108" t="s">
        <v>3670</v>
      </c>
      <c r="I178" s="108" t="s">
        <v>3514</v>
      </c>
      <c r="J178" s="108" t="s">
        <v>457</v>
      </c>
      <c r="K178" s="108"/>
      <c r="L178" s="108"/>
      <c r="M178" s="109" t="s">
        <v>3518</v>
      </c>
    </row>
    <row r="179" spans="1:14">
      <c r="A179" s="101" t="s">
        <v>394</v>
      </c>
    </row>
    <row r="180" spans="1:14">
      <c r="A180" s="101" t="s">
        <v>396</v>
      </c>
    </row>
    <row r="181" spans="1:14">
      <c r="A181" s="101" t="s">
        <v>397</v>
      </c>
    </row>
    <row r="182" spans="1:14">
      <c r="A182" s="101" t="s">
        <v>574</v>
      </c>
    </row>
    <row r="183" spans="1:14">
      <c r="A183" s="101" t="s">
        <v>576</v>
      </c>
    </row>
    <row r="184" spans="1:14">
      <c r="A184" s="101" t="s">
        <v>399</v>
      </c>
    </row>
    <row r="185" spans="1:14">
      <c r="A185" s="101" t="s">
        <v>578</v>
      </c>
    </row>
    <row r="186" spans="1:14">
      <c r="A186" s="101" t="s">
        <v>580</v>
      </c>
    </row>
    <row r="187" spans="1:14">
      <c r="A187" s="101" t="s">
        <v>598</v>
      </c>
    </row>
    <row r="188" spans="1:14">
      <c r="A188" s="101" t="s">
        <v>611</v>
      </c>
    </row>
    <row r="189" spans="1:14">
      <c r="A189" s="101" t="s">
        <v>612</v>
      </c>
    </row>
    <row r="190" spans="1:14">
      <c r="A190" s="101" t="s">
        <v>614</v>
      </c>
    </row>
    <row r="191" spans="1:14">
      <c r="A191" t="s">
        <v>3700</v>
      </c>
    </row>
    <row r="192" spans="1:14">
      <c r="A192" t="s">
        <v>585</v>
      </c>
    </row>
    <row r="193" spans="1:1">
      <c r="A193" t="s">
        <v>588</v>
      </c>
    </row>
    <row r="194" spans="1:1">
      <c r="A194" t="s">
        <v>3701</v>
      </c>
    </row>
    <row r="195" spans="1:1">
      <c r="A195" s="101" t="s">
        <v>615</v>
      </c>
    </row>
    <row r="196" spans="1:1">
      <c r="A196" t="s">
        <v>3702</v>
      </c>
    </row>
    <row r="197" spans="1:1">
      <c r="A197" t="s">
        <v>599</v>
      </c>
    </row>
    <row r="198" spans="1:1">
      <c r="A198" t="s">
        <v>603</v>
      </c>
    </row>
    <row r="199" spans="1:1">
      <c r="A199" s="101" t="s">
        <v>619</v>
      </c>
    </row>
    <row r="200" spans="1:1">
      <c r="A200" s="101" t="s">
        <v>622</v>
      </c>
    </row>
    <row r="201" spans="1:1">
      <c r="A201" s="101" t="s">
        <v>625</v>
      </c>
    </row>
    <row r="202" spans="1:1">
      <c r="A202" s="101" t="s">
        <v>628</v>
      </c>
    </row>
    <row r="203" spans="1:1">
      <c r="A203" s="101" t="s">
        <v>631</v>
      </c>
    </row>
    <row r="204" spans="1:1">
      <c r="A204" s="101" t="s">
        <v>635</v>
      </c>
    </row>
    <row r="205" spans="1:1">
      <c r="A205" s="101" t="s">
        <v>637</v>
      </c>
    </row>
    <row r="206" spans="1:1">
      <c r="A206" s="101" t="s">
        <v>312</v>
      </c>
    </row>
    <row r="207" spans="1:1">
      <c r="A207" s="101" t="s">
        <v>672</v>
      </c>
    </row>
    <row r="208" spans="1:1">
      <c r="A208" s="101" t="s">
        <v>642</v>
      </c>
    </row>
    <row r="209" spans="1:1">
      <c r="A209" s="101" t="s">
        <v>644</v>
      </c>
    </row>
    <row r="210" spans="1:1">
      <c r="A210" s="101" t="s">
        <v>652</v>
      </c>
    </row>
    <row r="211" spans="1:1">
      <c r="A211" s="101" t="s">
        <v>648</v>
      </c>
    </row>
    <row r="212" spans="1:1">
      <c r="A212" s="101" t="s">
        <v>403</v>
      </c>
    </row>
    <row r="213" spans="1:1">
      <c r="A213" s="101" t="s">
        <v>474</v>
      </c>
    </row>
    <row r="214" spans="1:1">
      <c r="A214" s="101" t="s">
        <v>654</v>
      </c>
    </row>
    <row r="215" spans="1:1">
      <c r="A215" s="101" t="s">
        <v>451</v>
      </c>
    </row>
    <row r="216" spans="1:1">
      <c r="A216" s="101" t="s">
        <v>657</v>
      </c>
    </row>
    <row r="217" spans="1:1">
      <c r="A217" s="101" t="s">
        <v>659</v>
      </c>
    </row>
    <row r="218" spans="1:1">
      <c r="A218" s="101" t="s">
        <v>677</v>
      </c>
    </row>
    <row r="219" spans="1:1">
      <c r="A219" s="101" t="s">
        <v>663</v>
      </c>
    </row>
    <row r="220" spans="1:1">
      <c r="A220" s="101" t="s">
        <v>402</v>
      </c>
    </row>
    <row r="221" spans="1:1">
      <c r="A221" s="101" t="s">
        <v>665</v>
      </c>
    </row>
    <row r="222" spans="1:1">
      <c r="A222" s="101" t="s">
        <v>498</v>
      </c>
    </row>
    <row r="223" spans="1:1">
      <c r="A223" s="101" t="s">
        <v>669</v>
      </c>
    </row>
    <row r="224" spans="1:1">
      <c r="A224" s="101" t="s">
        <v>671</v>
      </c>
    </row>
    <row r="225" spans="1:1">
      <c r="A225" s="101" t="s">
        <v>661</v>
      </c>
    </row>
    <row r="226" spans="1:1">
      <c r="A226" s="101" t="s">
        <v>674</v>
      </c>
    </row>
    <row r="227" spans="1:1">
      <c r="A227" s="101" t="s">
        <v>505</v>
      </c>
    </row>
    <row r="228" spans="1:1">
      <c r="A228" s="101" t="s">
        <v>679</v>
      </c>
    </row>
    <row r="229" spans="1:1">
      <c r="A229" s="101" t="s">
        <v>680</v>
      </c>
    </row>
    <row r="230" spans="1:1">
      <c r="A230" t="s">
        <v>3703</v>
      </c>
    </row>
    <row r="231" spans="1:1">
      <c r="A231" t="s">
        <v>685</v>
      </c>
    </row>
    <row r="232" spans="1:1">
      <c r="A232" t="s">
        <v>688</v>
      </c>
    </row>
    <row r="233" spans="1:1">
      <c r="A233" t="s">
        <v>691</v>
      </c>
    </row>
    <row r="234" spans="1:1">
      <c r="A234" t="s">
        <v>698</v>
      </c>
    </row>
    <row r="235" spans="1:1">
      <c r="A235" t="s">
        <v>702</v>
      </c>
    </row>
    <row r="236" spans="1:1">
      <c r="A236" t="s">
        <v>705</v>
      </c>
    </row>
    <row r="237" spans="1:1">
      <c r="A237" t="s">
        <v>708</v>
      </c>
    </row>
    <row r="238" spans="1:1">
      <c r="A238" t="s">
        <v>714</v>
      </c>
    </row>
    <row r="239" spans="1:1">
      <c r="A239" t="s">
        <v>717</v>
      </c>
    </row>
    <row r="240" spans="1:1">
      <c r="A240" t="s">
        <v>729</v>
      </c>
    </row>
    <row r="241" spans="1:1">
      <c r="A241" t="s">
        <v>732</v>
      </c>
    </row>
    <row r="242" spans="1:1">
      <c r="A242" t="s">
        <v>735</v>
      </c>
    </row>
    <row r="243" spans="1:1">
      <c r="A243" t="s">
        <v>738</v>
      </c>
    </row>
    <row r="244" spans="1:1">
      <c r="A244" t="s">
        <v>744</v>
      </c>
    </row>
    <row r="245" spans="1:1">
      <c r="A245" t="s">
        <v>750</v>
      </c>
    </row>
    <row r="246" spans="1:1">
      <c r="A246" t="s">
        <v>756</v>
      </c>
    </row>
    <row r="247" spans="1:1">
      <c r="A247" t="s">
        <v>759</v>
      </c>
    </row>
    <row r="248" spans="1:1">
      <c r="A248" t="s">
        <v>767</v>
      </c>
    </row>
    <row r="249" spans="1:1">
      <c r="A249" t="s">
        <v>3704</v>
      </c>
    </row>
    <row r="250" spans="1:1">
      <c r="A250" t="s">
        <v>3705</v>
      </c>
    </row>
    <row r="251" spans="1:1">
      <c r="A251" s="101" t="s">
        <v>780</v>
      </c>
    </row>
    <row r="252" spans="1:1">
      <c r="A252" s="101" t="s">
        <v>783</v>
      </c>
    </row>
    <row r="253" spans="1:1">
      <c r="A253" s="101" t="s">
        <v>790</v>
      </c>
    </row>
    <row r="254" spans="1:1">
      <c r="A254" s="101" t="s">
        <v>785</v>
      </c>
    </row>
    <row r="255" spans="1:1">
      <c r="A255" s="101" t="s">
        <v>788</v>
      </c>
    </row>
    <row r="256" spans="1:1">
      <c r="A256" s="101" t="s">
        <v>795</v>
      </c>
    </row>
    <row r="257" spans="1:1">
      <c r="A257" s="101" t="s">
        <v>808</v>
      </c>
    </row>
    <row r="258" spans="1:1">
      <c r="A258" t="s">
        <v>796</v>
      </c>
    </row>
    <row r="259" spans="1:1">
      <c r="A259" s="101" t="s">
        <v>802</v>
      </c>
    </row>
    <row r="260" spans="1:1">
      <c r="A260" s="101" t="s">
        <v>818</v>
      </c>
    </row>
    <row r="261" spans="1:1">
      <c r="A261" s="101" t="s">
        <v>819</v>
      </c>
    </row>
    <row r="262" spans="1:1">
      <c r="A262" t="s">
        <v>820</v>
      </c>
    </row>
    <row r="263" spans="1:1">
      <c r="A263" s="101" t="s">
        <v>822</v>
      </c>
    </row>
    <row r="264" spans="1:1">
      <c r="A264" s="101" t="s">
        <v>826</v>
      </c>
    </row>
    <row r="265" spans="1:1">
      <c r="A265" s="101" t="s">
        <v>828</v>
      </c>
    </row>
    <row r="266" spans="1:1">
      <c r="A266" s="101" t="s">
        <v>832</v>
      </c>
    </row>
    <row r="267" spans="1:1">
      <c r="A267" s="101" t="s">
        <v>834</v>
      </c>
    </row>
    <row r="268" spans="1:1">
      <c r="A268" s="101" t="s">
        <v>836</v>
      </c>
    </row>
    <row r="269" spans="1:1">
      <c r="A269" t="s">
        <v>837</v>
      </c>
    </row>
    <row r="270" spans="1:1">
      <c r="A270" s="101" t="s">
        <v>838</v>
      </c>
    </row>
    <row r="271" spans="1:1">
      <c r="A271" s="101" t="s">
        <v>840</v>
      </c>
    </row>
    <row r="272" spans="1:1">
      <c r="A272" t="s">
        <v>850</v>
      </c>
    </row>
    <row r="273" spans="1:1">
      <c r="A273" s="101" t="s">
        <v>853</v>
      </c>
    </row>
    <row r="274" spans="1:1">
      <c r="A274" s="101" t="s">
        <v>855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6EDE-18B5-45BC-8DD5-C7F80E44BE7E}">
  <sheetPr codeName="Sheet14"/>
  <dimension ref="A1"/>
  <sheetViews>
    <sheetView workbookViewId="0">
      <selection activeCell="N22" sqref="N22"/>
    </sheetView>
  </sheetViews>
  <sheetFormatPr defaultRowHeight="14.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23437-2A55-4B19-8200-C616B4016097}">
  <sheetPr codeName="Sheet15"/>
  <dimension ref="A1:H181"/>
  <sheetViews>
    <sheetView workbookViewId="0">
      <selection activeCell="E13" sqref="E13"/>
    </sheetView>
  </sheetViews>
  <sheetFormatPr defaultRowHeight="14.5"/>
  <cols>
    <col min="1" max="1" width="30" bestFit="1" customWidth="1"/>
    <col min="2" max="2" width="27.81640625" bestFit="1" customWidth="1"/>
    <col min="5" max="5" width="11" bestFit="1" customWidth="1"/>
  </cols>
  <sheetData>
    <row r="1" spans="1:8">
      <c r="A1" t="s">
        <v>2514</v>
      </c>
      <c r="B1" t="s">
        <v>2515</v>
      </c>
      <c r="C1" t="s">
        <v>2516</v>
      </c>
      <c r="D1" t="s">
        <v>2517</v>
      </c>
      <c r="E1" t="s">
        <v>2518</v>
      </c>
      <c r="F1" t="s">
        <v>2519</v>
      </c>
      <c r="G1" t="s">
        <v>2520</v>
      </c>
      <c r="H1" t="s">
        <v>2521</v>
      </c>
    </row>
    <row r="2" spans="1:8">
      <c r="A2" t="s">
        <v>2651</v>
      </c>
      <c r="B2" t="str">
        <f>VLOOKUP(A2,MemoryAvailable!A:B,2,FALSE)</f>
        <v>dbswe02ttn-uat</v>
      </c>
      <c r="C2" t="s">
        <v>2566</v>
      </c>
      <c r="D2">
        <v>8276346.944162366</v>
      </c>
      <c r="E2">
        <v>10895319.595768999</v>
      </c>
      <c r="F2">
        <v>787712768</v>
      </c>
      <c r="G2" t="s">
        <v>3706</v>
      </c>
    </row>
    <row r="3" spans="1:8">
      <c r="A3" t="s">
        <v>2619</v>
      </c>
      <c r="B3" t="str">
        <f>VLOOKUP(A3,MemoryAvailable!A:B,2,FALSE)</f>
        <v>dbswe01ttn-uat</v>
      </c>
      <c r="C3" t="s">
        <v>2566</v>
      </c>
      <c r="D3">
        <v>7455055.7814104473</v>
      </c>
      <c r="E3">
        <v>42039273.353214107</v>
      </c>
      <c r="F3">
        <v>664638336</v>
      </c>
      <c r="G3" t="s">
        <v>3707</v>
      </c>
    </row>
    <row r="4" spans="1:8">
      <c r="A4" t="s">
        <v>2643</v>
      </c>
      <c r="B4" t="str">
        <f>VLOOKUP(A4,MemoryAvailable!A:B,2,FALSE)</f>
        <v>dbswe01ttn-test</v>
      </c>
      <c r="C4" t="s">
        <v>2566</v>
      </c>
      <c r="D4">
        <v>6760192.9016863666</v>
      </c>
      <c r="E4">
        <v>6923665.8572456939</v>
      </c>
      <c r="F4">
        <v>481829568</v>
      </c>
      <c r="G4" t="s">
        <v>3708</v>
      </c>
    </row>
    <row r="5" spans="1:8">
      <c r="A5" t="s">
        <v>2596</v>
      </c>
      <c r="B5" t="str">
        <f>VLOOKUP(A5,MemoryAvailable!A:B,2,FALSE)</f>
        <v>AZREUDBS01SLW</v>
      </c>
      <c r="C5" t="s">
        <v>2566</v>
      </c>
      <c r="D5">
        <v>6149221.1724482533</v>
      </c>
      <c r="E5">
        <v>16150149.557649083</v>
      </c>
      <c r="F5">
        <v>197164640</v>
      </c>
      <c r="G5" t="s">
        <v>3709</v>
      </c>
    </row>
    <row r="6" spans="1:8">
      <c r="A6" t="s">
        <v>2593</v>
      </c>
      <c r="B6" t="str">
        <f>VLOOKUP(A6,MemoryAvailable!A:B,2,FALSE)</f>
        <v>dbswe01ttn-prod</v>
      </c>
      <c r="C6" t="s">
        <v>2587</v>
      </c>
      <c r="D6">
        <v>5690789.8235727139</v>
      </c>
      <c r="E6">
        <v>21573714.0909614</v>
      </c>
      <c r="F6">
        <v>197991360</v>
      </c>
      <c r="G6" t="s">
        <v>3710</v>
      </c>
      <c r="H6" t="s">
        <v>2595</v>
      </c>
    </row>
    <row r="7" spans="1:8">
      <c r="A7" t="s">
        <v>2617</v>
      </c>
      <c r="B7" t="str">
        <f>VLOOKUP(A7,MemoryAvailable!A:B,2,FALSE)</f>
        <v>dbwe01sql2-prod</v>
      </c>
      <c r="C7" t="s">
        <v>2566</v>
      </c>
      <c r="D7">
        <v>3509466.5395913376</v>
      </c>
      <c r="E7">
        <v>6265572.2151412256</v>
      </c>
      <c r="F7">
        <v>431344896</v>
      </c>
      <c r="G7" t="s">
        <v>3711</v>
      </c>
    </row>
    <row r="8" spans="1:8">
      <c r="A8" t="s">
        <v>2702</v>
      </c>
      <c r="B8" t="str">
        <f>VLOOKUP(A8,MemoryAvailable!A:B,2,FALSE)</f>
        <v>dbswe02ttn-prod</v>
      </c>
      <c r="C8" t="s">
        <v>2566</v>
      </c>
      <c r="D8">
        <v>2808916.0213450911</v>
      </c>
      <c r="E8">
        <v>11774781.922928363</v>
      </c>
      <c r="F8">
        <v>434195200</v>
      </c>
      <c r="G8" t="s">
        <v>3712</v>
      </c>
    </row>
    <row r="9" spans="1:8">
      <c r="A9" t="s">
        <v>2844</v>
      </c>
      <c r="B9" t="str">
        <f>VLOOKUP(A9,MemoryAvailable!A:B,2,FALSE)</f>
        <v>dbsne03ttn-dr</v>
      </c>
      <c r="C9" t="s">
        <v>2566</v>
      </c>
      <c r="D9">
        <v>2693019.7930822265</v>
      </c>
      <c r="E9">
        <v>11620901.29083815</v>
      </c>
      <c r="F9">
        <v>458024992</v>
      </c>
      <c r="G9" t="s">
        <v>3713</v>
      </c>
    </row>
    <row r="10" spans="1:8">
      <c r="A10" t="s">
        <v>2635</v>
      </c>
      <c r="B10" t="str">
        <f>VLOOKUP(A10,MemoryAvailable!A:B,2,FALSE)</f>
        <v>Appwe01sg-prod</v>
      </c>
      <c r="C10" t="s">
        <v>2566</v>
      </c>
      <c r="D10">
        <v>930278.26656663045</v>
      </c>
      <c r="E10">
        <v>333223.03482041095</v>
      </c>
      <c r="F10">
        <v>148420944</v>
      </c>
      <c r="G10" t="s">
        <v>3714</v>
      </c>
    </row>
    <row r="11" spans="1:8">
      <c r="A11" t="s">
        <v>2717</v>
      </c>
      <c r="B11" t="str">
        <f>VLOOKUP(A11,MemoryAvailable!A:B,2,FALSE)</f>
        <v>dbwe02sql2-prod</v>
      </c>
      <c r="C11" t="s">
        <v>2566</v>
      </c>
      <c r="D11">
        <v>722643.24616064224</v>
      </c>
      <c r="E11">
        <v>1670796.6379573455</v>
      </c>
      <c r="F11">
        <v>448468128</v>
      </c>
      <c r="G11" t="s">
        <v>3715</v>
      </c>
    </row>
    <row r="12" spans="1:8">
      <c r="A12" t="s">
        <v>2835</v>
      </c>
      <c r="B12" t="str">
        <f>VLOOKUP(A12,MemoryAvailable!A:B,2,FALSE)</f>
        <v>appwe01per-prod</v>
      </c>
      <c r="C12" t="s">
        <v>2566</v>
      </c>
      <c r="D12">
        <v>714550.83254618186</v>
      </c>
      <c r="E12">
        <v>287291.32925101597</v>
      </c>
      <c r="F12">
        <v>110410400</v>
      </c>
      <c r="G12" t="s">
        <v>3716</v>
      </c>
    </row>
    <row r="13" spans="1:8">
      <c r="A13" t="s">
        <v>2669</v>
      </c>
      <c r="B13" t="str">
        <f>VLOOKUP(A13,MemoryAvailable!A:B,2,FALSE)</f>
        <v>dbne03sql2-dr</v>
      </c>
      <c r="C13" t="s">
        <v>2566</v>
      </c>
      <c r="D13">
        <v>649496.0284513568</v>
      </c>
      <c r="E13">
        <v>1493189.351999776</v>
      </c>
      <c r="F13">
        <v>210767984</v>
      </c>
      <c r="G13" t="s">
        <v>3717</v>
      </c>
    </row>
    <row r="14" spans="1:8">
      <c r="A14" t="s">
        <v>642</v>
      </c>
      <c r="B14" t="str">
        <f>VLOOKUP(A14,MemoryAvailable!A:B,2,FALSE)</f>
        <v>dbswe01mysql-prod</v>
      </c>
      <c r="C14" t="s">
        <v>2566</v>
      </c>
      <c r="D14">
        <v>454310.11240461434</v>
      </c>
      <c r="E14">
        <v>77303.978931738311</v>
      </c>
      <c r="F14">
        <v>86476085.870988697</v>
      </c>
      <c r="G14" t="s">
        <v>3718</v>
      </c>
    </row>
    <row r="15" spans="1:8">
      <c r="A15" t="s">
        <v>2582</v>
      </c>
      <c r="B15" t="str">
        <f>VLOOKUP(A15,MemoryAvailable!A:B,2,FALSE)</f>
        <v>AZRUSMON02SLW</v>
      </c>
      <c r="C15" t="s">
        <v>2566</v>
      </c>
      <c r="D15">
        <v>391347.14274971175</v>
      </c>
      <c r="E15">
        <v>1650317.1989229324</v>
      </c>
      <c r="F15">
        <v>17118464</v>
      </c>
      <c r="G15" t="s">
        <v>3719</v>
      </c>
    </row>
    <row r="16" spans="1:8">
      <c r="A16" t="s">
        <v>637</v>
      </c>
      <c r="B16" t="str">
        <f>VLOOKUP(A16,MemoryAvailable!A:B,2,FALSE)</f>
        <v>dbswe01cst-prod</v>
      </c>
      <c r="C16" t="s">
        <v>2587</v>
      </c>
      <c r="D16">
        <v>356543.9013871408</v>
      </c>
      <c r="E16">
        <v>68991.293108878235</v>
      </c>
      <c r="F16">
        <v>321805632.08298999</v>
      </c>
      <c r="G16" t="s">
        <v>3720</v>
      </c>
      <c r="H16" t="s">
        <v>2880</v>
      </c>
    </row>
    <row r="17" spans="1:8">
      <c r="A17" t="s">
        <v>2649</v>
      </c>
      <c r="B17" t="str">
        <f>VLOOKUP(A17,MemoryAvailable!A:B,2,FALSE)</f>
        <v>appwe04neo-prod</v>
      </c>
      <c r="C17" t="s">
        <v>2566</v>
      </c>
      <c r="D17">
        <v>313171.23427107232</v>
      </c>
      <c r="E17">
        <v>1133632.3478554199</v>
      </c>
      <c r="F17">
        <v>26207594</v>
      </c>
      <c r="G17" t="s">
        <v>3721</v>
      </c>
    </row>
    <row r="18" spans="1:8">
      <c r="A18" t="s">
        <v>2779</v>
      </c>
      <c r="B18" t="str">
        <f>VLOOKUP(A18,MemoryAvailable!A:B,2,FALSE)</f>
        <v>appwe02win10tst</v>
      </c>
      <c r="C18" t="s">
        <v>2566</v>
      </c>
      <c r="D18">
        <v>309542.08166497404</v>
      </c>
      <c r="E18">
        <v>252136.94791666666</v>
      </c>
      <c r="F18">
        <v>61932124</v>
      </c>
      <c r="G18" t="s">
        <v>3722</v>
      </c>
    </row>
    <row r="19" spans="1:8">
      <c r="A19" t="s">
        <v>2576</v>
      </c>
      <c r="B19" t="str">
        <f>VLOOKUP(A19,MemoryAvailable!A:B,2,FALSE)</f>
        <v>appwe01ttn-test</v>
      </c>
      <c r="C19" t="s">
        <v>2566</v>
      </c>
      <c r="D19">
        <v>293663.47251000209</v>
      </c>
      <c r="E19">
        <v>1757339.4070002472</v>
      </c>
      <c r="F19">
        <v>28217938</v>
      </c>
      <c r="G19" t="s">
        <v>3723</v>
      </c>
    </row>
    <row r="20" spans="1:8">
      <c r="A20" t="s">
        <v>2600</v>
      </c>
      <c r="B20" t="str">
        <f>VLOOKUP(A20,MemoryAvailable!A:B,2,FALSE)</f>
        <v>AZREUUIP04BOT</v>
      </c>
      <c r="C20" t="s">
        <v>2566</v>
      </c>
      <c r="D20">
        <v>286042.5360809195</v>
      </c>
      <c r="E20">
        <v>1412105.8367491565</v>
      </c>
      <c r="F20">
        <v>24093552</v>
      </c>
      <c r="G20" t="s">
        <v>3724</v>
      </c>
    </row>
    <row r="21" spans="1:8">
      <c r="A21" t="s">
        <v>2738</v>
      </c>
      <c r="B21" t="str">
        <f>VLOOKUP(A21,MemoryAvailable!A:B,2,FALSE)</f>
        <v>dbswe01sql-uat</v>
      </c>
      <c r="C21" t="s">
        <v>2566</v>
      </c>
      <c r="D21">
        <v>281273.21938271669</v>
      </c>
      <c r="E21">
        <v>224852.04881697835</v>
      </c>
      <c r="F21">
        <v>157024192</v>
      </c>
      <c r="G21" t="s">
        <v>3725</v>
      </c>
    </row>
    <row r="22" spans="1:8">
      <c r="A22" t="s">
        <v>2598</v>
      </c>
      <c r="B22" t="str">
        <f>VLOOKUP(A22,MemoryAvailable!A:B,2,FALSE)</f>
        <v>AZREUMON01SLW</v>
      </c>
      <c r="C22" t="s">
        <v>2566</v>
      </c>
      <c r="D22">
        <v>266773.72317593213</v>
      </c>
      <c r="E22">
        <v>969856.8516579502</v>
      </c>
      <c r="F22">
        <v>17624288</v>
      </c>
      <c r="G22" t="s">
        <v>3726</v>
      </c>
    </row>
    <row r="23" spans="1:8">
      <c r="A23" t="s">
        <v>2578</v>
      </c>
      <c r="B23" t="str">
        <f>VLOOKUP(A23,MemoryAvailable!A:B,2,FALSE)</f>
        <v>AZREUMON03SLW</v>
      </c>
      <c r="C23" t="s">
        <v>2566</v>
      </c>
      <c r="D23">
        <v>265218.86047073919</v>
      </c>
      <c r="E23">
        <v>951956.36874835216</v>
      </c>
      <c r="F23">
        <v>15008160</v>
      </c>
      <c r="G23" t="s">
        <v>3727</v>
      </c>
    </row>
    <row r="24" spans="1:8">
      <c r="A24" t="s">
        <v>2659</v>
      </c>
      <c r="B24" t="str">
        <f>VLOOKUP(A24,MemoryAvailable!A:B,2,FALSE)</f>
        <v>repwe02ttn-prod</v>
      </c>
      <c r="C24" t="s">
        <v>2587</v>
      </c>
      <c r="D24">
        <v>264551.61412979878</v>
      </c>
      <c r="E24">
        <v>973413.35653130536</v>
      </c>
      <c r="F24">
        <v>39142048</v>
      </c>
      <c r="G24" t="s">
        <v>3728</v>
      </c>
      <c r="H24" t="s">
        <v>2661</v>
      </c>
    </row>
    <row r="25" spans="1:8">
      <c r="A25" t="s">
        <v>2580</v>
      </c>
      <c r="B25" t="str">
        <f>VLOOKUP(A25,MemoryAvailable!A:B,2,FALSE)</f>
        <v>AZREUMON05SLW</v>
      </c>
      <c r="C25" t="s">
        <v>2566</v>
      </c>
      <c r="D25">
        <v>261507.80572525979</v>
      </c>
      <c r="E25">
        <v>969222.525689592</v>
      </c>
      <c r="F25">
        <v>16409761</v>
      </c>
      <c r="G25" t="s">
        <v>3729</v>
      </c>
    </row>
    <row r="26" spans="1:8">
      <c r="A26" t="s">
        <v>2689</v>
      </c>
      <c r="B26" t="str">
        <f>VLOOKUP(A26,MemoryAvailable!A:B,2,FALSE)</f>
        <v>appwe01cm-prod</v>
      </c>
      <c r="C26" t="s">
        <v>2566</v>
      </c>
      <c r="D26">
        <v>261449.47039804611</v>
      </c>
      <c r="E26">
        <v>845450.73058711179</v>
      </c>
      <c r="F26">
        <v>70031616</v>
      </c>
      <c r="G26" t="s">
        <v>3730</v>
      </c>
    </row>
    <row r="27" spans="1:8">
      <c r="A27" t="s">
        <v>2641</v>
      </c>
      <c r="B27" t="str">
        <f>VLOOKUP(A27,MemoryAvailable!A:B,2,FALSE)</f>
        <v>appwe02neo-prod</v>
      </c>
      <c r="C27" t="s">
        <v>2566</v>
      </c>
      <c r="D27">
        <v>260510.49613317577</v>
      </c>
      <c r="E27">
        <v>1133775.8979628845</v>
      </c>
      <c r="F27">
        <v>14630576</v>
      </c>
      <c r="G27" t="s">
        <v>3731</v>
      </c>
    </row>
    <row r="28" spans="1:8">
      <c r="A28" t="s">
        <v>2584</v>
      </c>
      <c r="B28" t="str">
        <f>VLOOKUP(A28,MemoryAvailable!A:B,2,FALSE)</f>
        <v>AZREUMON04SLW</v>
      </c>
      <c r="C28" t="s">
        <v>2566</v>
      </c>
      <c r="D28">
        <v>257937.90390674377</v>
      </c>
      <c r="E28">
        <v>934012.28085662832</v>
      </c>
      <c r="F28">
        <v>21551544</v>
      </c>
      <c r="G28" t="s">
        <v>3732</v>
      </c>
    </row>
    <row r="29" spans="1:8">
      <c r="A29" t="s">
        <v>2574</v>
      </c>
      <c r="B29" t="str">
        <f>VLOOKUP(A29,MemoryAvailable!A:B,2,FALSE)</f>
        <v>AZREUMON02SLW</v>
      </c>
      <c r="C29" t="s">
        <v>2566</v>
      </c>
      <c r="D29">
        <v>257860.55579182965</v>
      </c>
      <c r="E29">
        <v>994647.89749615535</v>
      </c>
      <c r="F29">
        <v>15188404</v>
      </c>
      <c r="G29" t="s">
        <v>3733</v>
      </c>
    </row>
    <row r="30" spans="1:8">
      <c r="A30" t="s">
        <v>2565</v>
      </c>
      <c r="B30" t="str">
        <f>VLOOKUP(A30,MemoryAvailable!A:B,2,FALSE)</f>
        <v>AZREUMON06SLW</v>
      </c>
      <c r="C30" t="s">
        <v>2566</v>
      </c>
      <c r="D30">
        <v>257742.40406528022</v>
      </c>
      <c r="E30">
        <v>993790.63662916841</v>
      </c>
      <c r="F30">
        <v>17744754</v>
      </c>
      <c r="G30" t="s">
        <v>3734</v>
      </c>
    </row>
    <row r="31" spans="1:8">
      <c r="A31" t="s">
        <v>2604</v>
      </c>
      <c r="B31" t="str">
        <f>VLOOKUP(A31,MemoryAvailable!A:B,2,FALSE)</f>
        <v>AZRUSMON04SLW</v>
      </c>
      <c r="C31" t="s">
        <v>2566</v>
      </c>
      <c r="D31">
        <v>254008.71976641324</v>
      </c>
      <c r="E31">
        <v>879609.21139642037</v>
      </c>
      <c r="F31">
        <v>16035756</v>
      </c>
      <c r="G31" t="s">
        <v>3735</v>
      </c>
    </row>
    <row r="32" spans="1:8">
      <c r="A32" t="s">
        <v>2602</v>
      </c>
      <c r="B32" t="str">
        <f>VLOOKUP(A32,MemoryAvailable!A:B,2,FALSE)</f>
        <v>AZRUSMON01SLW</v>
      </c>
      <c r="C32" t="s">
        <v>2566</v>
      </c>
      <c r="D32">
        <v>250177.13237717544</v>
      </c>
      <c r="E32">
        <v>887613.50976771023</v>
      </c>
      <c r="F32">
        <v>16559578</v>
      </c>
      <c r="G32" t="s">
        <v>3736</v>
      </c>
    </row>
    <row r="33" spans="1:8">
      <c r="A33" t="s">
        <v>2667</v>
      </c>
      <c r="B33" t="str">
        <f>VLOOKUP(A33,MemoryAvailable!A:B,2,FALSE)</f>
        <v>dbswe01sql-prod</v>
      </c>
      <c r="C33" t="s">
        <v>2566</v>
      </c>
      <c r="D33">
        <v>249801.06257138716</v>
      </c>
      <c r="E33">
        <v>395587.58021393372</v>
      </c>
      <c r="F33">
        <v>269757920</v>
      </c>
      <c r="G33" t="s">
        <v>3737</v>
      </c>
    </row>
    <row r="34" spans="1:8">
      <c r="A34" t="s">
        <v>2611</v>
      </c>
      <c r="B34" t="str">
        <f>VLOOKUP(A34,MemoryAvailable!A:B,2,FALSE)</f>
        <v>AZRAPMON02SLW</v>
      </c>
      <c r="C34" t="s">
        <v>2566</v>
      </c>
      <c r="D34">
        <v>247826.31250277208</v>
      </c>
      <c r="E34">
        <v>870825.04350856191</v>
      </c>
      <c r="F34">
        <v>29400438</v>
      </c>
      <c r="G34" t="s">
        <v>3738</v>
      </c>
    </row>
    <row r="35" spans="1:8">
      <c r="A35" t="s">
        <v>2609</v>
      </c>
      <c r="B35" t="str">
        <f>VLOOKUP(A35,MemoryAvailable!A:B,2,FALSE)</f>
        <v>AZRUSMON05SLW</v>
      </c>
      <c r="C35" t="s">
        <v>2566</v>
      </c>
      <c r="D35">
        <v>247173.71354748411</v>
      </c>
      <c r="E35">
        <v>895042.49440101616</v>
      </c>
      <c r="F35">
        <v>18843188</v>
      </c>
      <c r="G35" t="s">
        <v>3739</v>
      </c>
    </row>
    <row r="36" spans="1:8">
      <c r="A36" t="s">
        <v>2695</v>
      </c>
      <c r="B36" t="str">
        <f>VLOOKUP(A36,MemoryAvailable!A:B,2,FALSE)</f>
        <v>appwe01mim-prod</v>
      </c>
      <c r="C36" t="s">
        <v>2587</v>
      </c>
      <c r="D36">
        <v>243635.41521313935</v>
      </c>
      <c r="E36">
        <v>1029948.1585602488</v>
      </c>
      <c r="F36">
        <v>87002816</v>
      </c>
      <c r="G36" t="s">
        <v>3740</v>
      </c>
      <c r="H36" t="s">
        <v>2697</v>
      </c>
    </row>
    <row r="37" spans="1:8">
      <c r="A37" t="s">
        <v>2613</v>
      </c>
      <c r="B37" t="str">
        <f>VLOOKUP(A37,MemoryAvailable!A:B,2,FALSE)</f>
        <v>AZRAPMON01SLW</v>
      </c>
      <c r="C37" t="s">
        <v>2566</v>
      </c>
      <c r="D37">
        <v>237924.12991620394</v>
      </c>
      <c r="E37">
        <v>852422.17746274034</v>
      </c>
      <c r="F37">
        <v>16150680</v>
      </c>
      <c r="G37" t="s">
        <v>3741</v>
      </c>
    </row>
    <row r="38" spans="1:8">
      <c r="A38" t="s">
        <v>2568</v>
      </c>
      <c r="B38" t="str">
        <f>VLOOKUP(A38,MemoryAvailable!A:B,2,FALSE)</f>
        <v>v3Standrd | v3Standrd00001P</v>
      </c>
      <c r="C38" t="s">
        <v>2523</v>
      </c>
      <c r="D38">
        <v>237415.19001677437</v>
      </c>
      <c r="E38">
        <v>706741.06393756357</v>
      </c>
      <c r="F38">
        <v>7937419.5</v>
      </c>
      <c r="G38" t="s">
        <v>3742</v>
      </c>
      <c r="H38" t="s">
        <v>2570</v>
      </c>
    </row>
    <row r="39" spans="1:8">
      <c r="A39" t="s">
        <v>2637</v>
      </c>
      <c r="B39" t="str">
        <f>VLOOKUP(A39,MemoryAvailable!A:B,2,FALSE)</f>
        <v>AZREUNPS02AUT</v>
      </c>
      <c r="C39" t="s">
        <v>2566</v>
      </c>
      <c r="D39">
        <v>237318.18893883211</v>
      </c>
      <c r="E39">
        <v>959883.29032211634</v>
      </c>
      <c r="F39">
        <v>11972641</v>
      </c>
      <c r="G39" t="s">
        <v>3743</v>
      </c>
    </row>
    <row r="40" spans="1:8">
      <c r="A40" t="s">
        <v>2559</v>
      </c>
      <c r="B40" t="str">
        <f>VLOOKUP(A40,MemoryAvailable!A:B,2,FALSE)</f>
        <v>v3Standrd | v3Standrd00001R</v>
      </c>
      <c r="C40" t="s">
        <v>2523</v>
      </c>
      <c r="D40">
        <v>232113.80316673798</v>
      </c>
      <c r="E40">
        <v>665038.47340707493</v>
      </c>
      <c r="F40">
        <v>12352647</v>
      </c>
      <c r="G40" t="s">
        <v>3744</v>
      </c>
      <c r="H40" t="s">
        <v>2561</v>
      </c>
    </row>
    <row r="41" spans="1:8">
      <c r="A41" t="s">
        <v>2532</v>
      </c>
      <c r="B41" t="str">
        <f>VLOOKUP(A41,MemoryAvailable!A:B,2,FALSE)</f>
        <v>v3Standrd | v3Standrd000004</v>
      </c>
      <c r="C41" t="s">
        <v>2523</v>
      </c>
      <c r="D41">
        <v>230458.42500670432</v>
      </c>
      <c r="E41">
        <v>694245.79150585947</v>
      </c>
      <c r="F41">
        <v>10147047</v>
      </c>
      <c r="G41" t="s">
        <v>3745</v>
      </c>
      <c r="H41" t="s">
        <v>2534</v>
      </c>
    </row>
    <row r="42" spans="1:8">
      <c r="A42" t="s">
        <v>2562</v>
      </c>
      <c r="B42" t="str">
        <f>VLOOKUP(A42,MemoryAvailable!A:B,2,FALSE)</f>
        <v>v3Standrd | v3Standrd00001Q</v>
      </c>
      <c r="C42" t="s">
        <v>2523</v>
      </c>
      <c r="D42">
        <v>229555.06021750357</v>
      </c>
      <c r="E42">
        <v>668274.26524451631</v>
      </c>
      <c r="F42">
        <v>8925989</v>
      </c>
      <c r="G42" t="s">
        <v>3746</v>
      </c>
      <c r="H42" t="s">
        <v>2564</v>
      </c>
    </row>
    <row r="43" spans="1:8">
      <c r="A43" t="s">
        <v>2556</v>
      </c>
      <c r="B43" t="str">
        <f>VLOOKUP(A43,MemoryAvailable!A:B,2,FALSE)</f>
        <v>v3Standrd | v3Standrd00001N</v>
      </c>
      <c r="C43" t="s">
        <v>2523</v>
      </c>
      <c r="D43">
        <v>227110.97447786469</v>
      </c>
      <c r="E43">
        <v>649228.03434999438</v>
      </c>
      <c r="F43">
        <v>13727922</v>
      </c>
      <c r="G43" t="s">
        <v>3747</v>
      </c>
      <c r="H43" t="s">
        <v>2558</v>
      </c>
    </row>
    <row r="44" spans="1:8">
      <c r="A44" t="s">
        <v>2629</v>
      </c>
      <c r="B44" t="str">
        <f>VLOOKUP(A44,MemoryAvailable!A:B,2,FALSE)</f>
        <v>AZRAPMON03SLW</v>
      </c>
      <c r="C44" t="s">
        <v>2566</v>
      </c>
      <c r="D44">
        <v>226242.76769784885</v>
      </c>
      <c r="E44">
        <v>803625.89326657401</v>
      </c>
      <c r="F44">
        <v>16603367</v>
      </c>
      <c r="G44" t="s">
        <v>3748</v>
      </c>
    </row>
    <row r="45" spans="1:8">
      <c r="A45" t="s">
        <v>2553</v>
      </c>
      <c r="B45" t="str">
        <f>VLOOKUP(A45,MemoryAvailable!A:B,2,FALSE)</f>
        <v>v3Standrd | v3Standrd00001J</v>
      </c>
      <c r="C45" t="s">
        <v>2523</v>
      </c>
      <c r="D45">
        <v>221028.2229962323</v>
      </c>
      <c r="E45">
        <v>630052.46041627449</v>
      </c>
      <c r="F45">
        <v>7018245</v>
      </c>
      <c r="G45" t="s">
        <v>3749</v>
      </c>
      <c r="H45" t="s">
        <v>2555</v>
      </c>
    </row>
    <row r="46" spans="1:8">
      <c r="A46" t="s">
        <v>2522</v>
      </c>
      <c r="B46" t="str">
        <f>VLOOKUP(A46,MemoryAvailable!A:B,2,FALSE)</f>
        <v>v3Standrd | v3Standrd000000</v>
      </c>
      <c r="C46" t="s">
        <v>2523</v>
      </c>
      <c r="D46">
        <v>220840.05510169835</v>
      </c>
      <c r="E46">
        <v>659602.32695965632</v>
      </c>
      <c r="F46">
        <v>9490155</v>
      </c>
      <c r="G46" t="s">
        <v>3750</v>
      </c>
      <c r="H46" t="s">
        <v>2525</v>
      </c>
    </row>
    <row r="47" spans="1:8">
      <c r="A47" t="s">
        <v>2541</v>
      </c>
      <c r="B47" t="str">
        <f>VLOOKUP(A47,MemoryAvailable!A:B,2,FALSE)</f>
        <v>v3Standrd | v3Standrd00001S</v>
      </c>
      <c r="C47" t="s">
        <v>2523</v>
      </c>
      <c r="D47">
        <v>220028.84209236348</v>
      </c>
      <c r="E47">
        <v>622664.97249862796</v>
      </c>
      <c r="F47">
        <v>8052319</v>
      </c>
      <c r="G47" t="s">
        <v>3751</v>
      </c>
      <c r="H47" t="s">
        <v>2543</v>
      </c>
    </row>
    <row r="48" spans="1:8">
      <c r="A48" t="s">
        <v>2550</v>
      </c>
      <c r="B48" t="str">
        <f>VLOOKUP(A48,MemoryAvailable!A:B,2,FALSE)</f>
        <v>v3Standrd | v3Standrd00001M</v>
      </c>
      <c r="C48" t="s">
        <v>2523</v>
      </c>
      <c r="D48">
        <v>218654.19775234247</v>
      </c>
      <c r="E48">
        <v>627939.34580403671</v>
      </c>
      <c r="F48">
        <v>20006826</v>
      </c>
      <c r="G48" t="s">
        <v>3752</v>
      </c>
      <c r="H48" t="s">
        <v>2552</v>
      </c>
    </row>
    <row r="49" spans="1:8">
      <c r="A49" t="s">
        <v>2538</v>
      </c>
      <c r="B49" t="str">
        <f>VLOOKUP(A49,MemoryAvailable!A:B,2,FALSE)</f>
        <v>v3Standrd | v3Standrd00001K</v>
      </c>
      <c r="C49" t="s">
        <v>2523</v>
      </c>
      <c r="D49">
        <v>218423.30990693474</v>
      </c>
      <c r="E49">
        <v>613627.93772320438</v>
      </c>
      <c r="F49">
        <v>9034089</v>
      </c>
      <c r="G49" t="s">
        <v>3753</v>
      </c>
      <c r="H49" t="s">
        <v>2540</v>
      </c>
    </row>
    <row r="50" spans="1:8">
      <c r="A50" t="s">
        <v>2672</v>
      </c>
      <c r="B50" t="str">
        <f>VLOOKUP(A50,MemoryAvailable!A:B,2,FALSE)</f>
        <v>repwe01ttn-prod</v>
      </c>
      <c r="C50" t="s">
        <v>2587</v>
      </c>
      <c r="D50">
        <v>217995.50325834748</v>
      </c>
      <c r="E50">
        <v>736363.02192669839</v>
      </c>
      <c r="F50">
        <v>48232616</v>
      </c>
      <c r="G50" t="s">
        <v>3754</v>
      </c>
      <c r="H50" t="s">
        <v>2674</v>
      </c>
    </row>
    <row r="51" spans="1:8">
      <c r="A51" t="s">
        <v>2544</v>
      </c>
      <c r="B51" t="str">
        <f>VLOOKUP(A51,MemoryAvailable!A:B,2,FALSE)</f>
        <v>v3Standrd | v3Standrd00001L</v>
      </c>
      <c r="C51" t="s">
        <v>2523</v>
      </c>
      <c r="D51">
        <v>217861.61016791326</v>
      </c>
      <c r="E51">
        <v>616929.77318453684</v>
      </c>
      <c r="F51">
        <v>8073948.5</v>
      </c>
      <c r="G51" t="s">
        <v>3755</v>
      </c>
      <c r="H51" t="s">
        <v>2546</v>
      </c>
    </row>
    <row r="52" spans="1:8">
      <c r="A52" t="s">
        <v>2535</v>
      </c>
      <c r="B52" t="str">
        <f>VLOOKUP(A52,MemoryAvailable!A:B,2,FALSE)</f>
        <v>v3Standrd | v3Standrd000003</v>
      </c>
      <c r="C52" t="s">
        <v>2523</v>
      </c>
      <c r="D52">
        <v>217714.32151753688</v>
      </c>
      <c r="E52">
        <v>631586.9374509952</v>
      </c>
      <c r="F52">
        <v>7536393</v>
      </c>
      <c r="G52" t="s">
        <v>3756</v>
      </c>
      <c r="H52" t="s">
        <v>2537</v>
      </c>
    </row>
    <row r="53" spans="1:8">
      <c r="A53" t="s">
        <v>2547</v>
      </c>
      <c r="B53" t="str">
        <f>VLOOKUP(A53,MemoryAvailable!A:B,2,FALSE)</f>
        <v>v3Standrd | v3Standrd00001O</v>
      </c>
      <c r="C53" t="s">
        <v>2523</v>
      </c>
      <c r="D53">
        <v>216868.51763428899</v>
      </c>
      <c r="E53">
        <v>612365.04887350218</v>
      </c>
      <c r="F53">
        <v>7973815</v>
      </c>
      <c r="G53" t="s">
        <v>3757</v>
      </c>
      <c r="H53" t="s">
        <v>2549</v>
      </c>
    </row>
    <row r="54" spans="1:8">
      <c r="A54" t="s">
        <v>2753</v>
      </c>
      <c r="B54" t="str">
        <f>VLOOKUP(A54,MemoryAvailable!A:B,2,FALSE)</f>
        <v>aznedom41.</v>
      </c>
      <c r="C54" t="s">
        <v>2566</v>
      </c>
      <c r="D54">
        <v>210225.88212464284</v>
      </c>
      <c r="E54">
        <v>1748213.195195206</v>
      </c>
      <c r="F54">
        <v>8112258.5</v>
      </c>
      <c r="G54" t="s">
        <v>3758</v>
      </c>
    </row>
    <row r="55" spans="1:8">
      <c r="A55" t="s">
        <v>2572</v>
      </c>
      <c r="B55" t="str">
        <f>VLOOKUP(A55,MemoryAvailable!A:B,2,FALSE)</f>
        <v>appwe01ttn-uat</v>
      </c>
      <c r="C55" t="s">
        <v>2566</v>
      </c>
      <c r="D55">
        <v>206358.50572873777</v>
      </c>
      <c r="E55">
        <v>425951.20250945509</v>
      </c>
      <c r="F55">
        <v>29215732</v>
      </c>
      <c r="G55" t="s">
        <v>3759</v>
      </c>
    </row>
    <row r="56" spans="1:8">
      <c r="A56" t="s">
        <v>2529</v>
      </c>
      <c r="B56" t="str">
        <f>VLOOKUP(A56,MemoryAvailable!A:B,2,FALSE)</f>
        <v>v3Standrd | v3Standrd000002</v>
      </c>
      <c r="C56" t="s">
        <v>2523</v>
      </c>
      <c r="D56">
        <v>204845.60303745433</v>
      </c>
      <c r="E56">
        <v>580124.78685478563</v>
      </c>
      <c r="F56">
        <v>9735742</v>
      </c>
      <c r="G56" t="s">
        <v>3760</v>
      </c>
      <c r="H56" t="s">
        <v>2531</v>
      </c>
    </row>
    <row r="57" spans="1:8">
      <c r="A57" t="s">
        <v>2526</v>
      </c>
      <c r="B57" t="str">
        <f>VLOOKUP(A57,MemoryAvailable!A:B,2,FALSE)</f>
        <v>v3Standrd | v3Standrd000001</v>
      </c>
      <c r="C57" t="s">
        <v>2523</v>
      </c>
      <c r="D57">
        <v>199916.47318766196</v>
      </c>
      <c r="E57">
        <v>561875.594978165</v>
      </c>
      <c r="F57">
        <v>8696471</v>
      </c>
      <c r="G57" t="s">
        <v>3761</v>
      </c>
      <c r="H57" t="s">
        <v>2528</v>
      </c>
    </row>
    <row r="58" spans="1:8">
      <c r="A58" t="s">
        <v>366</v>
      </c>
      <c r="B58" t="str">
        <f>VLOOKUP(A58,MemoryAvailable!A:B,2,FALSE)</f>
        <v>AZREURAD01WFI</v>
      </c>
      <c r="C58" t="s">
        <v>2566</v>
      </c>
      <c r="D58">
        <v>196325.55516493716</v>
      </c>
      <c r="E58">
        <v>750848.48587676324</v>
      </c>
      <c r="F58">
        <v>32670920.048250001</v>
      </c>
      <c r="G58" t="s">
        <v>3762</v>
      </c>
    </row>
    <row r="59" spans="1:8">
      <c r="A59" t="s">
        <v>2726</v>
      </c>
      <c r="B59" t="str">
        <f>VLOOKUP(A59,MemoryAvailable!A:B,2,FALSE)</f>
        <v>dbswe01fp-uat</v>
      </c>
      <c r="C59" t="s">
        <v>2566</v>
      </c>
      <c r="D59">
        <v>184806.18228249534</v>
      </c>
      <c r="E59">
        <v>656814.90400835103</v>
      </c>
      <c r="F59">
        <v>115059600</v>
      </c>
      <c r="G59" t="s">
        <v>3763</v>
      </c>
    </row>
    <row r="60" spans="1:8">
      <c r="A60" t="s">
        <v>2691</v>
      </c>
      <c r="B60" t="str">
        <f>VLOOKUP(A60,MemoryAvailable!A:B,2,FALSE)</f>
        <v>AZREUUIP03DBS</v>
      </c>
      <c r="C60" t="s">
        <v>2566</v>
      </c>
      <c r="D60">
        <v>179095.60880450101</v>
      </c>
      <c r="E60">
        <v>834526.34777662274</v>
      </c>
      <c r="F60">
        <v>133469520</v>
      </c>
      <c r="G60" t="s">
        <v>3764</v>
      </c>
    </row>
    <row r="61" spans="1:8">
      <c r="A61" t="s">
        <v>2840</v>
      </c>
      <c r="B61" t="str">
        <f>VLOOKUP(A61,MemoryAvailable!A:B,2,FALSE)</f>
        <v>dbswe02sql-prod</v>
      </c>
      <c r="C61" t="s">
        <v>2566</v>
      </c>
      <c r="D61">
        <v>169099.13401535669</v>
      </c>
      <c r="E61">
        <v>217585.51373654691</v>
      </c>
      <c r="F61">
        <v>269832032</v>
      </c>
      <c r="G61" t="s">
        <v>3765</v>
      </c>
    </row>
    <row r="62" spans="1:8">
      <c r="A62" t="s">
        <v>2731</v>
      </c>
      <c r="B62" t="str">
        <f>VLOOKUP(A62,MemoryAvailable!A:B,2,FALSE)</f>
        <v>Appwe01baduat</v>
      </c>
      <c r="C62" t="s">
        <v>2566</v>
      </c>
      <c r="D62">
        <v>164956.22534560892</v>
      </c>
      <c r="E62">
        <v>342366.55205793859</v>
      </c>
      <c r="F62">
        <v>16339521</v>
      </c>
      <c r="G62" t="s">
        <v>3766</v>
      </c>
    </row>
    <row r="63" spans="1:8">
      <c r="A63" t="s">
        <v>2743</v>
      </c>
      <c r="B63" t="str">
        <f>VLOOKUP(A63,MemoryAvailable!A:B,2,FALSE)</f>
        <v>dbsne03sql-dr</v>
      </c>
      <c r="C63" t="s">
        <v>2566</v>
      </c>
      <c r="D63">
        <v>164693.13968919785</v>
      </c>
      <c r="E63">
        <v>178474.32735598812</v>
      </c>
      <c r="F63">
        <v>70557560</v>
      </c>
      <c r="G63" t="s">
        <v>3767</v>
      </c>
    </row>
    <row r="64" spans="1:8">
      <c r="A64" t="s">
        <v>2590</v>
      </c>
      <c r="B64" t="str">
        <f>VLOOKUP(A64,MemoryAvailable!A:B,2,FALSE)</f>
        <v>appwe01ttn-prod</v>
      </c>
      <c r="C64" t="s">
        <v>2587</v>
      </c>
      <c r="D64">
        <v>160174.37046014809</v>
      </c>
      <c r="E64">
        <v>425333.44117932819</v>
      </c>
      <c r="F64">
        <v>60398676</v>
      </c>
      <c r="G64" t="s">
        <v>3768</v>
      </c>
      <c r="H64" t="s">
        <v>2592</v>
      </c>
    </row>
    <row r="65" spans="1:8">
      <c r="A65" t="s">
        <v>2586</v>
      </c>
      <c r="B65" t="str">
        <f>VLOOKUP(A65,MemoryAvailable!A:B,2,FALSE)</f>
        <v>appwe02ttn-prod</v>
      </c>
      <c r="C65" t="s">
        <v>2587</v>
      </c>
      <c r="D65">
        <v>152751.82379943313</v>
      </c>
      <c r="E65">
        <v>480414.38842682564</v>
      </c>
      <c r="F65">
        <v>67348552</v>
      </c>
      <c r="G65" t="s">
        <v>3769</v>
      </c>
      <c r="H65" t="s">
        <v>2589</v>
      </c>
    </row>
    <row r="66" spans="1:8">
      <c r="A66" t="s">
        <v>2676</v>
      </c>
      <c r="B66" t="str">
        <f>VLOOKUP(A66,MemoryAvailable!A:B,2,FALSE)</f>
        <v>appwe01cas-prod</v>
      </c>
      <c r="C66" t="s">
        <v>2566</v>
      </c>
      <c r="D66">
        <v>151280.80163936218</v>
      </c>
      <c r="E66">
        <v>575883.10672751861</v>
      </c>
      <c r="F66">
        <v>88119784</v>
      </c>
      <c r="G66" t="s">
        <v>3770</v>
      </c>
    </row>
    <row r="67" spans="1:8">
      <c r="A67" t="s">
        <v>2647</v>
      </c>
      <c r="B67" t="str">
        <f>VLOOKUP(A67,MemoryAvailable!A:B,2,FALSE)</f>
        <v>AZRUSNPS01DVL</v>
      </c>
      <c r="C67" t="s">
        <v>2566</v>
      </c>
      <c r="D67">
        <v>150452.12154152733</v>
      </c>
      <c r="E67">
        <v>259089.1002799969</v>
      </c>
      <c r="F67">
        <v>10632783</v>
      </c>
      <c r="G67" t="s">
        <v>3771</v>
      </c>
    </row>
    <row r="68" spans="1:8">
      <c r="A68" t="s">
        <v>2686</v>
      </c>
      <c r="B68" t="str">
        <f>VLOOKUP(A68,MemoryAvailable!A:B,2,FALSE)</f>
        <v>appwe01mer-prod</v>
      </c>
      <c r="C68" t="s">
        <v>2587</v>
      </c>
      <c r="D68">
        <v>149287.58742044208</v>
      </c>
      <c r="E68">
        <v>474122.67997375201</v>
      </c>
      <c r="F68">
        <v>86848032</v>
      </c>
      <c r="G68" t="s">
        <v>3772</v>
      </c>
      <c r="H68" t="s">
        <v>2688</v>
      </c>
    </row>
    <row r="69" spans="1:8">
      <c r="A69" t="s">
        <v>2627</v>
      </c>
      <c r="B69" t="str">
        <f>VLOOKUP(A69,MemoryAvailable!A:B,2,FALSE)</f>
        <v>AZREUNPS01DVL</v>
      </c>
      <c r="C69" t="s">
        <v>2566</v>
      </c>
      <c r="D69">
        <v>149136.84680906788</v>
      </c>
      <c r="E69">
        <v>289803.82802623592</v>
      </c>
      <c r="F69">
        <v>48417092</v>
      </c>
      <c r="G69" t="s">
        <v>3773</v>
      </c>
    </row>
    <row r="70" spans="1:8">
      <c r="A70" t="s">
        <v>652</v>
      </c>
      <c r="B70" t="str">
        <f>VLOOKUP(A70,MemoryAvailable!A:B,2,FALSE)</f>
        <v>dbswe01mysql-uat</v>
      </c>
      <c r="C70" t="s">
        <v>2587</v>
      </c>
      <c r="D70">
        <v>143054.78244585672</v>
      </c>
      <c r="E70">
        <v>77649.974117818303</v>
      </c>
      <c r="F70">
        <v>82519820.415908501</v>
      </c>
      <c r="G70" t="s">
        <v>3774</v>
      </c>
      <c r="H70" t="s">
        <v>2782</v>
      </c>
    </row>
    <row r="71" spans="1:8">
      <c r="A71" t="s">
        <v>2740</v>
      </c>
      <c r="B71" t="str">
        <f>VLOOKUP(A71,MemoryAvailable!A:B,2,FALSE)</f>
        <v>appwe02cas-prod</v>
      </c>
      <c r="C71" t="s">
        <v>2566</v>
      </c>
      <c r="D71">
        <v>141040.70632029153</v>
      </c>
      <c r="E71">
        <v>543344.83784904226</v>
      </c>
      <c r="F71">
        <v>23735700</v>
      </c>
      <c r="G71" t="s">
        <v>3775</v>
      </c>
    </row>
    <row r="72" spans="1:8">
      <c r="A72" t="s">
        <v>2645</v>
      </c>
      <c r="B72" t="str">
        <f>VLOOKUP(A72,MemoryAvailable!A:B,2,FALSE)</f>
        <v>appwe05neo-prod</v>
      </c>
      <c r="C72" t="s">
        <v>2566</v>
      </c>
      <c r="D72">
        <v>139400.33075914002</v>
      </c>
      <c r="E72">
        <v>456744.63113660389</v>
      </c>
      <c r="F72">
        <v>5142601</v>
      </c>
      <c r="G72" t="s">
        <v>3776</v>
      </c>
    </row>
    <row r="73" spans="1:8">
      <c r="A73" t="s">
        <v>2860</v>
      </c>
      <c r="B73" t="str">
        <f>VLOOKUP(A73,MemoryAvailable!A:B,2,FALSE)</f>
        <v>appwe01dp-prod</v>
      </c>
      <c r="C73" t="s">
        <v>2566</v>
      </c>
      <c r="D73">
        <v>139012.21719598366</v>
      </c>
      <c r="E73">
        <v>229859.42197855687</v>
      </c>
      <c r="F73">
        <v>7154210</v>
      </c>
      <c r="G73" t="s">
        <v>3777</v>
      </c>
    </row>
    <row r="74" spans="1:8">
      <c r="A74" t="s">
        <v>2680</v>
      </c>
      <c r="B74" t="str">
        <f>VLOOKUP(A74,MemoryAvailable!A:B,2,FALSE)</f>
        <v>appwe01mgt-prod</v>
      </c>
      <c r="C74" t="s">
        <v>2566</v>
      </c>
      <c r="D74">
        <v>136653.3089382883</v>
      </c>
      <c r="E74">
        <v>576338.13565843925</v>
      </c>
      <c r="F74">
        <v>39483908</v>
      </c>
      <c r="G74" t="s">
        <v>3778</v>
      </c>
    </row>
    <row r="75" spans="1:8">
      <c r="A75" t="s">
        <v>2833</v>
      </c>
      <c r="B75" t="str">
        <f>VLOOKUP(A75,MemoryAvailable!A:B,2,FALSE)</f>
        <v>Appwe02baduat</v>
      </c>
      <c r="C75" t="s">
        <v>2566</v>
      </c>
      <c r="D75">
        <v>130514.04755773807</v>
      </c>
      <c r="E75">
        <v>203802.12851749398</v>
      </c>
      <c r="F75">
        <v>15590613</v>
      </c>
      <c r="G75" t="s">
        <v>3779</v>
      </c>
    </row>
    <row r="76" spans="1:8">
      <c r="A76" t="s">
        <v>508</v>
      </c>
      <c r="B76" t="str">
        <f>VLOOKUP(A76,MemoryAvailable!A:B,2,FALSE)</f>
        <v>appwe02ewifi-prod</v>
      </c>
      <c r="C76" t="s">
        <v>2566</v>
      </c>
      <c r="D76">
        <v>130033.22382846159</v>
      </c>
      <c r="E76">
        <v>514370.56250254117</v>
      </c>
      <c r="F76">
        <v>6154682.0059797997</v>
      </c>
      <c r="G76" t="s">
        <v>3780</v>
      </c>
    </row>
    <row r="77" spans="1:8">
      <c r="A77" t="s">
        <v>449</v>
      </c>
      <c r="B77" t="str">
        <f>VLOOKUP(A77,MemoryAvailable!A:B,2,FALSE)</f>
        <v>appwe01ewifi-prod</v>
      </c>
      <c r="C77" t="s">
        <v>2566</v>
      </c>
      <c r="D77">
        <v>128581.9544874398</v>
      </c>
      <c r="E77">
        <v>501717.64263931487</v>
      </c>
      <c r="F77">
        <v>10710942.864936</v>
      </c>
      <c r="G77" t="s">
        <v>3781</v>
      </c>
    </row>
    <row r="78" spans="1:8">
      <c r="A78" t="s">
        <v>2851</v>
      </c>
      <c r="B78" t="str">
        <f>VLOOKUP(A78,MemoryAvailable!A:B,2,FALSE)</f>
        <v>AZR80DBS01POL</v>
      </c>
      <c r="C78" t="s">
        <v>2566</v>
      </c>
      <c r="D78">
        <v>127915.57667911032</v>
      </c>
      <c r="E78">
        <v>209385.06046961813</v>
      </c>
      <c r="F78">
        <v>61300692</v>
      </c>
      <c r="G78" t="s">
        <v>3782</v>
      </c>
    </row>
    <row r="79" spans="1:8">
      <c r="A79" t="s">
        <v>2766</v>
      </c>
      <c r="B79" t="str">
        <f>VLOOKUP(A79,MemoryAvailable!A:B,2,FALSE)</f>
        <v>AZREUAPI01OTR</v>
      </c>
      <c r="C79" t="s">
        <v>2566</v>
      </c>
      <c r="D79">
        <v>124406.70717173543</v>
      </c>
      <c r="E79">
        <v>262961.59587675845</v>
      </c>
      <c r="F79">
        <v>17670584</v>
      </c>
      <c r="G79" t="s">
        <v>3783</v>
      </c>
    </row>
    <row r="80" spans="1:8">
      <c r="A80" t="s">
        <v>2785</v>
      </c>
      <c r="B80" t="str">
        <f>VLOOKUP(A80,MemoryAvailable!A:B,2,FALSE)</f>
        <v>appus01snmpprod</v>
      </c>
      <c r="C80" t="s">
        <v>2566</v>
      </c>
      <c r="D80">
        <v>123053.61363496656</v>
      </c>
      <c r="E80">
        <v>199878.8998522005</v>
      </c>
      <c r="F80">
        <v>7745164</v>
      </c>
      <c r="G80" t="s">
        <v>3784</v>
      </c>
    </row>
    <row r="81" spans="1:8">
      <c r="A81" t="s">
        <v>2853</v>
      </c>
      <c r="B81" t="str">
        <f>VLOOKUP(A81,MemoryAvailable!A:B,2,FALSE)</f>
        <v>appwe02mgt-prod</v>
      </c>
      <c r="C81" t="s">
        <v>2566</v>
      </c>
      <c r="D81">
        <v>122520.81966260834</v>
      </c>
      <c r="E81">
        <v>295364.06859557424</v>
      </c>
      <c r="F81">
        <v>5607092.5</v>
      </c>
      <c r="G81" t="s">
        <v>3785</v>
      </c>
    </row>
    <row r="82" spans="1:8">
      <c r="A82" t="s">
        <v>2828</v>
      </c>
      <c r="B82" t="str">
        <f>VLOOKUP(A82,MemoryAvailable!A:B,2,FALSE)</f>
        <v>AZREUAPI02PRV</v>
      </c>
      <c r="C82" t="s">
        <v>2566</v>
      </c>
      <c r="D82">
        <v>120612.81151338651</v>
      </c>
      <c r="E82">
        <v>247783.7405533866</v>
      </c>
      <c r="F82">
        <v>45653980</v>
      </c>
      <c r="G82" t="s">
        <v>3786</v>
      </c>
    </row>
    <row r="83" spans="1:8">
      <c r="A83" t="s">
        <v>2857</v>
      </c>
      <c r="B83" t="str">
        <f>VLOOKUP(A83,MemoryAvailable!A:B,2,FALSE)</f>
        <v>appwe01canon-prod</v>
      </c>
      <c r="C83" t="s">
        <v>2587</v>
      </c>
      <c r="D83">
        <v>118275.54276616652</v>
      </c>
      <c r="E83">
        <v>511259.52978747519</v>
      </c>
      <c r="F83">
        <v>17213592</v>
      </c>
      <c r="G83" t="s">
        <v>3787</v>
      </c>
      <c r="H83" t="s">
        <v>2859</v>
      </c>
    </row>
    <row r="84" spans="1:8">
      <c r="A84" t="s">
        <v>2774</v>
      </c>
      <c r="B84" t="str">
        <f>VLOOKUP(A84,MemoryAvailable!A:B,2,FALSE)</f>
        <v>AZREUDEVSLW01</v>
      </c>
      <c r="C84" t="s">
        <v>2566</v>
      </c>
      <c r="D84">
        <v>117483.87205579449</v>
      </c>
      <c r="E84">
        <v>259979.30858533108</v>
      </c>
      <c r="F84">
        <v>11914062</v>
      </c>
      <c r="G84" t="s">
        <v>3788</v>
      </c>
    </row>
    <row r="85" spans="1:8">
      <c r="A85" t="s">
        <v>435</v>
      </c>
      <c r="B85" t="str">
        <f>VLOOKUP(A85,MemoryAvailable!A:B,2,FALSE)</f>
        <v>appwe01cisa-prod</v>
      </c>
      <c r="C85" t="s">
        <v>2566</v>
      </c>
      <c r="D85">
        <v>114197.99364499217</v>
      </c>
      <c r="E85">
        <v>102274.99296010569</v>
      </c>
      <c r="F85">
        <v>2638890684.3410001</v>
      </c>
      <c r="G85" t="s">
        <v>3789</v>
      </c>
    </row>
    <row r="86" spans="1:8">
      <c r="A86" t="s">
        <v>2790</v>
      </c>
      <c r="B86" t="str">
        <f>VLOOKUP(A86,MemoryAvailable!A:B,2,FALSE)</f>
        <v>appwe01snmpprod</v>
      </c>
      <c r="C86" t="s">
        <v>2566</v>
      </c>
      <c r="D86">
        <v>113079.60799615027</v>
      </c>
      <c r="E86">
        <v>178381.06365239053</v>
      </c>
      <c r="F86">
        <v>9102708</v>
      </c>
      <c r="G86" t="s">
        <v>3790</v>
      </c>
    </row>
    <row r="87" spans="1:8">
      <c r="A87" t="s">
        <v>565</v>
      </c>
      <c r="B87" t="str">
        <f>VLOOKUP(A87,MemoryAvailable!A:B,2,FALSE)</f>
        <v>AZREUODL01</v>
      </c>
      <c r="C87" t="s">
        <v>2566</v>
      </c>
      <c r="D87">
        <v>110805.98380618058</v>
      </c>
      <c r="E87">
        <v>223207.60644035818</v>
      </c>
      <c r="F87">
        <v>49789712.744899899</v>
      </c>
      <c r="G87" t="s">
        <v>3791</v>
      </c>
    </row>
    <row r="88" spans="1:8">
      <c r="A88" t="s">
        <v>2625</v>
      </c>
      <c r="B88" t="str">
        <f>VLOOKUP(A88,MemoryAvailable!A:B,2,FALSE)</f>
        <v>appwe01neo-prod</v>
      </c>
      <c r="C88" t="s">
        <v>2566</v>
      </c>
      <c r="D88">
        <v>108253.91900804847</v>
      </c>
      <c r="E88">
        <v>434866.03671516757</v>
      </c>
      <c r="F88">
        <v>19783612</v>
      </c>
      <c r="G88" t="s">
        <v>3792</v>
      </c>
    </row>
    <row r="89" spans="1:8">
      <c r="A89" t="s">
        <v>2871</v>
      </c>
      <c r="B89" t="str">
        <f>VLOOKUP(A89,MemoryAvailable!A:B,2,FALSE)</f>
        <v>appea01snmpprod</v>
      </c>
      <c r="C89" t="s">
        <v>2566</v>
      </c>
      <c r="D89">
        <v>106714.30176089618</v>
      </c>
      <c r="E89">
        <v>169704.26532960389</v>
      </c>
      <c r="F89">
        <v>5430168</v>
      </c>
      <c r="G89" t="s">
        <v>3793</v>
      </c>
    </row>
    <row r="90" spans="1:8">
      <c r="A90" t="s">
        <v>327</v>
      </c>
      <c r="B90" t="str">
        <f>VLOOKUP(A90,MemoryAvailable!A:B,2,FALSE)</f>
        <v>AZRAPRAD01WFI</v>
      </c>
      <c r="C90" t="s">
        <v>2566</v>
      </c>
      <c r="D90">
        <v>106450.7621082565</v>
      </c>
      <c r="E90">
        <v>363842.1497157652</v>
      </c>
      <c r="F90">
        <v>5787888.5571282199</v>
      </c>
      <c r="G90" t="s">
        <v>3794</v>
      </c>
    </row>
    <row r="91" spans="1:8">
      <c r="A91" t="s">
        <v>2745</v>
      </c>
      <c r="B91" t="str">
        <f>VLOOKUP(A91,MemoryAvailable!A:B,2,FALSE)</f>
        <v>appwe01mim-uat</v>
      </c>
      <c r="C91" t="s">
        <v>2566</v>
      </c>
      <c r="D91">
        <v>105754.83337607438</v>
      </c>
      <c r="E91">
        <v>397824.16001514049</v>
      </c>
      <c r="F91">
        <v>28964264</v>
      </c>
      <c r="G91" t="s">
        <v>3795</v>
      </c>
    </row>
    <row r="92" spans="1:8">
      <c r="A92" t="s">
        <v>2810</v>
      </c>
      <c r="B92" t="str">
        <f>VLOOKUP(A92,MemoryAvailable!A:B,2,FALSE)</f>
        <v>dbswe01turk-prd</v>
      </c>
      <c r="C92" t="s">
        <v>2566</v>
      </c>
      <c r="D92">
        <v>104878.44418453284</v>
      </c>
      <c r="E92">
        <v>320617.24525703792</v>
      </c>
      <c r="F92">
        <v>22196088</v>
      </c>
      <c r="G92" t="s">
        <v>3796</v>
      </c>
    </row>
    <row r="93" spans="1:8">
      <c r="A93" t="s">
        <v>2639</v>
      </c>
      <c r="B93" t="str">
        <f>VLOOKUP(A93,MemoryAvailable!A:B,2,FALSE)</f>
        <v>aznedom01</v>
      </c>
      <c r="C93" t="s">
        <v>2566</v>
      </c>
      <c r="D93">
        <v>104758.46591769753</v>
      </c>
      <c r="E93">
        <v>389267.02241329866</v>
      </c>
      <c r="F93">
        <v>14994927</v>
      </c>
      <c r="G93" t="s">
        <v>3797</v>
      </c>
    </row>
    <row r="94" spans="1:8">
      <c r="A94" t="s">
        <v>399</v>
      </c>
      <c r="B94" t="str">
        <f>VLOOKUP(A94,MemoryAvailable!A:B,2,FALSE)</f>
        <v>AZRUSRAD01WFI</v>
      </c>
      <c r="C94" t="s">
        <v>2566</v>
      </c>
      <c r="D94">
        <v>99409.41932933731</v>
      </c>
      <c r="E94">
        <v>321036.46558630257</v>
      </c>
      <c r="F94">
        <v>7778454.3549300404</v>
      </c>
      <c r="G94" t="s">
        <v>3798</v>
      </c>
    </row>
    <row r="95" spans="1:8">
      <c r="A95" t="s">
        <v>2819</v>
      </c>
      <c r="B95" t="str">
        <f>VLOOKUP(A95,MemoryAvailable!A:B,2,FALSE)</f>
        <v>appwe01samrm</v>
      </c>
      <c r="C95" t="s">
        <v>2566</v>
      </c>
      <c r="D95">
        <v>95660.453505787518</v>
      </c>
      <c r="E95">
        <v>219375.91952250362</v>
      </c>
      <c r="F95">
        <v>21822642</v>
      </c>
      <c r="G95" t="s">
        <v>3799</v>
      </c>
    </row>
    <row r="96" spans="1:8">
      <c r="A96" t="s">
        <v>2665</v>
      </c>
      <c r="B96" t="str">
        <f>VLOOKUP(A96,MemoryAvailable!A:B,2,FALSE)</f>
        <v>AZRAPNPS01DVL</v>
      </c>
      <c r="C96" t="s">
        <v>2566</v>
      </c>
      <c r="D96">
        <v>94733.117418072143</v>
      </c>
      <c r="E96">
        <v>165738.60980257244</v>
      </c>
      <c r="F96">
        <v>11453043</v>
      </c>
      <c r="G96" t="s">
        <v>3800</v>
      </c>
    </row>
    <row r="97" spans="1:8">
      <c r="A97" t="s">
        <v>2812</v>
      </c>
      <c r="B97" t="str">
        <f>VLOOKUP(A97,MemoryAvailable!A:B,2,FALSE)</f>
        <v>dbswe01cch-prod</v>
      </c>
      <c r="C97" t="s">
        <v>2566</v>
      </c>
      <c r="D97">
        <v>92692.239946392438</v>
      </c>
      <c r="E97">
        <v>220938.18269878786</v>
      </c>
      <c r="F97">
        <v>25013792</v>
      </c>
      <c r="G97" t="s">
        <v>3801</v>
      </c>
    </row>
    <row r="98" spans="1:8">
      <c r="A98" t="s">
        <v>2631</v>
      </c>
      <c r="B98" t="str">
        <f>VLOOKUP(A98,MemoryAvailable!A:B,2,FALSE)</f>
        <v>AZREUTRP01</v>
      </c>
      <c r="C98" t="s">
        <v>2566</v>
      </c>
      <c r="D98">
        <v>90706.823145445145</v>
      </c>
      <c r="E98">
        <v>219884.99064465781</v>
      </c>
      <c r="F98">
        <v>17633130</v>
      </c>
      <c r="G98" t="s">
        <v>3802</v>
      </c>
    </row>
    <row r="99" spans="1:8">
      <c r="A99" t="s">
        <v>2728</v>
      </c>
      <c r="B99" t="str">
        <f>VLOOKUP(A99,MemoryAvailable!A:B,2,FALSE)</f>
        <v>AZREUUIP01STD</v>
      </c>
      <c r="C99" t="s">
        <v>2566</v>
      </c>
      <c r="D99">
        <v>90073.456451653052</v>
      </c>
      <c r="E99">
        <v>211839.56749134307</v>
      </c>
      <c r="F99">
        <v>32635514</v>
      </c>
      <c r="G99" t="s">
        <v>3803</v>
      </c>
    </row>
    <row r="100" spans="1:8">
      <c r="A100" t="s">
        <v>2821</v>
      </c>
      <c r="B100" t="str">
        <f>VLOOKUP(A100,MemoryAvailable!A:B,2,FALSE)</f>
        <v>appwe01dp-dev</v>
      </c>
      <c r="C100" t="s">
        <v>2566</v>
      </c>
      <c r="D100">
        <v>88413.485465390157</v>
      </c>
      <c r="E100">
        <v>221071.68250333727</v>
      </c>
      <c r="F100">
        <v>29159998</v>
      </c>
      <c r="G100" t="s">
        <v>3804</v>
      </c>
    </row>
    <row r="101" spans="1:8">
      <c r="A101" t="s">
        <v>2751</v>
      </c>
      <c r="B101" t="str">
        <f>VLOOKUP(A101,MemoryAvailable!A:B,2,FALSE)</f>
        <v>dbswe01sql-test</v>
      </c>
      <c r="C101" t="s">
        <v>2566</v>
      </c>
      <c r="D101">
        <v>87776.192360312838</v>
      </c>
      <c r="E101">
        <v>217076.24713290058</v>
      </c>
      <c r="F101">
        <v>207981488</v>
      </c>
      <c r="G101" t="s">
        <v>3805</v>
      </c>
    </row>
    <row r="102" spans="1:8">
      <c r="A102" t="s">
        <v>2662</v>
      </c>
      <c r="B102" t="str">
        <f>VLOOKUP(A102,MemoryAvailable!A:B,2,FALSE)</f>
        <v>aznedom31.asia</v>
      </c>
      <c r="C102" t="s">
        <v>2566</v>
      </c>
      <c r="D102">
        <v>87337.569193962263</v>
      </c>
      <c r="E102">
        <v>264101.14739485434</v>
      </c>
      <c r="F102">
        <v>13079378</v>
      </c>
      <c r="G102" t="s">
        <v>3806</v>
      </c>
    </row>
    <row r="103" spans="1:8">
      <c r="A103" t="s">
        <v>2654</v>
      </c>
      <c r="B103" t="str">
        <f>VLOOKUP(A103,MemoryAvailable!A:B,2,FALSE)</f>
        <v>aznedom21</v>
      </c>
      <c r="C103" t="s">
        <v>2566</v>
      </c>
      <c r="D103">
        <v>87123.914424944916</v>
      </c>
      <c r="E103">
        <v>266173.66732681269</v>
      </c>
      <c r="F103">
        <v>18742988</v>
      </c>
      <c r="G103" t="s">
        <v>3807</v>
      </c>
    </row>
    <row r="104" spans="1:8">
      <c r="A104" t="s">
        <v>2881</v>
      </c>
      <c r="B104" t="str">
        <f>VLOOKUP(A104,MemoryAvailable!A:B,2,FALSE)</f>
        <v>solrvmuat0</v>
      </c>
      <c r="C104" t="s">
        <v>2566</v>
      </c>
      <c r="D104">
        <v>82376.499687054631</v>
      </c>
      <c r="E104">
        <v>185129.70411438413</v>
      </c>
      <c r="F104">
        <v>25638820</v>
      </c>
      <c r="G104" t="s">
        <v>3808</v>
      </c>
    </row>
    <row r="105" spans="1:8">
      <c r="A105" t="s">
        <v>2704</v>
      </c>
      <c r="B105" t="str">
        <f>VLOOKUP(A105,MemoryAvailable!A:B,2,FALSE)</f>
        <v>aznedom11.uk-eire</v>
      </c>
      <c r="C105" t="s">
        <v>2566</v>
      </c>
      <c r="D105">
        <v>81036.428351754876</v>
      </c>
      <c r="E105">
        <v>307541.81220582954</v>
      </c>
      <c r="F105">
        <v>8916597</v>
      </c>
      <c r="G105" t="s">
        <v>3809</v>
      </c>
    </row>
    <row r="106" spans="1:8">
      <c r="A106" t="s">
        <v>2887</v>
      </c>
      <c r="B106" t="str">
        <f>VLOOKUP(A106,MemoryAvailable!A:B,2,FALSE)</f>
        <v>appwe01dp-uat</v>
      </c>
      <c r="C106" t="s">
        <v>2566</v>
      </c>
      <c r="D106">
        <v>80697.691541865875</v>
      </c>
      <c r="E106">
        <v>200880.00716365926</v>
      </c>
      <c r="F106">
        <v>19814780</v>
      </c>
      <c r="G106" t="s">
        <v>3810</v>
      </c>
    </row>
    <row r="107" spans="1:8">
      <c r="A107" t="s">
        <v>2763</v>
      </c>
      <c r="B107" t="str">
        <f>VLOOKUP(A107,MemoryAvailable!A:B,2,FALSE)</f>
        <v>appwe01cch-prod</v>
      </c>
      <c r="C107" t="s">
        <v>2587</v>
      </c>
      <c r="D107">
        <v>79423.296723867097</v>
      </c>
      <c r="E107">
        <v>224377.92653651384</v>
      </c>
      <c r="F107">
        <v>13927725</v>
      </c>
      <c r="G107" t="s">
        <v>3811</v>
      </c>
      <c r="H107" t="s">
        <v>2765</v>
      </c>
    </row>
    <row r="108" spans="1:8">
      <c r="A108" t="s">
        <v>2793</v>
      </c>
      <c r="B108" t="str">
        <f>VLOOKUP(A108,MemoryAvailable!A:B,2,FALSE)</f>
        <v>appwe01piv-prod</v>
      </c>
      <c r="C108" t="s">
        <v>2566</v>
      </c>
      <c r="D108">
        <v>79107.6204178997</v>
      </c>
      <c r="E108">
        <v>173500.13007096108</v>
      </c>
      <c r="F108">
        <v>15857766</v>
      </c>
      <c r="G108" t="s">
        <v>3812</v>
      </c>
    </row>
    <row r="109" spans="1:8">
      <c r="A109" t="s">
        <v>2770</v>
      </c>
      <c r="B109" t="str">
        <f>VLOOKUP(A109,MemoryAvailable!A:B,2,FALSE)</f>
        <v>azwedom01</v>
      </c>
      <c r="C109" t="s">
        <v>2566</v>
      </c>
      <c r="D109">
        <v>79030.617156088221</v>
      </c>
      <c r="E109">
        <v>252628.80913597569</v>
      </c>
      <c r="F109">
        <v>7418185</v>
      </c>
      <c r="G109" t="s">
        <v>3813</v>
      </c>
    </row>
    <row r="110" spans="1:8">
      <c r="A110" t="s">
        <v>2883</v>
      </c>
      <c r="B110" t="str">
        <f>VLOOKUP(A110,MemoryAvailable!A:B,2,FALSE)</f>
        <v>appne01snow-uat</v>
      </c>
      <c r="C110" t="s">
        <v>2566</v>
      </c>
      <c r="D110">
        <v>78448.603040815186</v>
      </c>
      <c r="E110">
        <v>209939.24598196114</v>
      </c>
      <c r="F110">
        <v>12873285</v>
      </c>
      <c r="G110" t="s">
        <v>3814</v>
      </c>
    </row>
    <row r="111" spans="1:8">
      <c r="A111" t="s">
        <v>2814</v>
      </c>
      <c r="B111" t="str">
        <f>VLOOKUP(A111,MemoryAvailable!A:B,2,FALSE)</f>
        <v>appwe02piv-prod</v>
      </c>
      <c r="C111" t="s">
        <v>2566</v>
      </c>
      <c r="D111">
        <v>78265.850432979147</v>
      </c>
      <c r="E111">
        <v>169518.61556712823</v>
      </c>
      <c r="F111">
        <v>14001532</v>
      </c>
      <c r="G111" t="s">
        <v>3815</v>
      </c>
    </row>
    <row r="112" spans="1:8">
      <c r="A112" t="s">
        <v>2756</v>
      </c>
      <c r="B112" t="str">
        <f>VLOOKUP(A112,MemoryAvailable!A:B,2,FALSE)</f>
        <v>secwe01traps</v>
      </c>
      <c r="C112" t="s">
        <v>2566</v>
      </c>
      <c r="D112">
        <v>78228.283972115081</v>
      </c>
      <c r="E112">
        <v>254800.07912042315</v>
      </c>
      <c r="F112">
        <v>5886817</v>
      </c>
      <c r="G112" t="s">
        <v>3816</v>
      </c>
    </row>
    <row r="113" spans="1:8">
      <c r="A113" t="s">
        <v>2806</v>
      </c>
      <c r="B113" t="str">
        <f>VLOOKUP(A113,MemoryAvailable!A:B,2,FALSE)</f>
        <v>appwe03piv-prod</v>
      </c>
      <c r="C113" t="s">
        <v>2566</v>
      </c>
      <c r="D113">
        <v>77971.368826364633</v>
      </c>
      <c r="E113">
        <v>171581.83675685839</v>
      </c>
      <c r="F113">
        <v>14354803</v>
      </c>
      <c r="G113" t="s">
        <v>3817</v>
      </c>
    </row>
    <row r="114" spans="1:8">
      <c r="A114" t="s">
        <v>2804</v>
      </c>
      <c r="B114" t="str">
        <f>VLOOKUP(A114,MemoryAvailable!A:B,2,FALSE)</f>
        <v>appwe05piv-prod</v>
      </c>
      <c r="C114" t="s">
        <v>2566</v>
      </c>
      <c r="D114">
        <v>77347.311567503028</v>
      </c>
      <c r="E114">
        <v>168877.08285728909</v>
      </c>
      <c r="F114">
        <v>7262898</v>
      </c>
      <c r="G114" t="s">
        <v>3818</v>
      </c>
    </row>
    <row r="115" spans="1:8">
      <c r="A115" t="s">
        <v>2808</v>
      </c>
      <c r="B115" t="str">
        <f>VLOOKUP(A115,MemoryAvailable!A:B,2,FALSE)</f>
        <v>appwe04piv-prod</v>
      </c>
      <c r="C115" t="s">
        <v>2566</v>
      </c>
      <c r="D115">
        <v>77202.45085887234</v>
      </c>
      <c r="E115">
        <v>168958.39399305559</v>
      </c>
      <c r="F115">
        <v>11861525</v>
      </c>
      <c r="G115" t="s">
        <v>3819</v>
      </c>
    </row>
    <row r="116" spans="1:8">
      <c r="A116" t="s">
        <v>2621</v>
      </c>
      <c r="B116" t="str">
        <f>VLOOKUP(A116,MemoryAvailable!A:B,2,FALSE)</f>
        <v>AZREUINC02</v>
      </c>
      <c r="C116" t="s">
        <v>2566</v>
      </c>
      <c r="D116">
        <v>75989.790322034736</v>
      </c>
      <c r="E116">
        <v>161429.03993691324</v>
      </c>
      <c r="F116">
        <v>40321688</v>
      </c>
      <c r="G116" t="s">
        <v>3820</v>
      </c>
    </row>
    <row r="117" spans="1:8">
      <c r="A117" t="s">
        <v>802</v>
      </c>
      <c r="B117" t="str">
        <f>VLOOKUP(A117,MemoryAvailable!A:B,2,FALSE)</f>
        <v>iwg-mysql</v>
      </c>
      <c r="C117" t="s">
        <v>2587</v>
      </c>
      <c r="D117">
        <v>75970.635236701914</v>
      </c>
      <c r="E117">
        <v>214572.83048746258</v>
      </c>
      <c r="F117">
        <v>6456672.8973420998</v>
      </c>
      <c r="G117" t="s">
        <v>3821</v>
      </c>
      <c r="H117" t="s">
        <v>2778</v>
      </c>
    </row>
    <row r="118" spans="1:8">
      <c r="A118" t="s">
        <v>853</v>
      </c>
      <c r="B118" t="str">
        <f>VLOOKUP(A118,MemoryAvailable!A:B,2,FALSE)</f>
        <v>weappfedexprd01</v>
      </c>
      <c r="C118" t="s">
        <v>2566</v>
      </c>
      <c r="D118">
        <v>71569.270637611597</v>
      </c>
      <c r="E118">
        <v>200095.79487006657</v>
      </c>
      <c r="F118">
        <v>6160900</v>
      </c>
      <c r="G118" t="s">
        <v>3822</v>
      </c>
    </row>
    <row r="119" spans="1:8">
      <c r="A119" t="s">
        <v>2868</v>
      </c>
      <c r="B119" t="str">
        <f>VLOOKUP(A119,MemoryAvailable!A:B,2,FALSE)</f>
        <v>appwe01adm-prod</v>
      </c>
      <c r="C119" t="s">
        <v>2566</v>
      </c>
      <c r="D119">
        <v>69508.247647674449</v>
      </c>
      <c r="E119">
        <v>228732.18959498947</v>
      </c>
      <c r="F119">
        <v>9853076</v>
      </c>
      <c r="G119" t="s">
        <v>3823</v>
      </c>
    </row>
    <row r="120" spans="1:8">
      <c r="A120" t="s">
        <v>855</v>
      </c>
      <c r="B120" t="str">
        <f>VLOOKUP(A120,MemoryAvailable!A:B,2,FALSE)</f>
        <v>weappfedexprd02</v>
      </c>
      <c r="C120" t="s">
        <v>2566</v>
      </c>
      <c r="D120">
        <v>69092.789467463153</v>
      </c>
      <c r="E120">
        <v>193537.09670390509</v>
      </c>
      <c r="F120">
        <v>8365736.5</v>
      </c>
      <c r="G120" t="s">
        <v>3824</v>
      </c>
    </row>
    <row r="121" spans="1:8">
      <c r="A121" t="s">
        <v>2699</v>
      </c>
      <c r="B121" t="str">
        <f>VLOOKUP(A121,MemoryAvailable!A:B,2,FALSE)</f>
        <v>appwe03ttn-prod</v>
      </c>
      <c r="C121" t="s">
        <v>2587</v>
      </c>
      <c r="D121">
        <v>67997.429491850824</v>
      </c>
      <c r="E121">
        <v>221228.2119665728</v>
      </c>
      <c r="F121">
        <v>8083794.5</v>
      </c>
      <c r="G121" t="s">
        <v>3825</v>
      </c>
      <c r="H121" t="s">
        <v>2701</v>
      </c>
    </row>
    <row r="122" spans="1:8">
      <c r="A122" t="s">
        <v>2846</v>
      </c>
      <c r="B122" t="str">
        <f>VLOOKUP(A122,MemoryAvailable!A:B,2,FALSE)</f>
        <v>appwe01turk-uat</v>
      </c>
      <c r="C122" t="s">
        <v>2566</v>
      </c>
      <c r="D122">
        <v>66996.749118811815</v>
      </c>
      <c r="E122">
        <v>175773.3866053079</v>
      </c>
      <c r="F122">
        <v>13854596</v>
      </c>
      <c r="G122" t="s">
        <v>3826</v>
      </c>
    </row>
    <row r="123" spans="1:8">
      <c r="A123" t="s">
        <v>2759</v>
      </c>
      <c r="B123" t="str">
        <f>VLOOKUP(A123,MemoryAvailable!A:B,2,FALSE)</f>
        <v>dbswe01turk-uat</v>
      </c>
      <c r="C123" t="s">
        <v>2566</v>
      </c>
      <c r="D123">
        <v>66681.703587810043</v>
      </c>
      <c r="E123">
        <v>176045.33697276152</v>
      </c>
      <c r="F123">
        <v>15006708</v>
      </c>
      <c r="G123" t="s">
        <v>3827</v>
      </c>
    </row>
    <row r="124" spans="1:8">
      <c r="A124" t="s">
        <v>2865</v>
      </c>
      <c r="B124" t="str">
        <f>VLOOKUP(A124,MemoryAvailable!A:B,2,FALSE)</f>
        <v>appwe01snow-uat</v>
      </c>
      <c r="C124" t="s">
        <v>2566</v>
      </c>
      <c r="D124">
        <v>65922.33249122987</v>
      </c>
      <c r="E124">
        <v>168225.6378443267</v>
      </c>
      <c r="F124">
        <v>30774662</v>
      </c>
      <c r="G124" t="s">
        <v>3828</v>
      </c>
    </row>
    <row r="125" spans="1:8">
      <c r="A125" t="s">
        <v>346</v>
      </c>
      <c r="B125" t="str">
        <f>VLOOKUP(A125,MemoryAvailable!A:B,2,FALSE)</f>
        <v>appwe01fedexuat</v>
      </c>
      <c r="C125" t="s">
        <v>2566</v>
      </c>
      <c r="D125">
        <v>65181.091792502993</v>
      </c>
      <c r="E125">
        <v>161203.27146483317</v>
      </c>
      <c r="F125">
        <v>16042864</v>
      </c>
      <c r="G125" t="s">
        <v>3829</v>
      </c>
    </row>
    <row r="126" spans="1:8">
      <c r="A126" t="s">
        <v>2709</v>
      </c>
      <c r="B126" t="str">
        <f>VLOOKUP(A126,MemoryAvailable!A:B,2,FALSE)</f>
        <v>appwe03neo-prod</v>
      </c>
      <c r="C126" t="s">
        <v>2566</v>
      </c>
      <c r="D126">
        <v>64311.233087010725</v>
      </c>
      <c r="E126">
        <v>198186.91217124989</v>
      </c>
      <c r="F126">
        <v>18378080</v>
      </c>
      <c r="G126" t="s">
        <v>3830</v>
      </c>
    </row>
    <row r="127" spans="1:8">
      <c r="A127" t="s">
        <v>2633</v>
      </c>
      <c r="B127" t="str">
        <f>VLOOKUP(A127,MemoryAvailable!A:B,2,FALSE)</f>
        <v>AZREUINC01</v>
      </c>
      <c r="C127" t="s">
        <v>2566</v>
      </c>
      <c r="D127">
        <v>64044.6030564225</v>
      </c>
      <c r="E127">
        <v>206923.61144810269</v>
      </c>
      <c r="F127">
        <v>41856312</v>
      </c>
      <c r="G127" t="s">
        <v>3831</v>
      </c>
    </row>
    <row r="128" spans="1:8">
      <c r="A128" t="s">
        <v>2889</v>
      </c>
      <c r="B128" t="str">
        <f>VLOOKUP(A128,MemoryAvailable!A:B,2,FALSE)</f>
        <v>solrvmtest0</v>
      </c>
      <c r="C128" t="s">
        <v>2566</v>
      </c>
      <c r="D128">
        <v>61618.062416060857</v>
      </c>
      <c r="E128">
        <v>153832.43475813116</v>
      </c>
      <c r="F128">
        <v>7967252</v>
      </c>
      <c r="G128" t="s">
        <v>3832</v>
      </c>
    </row>
    <row r="129" spans="1:8">
      <c r="A129" t="s">
        <v>2876</v>
      </c>
      <c r="B129" t="str">
        <f>VLOOKUP(A129,MemoryAvailable!A:B,2,FALSE)</f>
        <v>solrvmpoc0</v>
      </c>
      <c r="C129" t="s">
        <v>2566</v>
      </c>
      <c r="D129">
        <v>61280.208423929893</v>
      </c>
      <c r="E129">
        <v>164467.26191733053</v>
      </c>
      <c r="F129">
        <v>13394772</v>
      </c>
      <c r="G129" t="s">
        <v>3833</v>
      </c>
    </row>
    <row r="130" spans="1:8">
      <c r="A130" t="s">
        <v>2713</v>
      </c>
      <c r="B130" t="str">
        <f>VLOOKUP(A130,MemoryAvailable!A:B,2,FALSE)</f>
        <v>azwedom02</v>
      </c>
      <c r="C130" t="s">
        <v>2566</v>
      </c>
      <c r="D130">
        <v>61196.122192671217</v>
      </c>
      <c r="E130">
        <v>188174.28405764655</v>
      </c>
      <c r="F130">
        <v>6639666.5</v>
      </c>
      <c r="G130" t="s">
        <v>3834</v>
      </c>
    </row>
    <row r="131" spans="1:8">
      <c r="A131" t="s">
        <v>415</v>
      </c>
      <c r="B131" t="e">
        <f>VLOOKUP(A131,MemoryAvailable!A:B,2,FALSE)</f>
        <v>#N/A</v>
      </c>
      <c r="C131" t="s">
        <v>2587</v>
      </c>
      <c r="D131">
        <v>58839.674844733774</v>
      </c>
      <c r="E131">
        <v>195518.91945750601</v>
      </c>
      <c r="F131">
        <v>1453340.07995343</v>
      </c>
      <c r="G131" t="s">
        <v>3835</v>
      </c>
      <c r="H131" t="s">
        <v>2748</v>
      </c>
    </row>
    <row r="132" spans="1:8">
      <c r="A132" t="s">
        <v>551</v>
      </c>
      <c r="B132" t="str">
        <f>VLOOKUP(A132,MemoryAvailable!A:B,2,FALSE)</f>
        <v>AZRAPODL01</v>
      </c>
      <c r="C132" t="s">
        <v>2566</v>
      </c>
      <c r="D132">
        <v>57657.764252914872</v>
      </c>
      <c r="E132">
        <v>119968.30894209485</v>
      </c>
      <c r="F132">
        <v>5436943.3514487101</v>
      </c>
      <c r="G132" t="s">
        <v>3836</v>
      </c>
    </row>
    <row r="133" spans="1:8">
      <c r="A133" t="s">
        <v>2823</v>
      </c>
      <c r="B133" t="str">
        <f>VLOOKUP(A133,MemoryAvailable!A:B,2,FALSE)</f>
        <v>azwedom31.asia</v>
      </c>
      <c r="C133" t="s">
        <v>2566</v>
      </c>
      <c r="D133">
        <v>56044.089102478589</v>
      </c>
      <c r="E133">
        <v>159037.49164877544</v>
      </c>
      <c r="F133">
        <v>11997707</v>
      </c>
      <c r="G133" t="s">
        <v>3837</v>
      </c>
    </row>
    <row r="134" spans="1:8">
      <c r="A134" t="s">
        <v>343</v>
      </c>
      <c r="B134" t="str">
        <f>VLOOKUP(A134,MemoryAvailable!A:B,2,FALSE)</f>
        <v>appwe01fedex</v>
      </c>
      <c r="C134" t="s">
        <v>2566</v>
      </c>
      <c r="D134">
        <v>54850.538347426518</v>
      </c>
      <c r="E134">
        <v>129676.6789121101</v>
      </c>
      <c r="F134">
        <v>15303321</v>
      </c>
      <c r="G134" t="s">
        <v>3838</v>
      </c>
    </row>
    <row r="135" spans="1:8">
      <c r="A135" t="s">
        <v>2837</v>
      </c>
      <c r="B135" t="str">
        <f>VLOOKUP(A135,MemoryAvailable!A:B,2,FALSE)</f>
        <v>azwedom41.</v>
      </c>
      <c r="C135" t="s">
        <v>2566</v>
      </c>
      <c r="D135">
        <v>54798.950334444286</v>
      </c>
      <c r="E135">
        <v>160289.00956072827</v>
      </c>
      <c r="F135">
        <v>13144133</v>
      </c>
      <c r="G135" t="s">
        <v>3839</v>
      </c>
    </row>
    <row r="136" spans="1:8">
      <c r="A136" t="s">
        <v>615</v>
      </c>
      <c r="B136" t="str">
        <f>VLOOKUP(A136,MemoryAvailable!A:B,2,FALSE)</f>
        <v>cyclops-test</v>
      </c>
      <c r="C136" t="s">
        <v>2566</v>
      </c>
      <c r="D136">
        <v>54699.43199102884</v>
      </c>
      <c r="E136">
        <v>148141.14574967846</v>
      </c>
      <c r="F136">
        <v>21153374</v>
      </c>
      <c r="G136" t="s">
        <v>3840</v>
      </c>
    </row>
    <row r="137" spans="1:8">
      <c r="A137" t="s">
        <v>2862</v>
      </c>
      <c r="B137" t="str">
        <f>VLOOKUP(A137,MemoryAvailable!A:B,2,FALSE)</f>
        <v>azwedom11.uk-eire</v>
      </c>
      <c r="C137" t="s">
        <v>2566</v>
      </c>
      <c r="D137">
        <v>54338.572928563335</v>
      </c>
      <c r="E137">
        <v>164120.78874728116</v>
      </c>
      <c r="F137">
        <v>14258983</v>
      </c>
      <c r="G137" t="s">
        <v>3841</v>
      </c>
    </row>
    <row r="138" spans="1:8">
      <c r="A138" t="s">
        <v>2830</v>
      </c>
      <c r="B138" t="str">
        <f>VLOOKUP(A138,MemoryAvailable!A:B,2,FALSE)</f>
        <v>azwedom21</v>
      </c>
      <c r="C138" t="s">
        <v>2566</v>
      </c>
      <c r="D138">
        <v>53680.83558087948</v>
      </c>
      <c r="E138">
        <v>150418.28414770152</v>
      </c>
      <c r="F138">
        <v>12381310</v>
      </c>
      <c r="G138" t="s">
        <v>3842</v>
      </c>
    </row>
    <row r="139" spans="1:8">
      <c r="A139" t="s">
        <v>625</v>
      </c>
      <c r="B139" t="str">
        <f>VLOOKUP(A139,MemoryAvailable!A:B,2,FALSE)</f>
        <v>dbsne01mysql-prod</v>
      </c>
      <c r="C139" t="s">
        <v>2566</v>
      </c>
      <c r="D139">
        <v>53407.141476080396</v>
      </c>
      <c r="E139">
        <v>68318.522959984155</v>
      </c>
      <c r="F139">
        <v>523436270.65539199</v>
      </c>
      <c r="G139" t="s">
        <v>3843</v>
      </c>
    </row>
    <row r="140" spans="1:8">
      <c r="A140" t="s">
        <v>2802</v>
      </c>
      <c r="B140" t="str">
        <f>VLOOKUP(A140,MemoryAvailable!A:B,2,FALSE)</f>
        <v>appwe01fin-test</v>
      </c>
      <c r="C140" t="s">
        <v>2566</v>
      </c>
      <c r="D140">
        <v>52477.948762288543</v>
      </c>
      <c r="E140">
        <v>168914.02399188522</v>
      </c>
      <c r="F140">
        <v>31660226</v>
      </c>
      <c r="G140" t="s">
        <v>3844</v>
      </c>
    </row>
    <row r="141" spans="1:8">
      <c r="A141" t="s">
        <v>425</v>
      </c>
      <c r="B141" t="str">
        <f>VLOOKUP(A141,MemoryAvailable!A:B,2,FALSE)</f>
        <v>appwe01cannon</v>
      </c>
      <c r="C141" t="s">
        <v>2566</v>
      </c>
      <c r="D141">
        <v>51549.343880246939</v>
      </c>
      <c r="E141">
        <v>138479.34281207921</v>
      </c>
      <c r="F141">
        <v>19326286</v>
      </c>
      <c r="G141" t="s">
        <v>3845</v>
      </c>
    </row>
    <row r="142" spans="1:8">
      <c r="A142" t="s">
        <v>2607</v>
      </c>
      <c r="B142" t="str">
        <f>VLOOKUP(A142,MemoryAvailable!A:B,2,FALSE)</f>
        <v>appwe01srm</v>
      </c>
      <c r="C142" t="s">
        <v>2566</v>
      </c>
      <c r="D142">
        <v>51402.500185858778</v>
      </c>
      <c r="E142">
        <v>149791.85985437821</v>
      </c>
      <c r="F142">
        <v>17347786</v>
      </c>
      <c r="G142" t="s">
        <v>3846</v>
      </c>
    </row>
    <row r="143" spans="1:8">
      <c r="A143" t="s">
        <v>2817</v>
      </c>
      <c r="B143" t="str">
        <f>VLOOKUP(A143,MemoryAvailable!A:B,2,FALSE)</f>
        <v>appwe01dp-test</v>
      </c>
      <c r="C143" t="s">
        <v>2566</v>
      </c>
      <c r="D143">
        <v>49791.338600563809</v>
      </c>
      <c r="E143">
        <v>145941.8661992336</v>
      </c>
      <c r="F143">
        <v>30988124</v>
      </c>
      <c r="G143" t="s">
        <v>3847</v>
      </c>
    </row>
    <row r="144" spans="1:8">
      <c r="A144" t="s">
        <v>2826</v>
      </c>
      <c r="B144" t="str">
        <f>VLOOKUP(A144,MemoryAvailable!A:B,2,FALSE)</f>
        <v>AZREUNPS03ALW</v>
      </c>
      <c r="C144" t="s">
        <v>2566</v>
      </c>
      <c r="D144">
        <v>48375.652099207444</v>
      </c>
      <c r="E144">
        <v>177080.01225771912</v>
      </c>
      <c r="F144">
        <v>22457536</v>
      </c>
      <c r="G144" t="s">
        <v>3848</v>
      </c>
    </row>
    <row r="145" spans="1:8">
      <c r="A145" t="s">
        <v>2693</v>
      </c>
      <c r="B145" t="str">
        <f>VLOOKUP(A145,MemoryAvailable!A:B,2,FALSE)</f>
        <v>AZREUUIP05BOT</v>
      </c>
      <c r="C145" t="s">
        <v>2566</v>
      </c>
      <c r="D145">
        <v>47835.527801405413</v>
      </c>
      <c r="E145">
        <v>168046.02148266169</v>
      </c>
      <c r="F145">
        <v>4936897</v>
      </c>
      <c r="G145" t="s">
        <v>3849</v>
      </c>
    </row>
    <row r="146" spans="1:8">
      <c r="A146" t="s">
        <v>2749</v>
      </c>
      <c r="B146" t="str">
        <f>VLOOKUP(A146,MemoryAvailable!A:B,2,FALSE)</f>
        <v>AZREUWEB01DVL</v>
      </c>
      <c r="C146" t="s">
        <v>2566</v>
      </c>
      <c r="D146">
        <v>46206.936919041858</v>
      </c>
      <c r="E146">
        <v>140618.18066288877</v>
      </c>
      <c r="F146">
        <v>10063606</v>
      </c>
      <c r="G146" t="s">
        <v>3850</v>
      </c>
    </row>
    <row r="147" spans="1:8">
      <c r="A147" t="s">
        <v>2682</v>
      </c>
      <c r="B147" t="str">
        <f>VLOOKUP(A147,MemoryAvailable!A:B,2,FALSE)</f>
        <v>ratestream-development</v>
      </c>
      <c r="C147" t="s">
        <v>2566</v>
      </c>
      <c r="D147">
        <v>45426.349906317293</v>
      </c>
      <c r="E147">
        <v>173243.16752730648</v>
      </c>
      <c r="F147">
        <v>2866083.2680210602</v>
      </c>
      <c r="G147" t="s">
        <v>3851</v>
      </c>
    </row>
    <row r="148" spans="1:8">
      <c r="A148" t="s">
        <v>2849</v>
      </c>
      <c r="B148" t="str">
        <f>VLOOKUP(A148,MemoryAvailable!A:B,2,FALSE)</f>
        <v>appwe01turk-prd</v>
      </c>
      <c r="C148" t="s">
        <v>2566</v>
      </c>
      <c r="D148">
        <v>43401.691812689562</v>
      </c>
      <c r="E148">
        <v>135702.3689172889</v>
      </c>
      <c r="F148">
        <v>15620827</v>
      </c>
      <c r="G148" t="s">
        <v>3852</v>
      </c>
    </row>
    <row r="149" spans="1:8">
      <c r="A149" t="s">
        <v>2783</v>
      </c>
      <c r="B149" t="str">
        <f>VLOOKUP(A149,MemoryAvailable!A:B,2,FALSE)</f>
        <v>AZREUDEVNPS01</v>
      </c>
      <c r="C149" t="s">
        <v>2566</v>
      </c>
      <c r="D149">
        <v>42651.296057163345</v>
      </c>
      <c r="E149">
        <v>115025.71101739367</v>
      </c>
      <c r="F149">
        <v>9438531</v>
      </c>
      <c r="G149" t="s">
        <v>3853</v>
      </c>
    </row>
    <row r="150" spans="1:8">
      <c r="A150" t="s">
        <v>2798</v>
      </c>
      <c r="B150" t="str">
        <f>VLOOKUP(A150,MemoryAvailable!A:B,2,FALSE)</f>
        <v>AZREUUIP02ORC</v>
      </c>
      <c r="C150" t="s">
        <v>2566</v>
      </c>
      <c r="D150">
        <v>41089.000602403925</v>
      </c>
      <c r="E150">
        <v>109027.8056544821</v>
      </c>
      <c r="F150">
        <v>17824340</v>
      </c>
      <c r="G150" t="s">
        <v>3854</v>
      </c>
    </row>
    <row r="151" spans="1:8">
      <c r="A151" t="s">
        <v>576</v>
      </c>
      <c r="B151" t="str">
        <f>VLOOKUP(A151,MemoryAvailable!A:B,2,FALSE)</f>
        <v>AZRUSODL01</v>
      </c>
      <c r="C151" t="s">
        <v>2566</v>
      </c>
      <c r="D151">
        <v>39977.769891317883</v>
      </c>
      <c r="E151">
        <v>62274.608098960998</v>
      </c>
      <c r="F151">
        <v>349266629.74194199</v>
      </c>
      <c r="G151" t="s">
        <v>3855</v>
      </c>
    </row>
    <row r="152" spans="1:8">
      <c r="A152" t="s">
        <v>2772</v>
      </c>
      <c r="B152" t="str">
        <f>VLOOKUP(A152,MemoryAvailable!A:B,2,FALSE)</f>
        <v>appwe03ttn-uat</v>
      </c>
      <c r="C152" t="s">
        <v>2566</v>
      </c>
      <c r="D152">
        <v>36945.717366092147</v>
      </c>
      <c r="E152">
        <v>101986.1828718106</v>
      </c>
      <c r="F152">
        <v>13797531</v>
      </c>
      <c r="G152" t="s">
        <v>3856</v>
      </c>
    </row>
    <row r="153" spans="1:8">
      <c r="A153" t="s">
        <v>2711</v>
      </c>
      <c r="B153" t="str">
        <f>VLOOKUP(A153,MemoryAvailable!A:B,2,FALSE)</f>
        <v>AZREUDBS02CLV</v>
      </c>
      <c r="C153" t="s">
        <v>2566</v>
      </c>
      <c r="D153">
        <v>36832.68864876224</v>
      </c>
      <c r="E153">
        <v>137501.05421486517</v>
      </c>
      <c r="F153">
        <v>6722821</v>
      </c>
      <c r="G153" t="s">
        <v>3857</v>
      </c>
    </row>
    <row r="154" spans="1:8">
      <c r="A154" t="s">
        <v>663</v>
      </c>
      <c r="B154" t="str">
        <f>VLOOKUP(A154,MemoryAvailable!A:B,2,FALSE)</f>
        <v>dbswe02cst-prod</v>
      </c>
      <c r="C154" t="s">
        <v>2566</v>
      </c>
      <c r="D154">
        <v>30889.071891250012</v>
      </c>
      <c r="E154">
        <v>90071.180049158138</v>
      </c>
      <c r="F154">
        <v>17508491.738362201</v>
      </c>
      <c r="G154" t="s">
        <v>3858</v>
      </c>
    </row>
    <row r="155" spans="1:8">
      <c r="A155" t="s">
        <v>516</v>
      </c>
      <c r="B155" t="str">
        <f>VLOOKUP(A155,MemoryAvailable!A:B,2,FALSE)</f>
        <v>appwe02sales-prod</v>
      </c>
      <c r="C155" t="s">
        <v>2587</v>
      </c>
      <c r="D155">
        <v>29445.591159495307</v>
      </c>
      <c r="E155">
        <v>94353.808128198696</v>
      </c>
      <c r="F155">
        <v>16222127.4229885</v>
      </c>
      <c r="G155" t="s">
        <v>3859</v>
      </c>
      <c r="H155" t="s">
        <v>2679</v>
      </c>
    </row>
    <row r="156" spans="1:8">
      <c r="A156" t="s">
        <v>481</v>
      </c>
      <c r="B156" t="str">
        <f>VLOOKUP(A156,MemoryAvailable!A:B,2,FALSE)</f>
        <v>appwe01ratestream-prod</v>
      </c>
      <c r="C156" t="s">
        <v>2566</v>
      </c>
      <c r="D156">
        <v>29405.450883883583</v>
      </c>
      <c r="E156">
        <v>97619.62591910435</v>
      </c>
      <c r="F156">
        <v>14926741.526117001</v>
      </c>
      <c r="G156" t="s">
        <v>3860</v>
      </c>
    </row>
    <row r="157" spans="1:8">
      <c r="A157" t="s">
        <v>2720</v>
      </c>
      <c r="B157" t="str">
        <f>VLOOKUP(A157,MemoryAvailable!A:B,2,FALSE)</f>
        <v>appwe02ttn-uat</v>
      </c>
      <c r="C157" t="s">
        <v>2566</v>
      </c>
      <c r="D157">
        <v>28561.727745243399</v>
      </c>
      <c r="E157">
        <v>95238.935748934993</v>
      </c>
      <c r="F157">
        <v>3121376</v>
      </c>
      <c r="G157" t="s">
        <v>3861</v>
      </c>
    </row>
    <row r="158" spans="1:8">
      <c r="A158" t="s">
        <v>458</v>
      </c>
      <c r="B158" t="str">
        <f>VLOOKUP(A158,MemoryAvailable!A:B,2,FALSE)</f>
        <v>appwe01ftp-prod</v>
      </c>
      <c r="C158" t="s">
        <v>2566</v>
      </c>
      <c r="D158">
        <v>25857.803989724885</v>
      </c>
      <c r="E158">
        <v>93107.606688374275</v>
      </c>
      <c r="F158">
        <v>84003399.230871305</v>
      </c>
      <c r="G158" t="s">
        <v>3862</v>
      </c>
    </row>
    <row r="159" spans="1:8">
      <c r="A159" t="s">
        <v>498</v>
      </c>
      <c r="B159" t="str">
        <f>VLOOKUP(A159,MemoryAvailable!A:B,2,FALSE)</f>
        <v>dbswe02mysql-uat</v>
      </c>
      <c r="C159" t="s">
        <v>2587</v>
      </c>
      <c r="D159">
        <v>24570.199352496857</v>
      </c>
      <c r="E159">
        <v>72172.621774151528</v>
      </c>
      <c r="F159">
        <v>15966732.124771301</v>
      </c>
      <c r="G159" t="s">
        <v>3863</v>
      </c>
      <c r="H159" t="s">
        <v>2801</v>
      </c>
    </row>
    <row r="160" spans="1:8">
      <c r="A160" t="s">
        <v>555</v>
      </c>
      <c r="B160" t="str">
        <f>VLOOKUP(A160,MemoryAvailable!A:B,2,FALSE)</f>
        <v>appwe01hpi-test</v>
      </c>
      <c r="C160" t="s">
        <v>2587</v>
      </c>
      <c r="D160">
        <v>24517.103265850961</v>
      </c>
      <c r="E160">
        <v>82986.009211787343</v>
      </c>
      <c r="F160">
        <v>20695696.753293902</v>
      </c>
      <c r="G160" t="s">
        <v>3864</v>
      </c>
      <c r="H160" t="s">
        <v>2723</v>
      </c>
    </row>
    <row r="161" spans="1:8">
      <c r="A161" t="s">
        <v>644</v>
      </c>
      <c r="B161" t="str">
        <f>VLOOKUP(A161,MemoryAvailable!A:B,2,FALSE)</f>
        <v>dbswe01mysql-test</v>
      </c>
      <c r="C161" t="s">
        <v>2587</v>
      </c>
      <c r="D161">
        <v>23547.725588178957</v>
      </c>
      <c r="E161">
        <v>72765.781541839766</v>
      </c>
      <c r="F161">
        <v>15965910.748280101</v>
      </c>
      <c r="G161" t="s">
        <v>3865</v>
      </c>
      <c r="H161" t="s">
        <v>2843</v>
      </c>
    </row>
    <row r="162" spans="1:8">
      <c r="A162" t="s">
        <v>665</v>
      </c>
      <c r="B162" t="str">
        <f>VLOOKUP(A162,MemoryAvailable!A:B,2,FALSE)</f>
        <v>dbswe02mysql-prod</v>
      </c>
      <c r="C162" t="s">
        <v>2587</v>
      </c>
      <c r="D162">
        <v>23337.798742700186</v>
      </c>
      <c r="E162">
        <v>73247.366712404328</v>
      </c>
      <c r="F162">
        <v>17238016.131228</v>
      </c>
      <c r="G162" t="s">
        <v>3866</v>
      </c>
      <c r="H162" t="s">
        <v>2886</v>
      </c>
    </row>
    <row r="163" spans="1:8">
      <c r="A163" t="s">
        <v>513</v>
      </c>
      <c r="B163" t="str">
        <f>VLOOKUP(A163,MemoryAvailable!A:B,2,FALSE)</f>
        <v>appwe02ratestream-prod</v>
      </c>
      <c r="C163" t="s">
        <v>2566</v>
      </c>
      <c r="D163">
        <v>22797.293131656399</v>
      </c>
      <c r="E163">
        <v>85102.153730948645</v>
      </c>
      <c r="F163">
        <v>13501310.767116399</v>
      </c>
      <c r="G163" t="s">
        <v>3867</v>
      </c>
    </row>
    <row r="164" spans="1:8">
      <c r="A164" t="s">
        <v>483</v>
      </c>
      <c r="B164" t="str">
        <f>VLOOKUP(A164,MemoryAvailable!A:B,2,FALSE)</f>
        <v>appwe01sales-prod</v>
      </c>
      <c r="C164" t="s">
        <v>2587</v>
      </c>
      <c r="D164">
        <v>22747.087590701372</v>
      </c>
      <c r="E164">
        <v>78908.573196134806</v>
      </c>
      <c r="F164">
        <v>17018330.524785399</v>
      </c>
      <c r="G164" t="s">
        <v>3868</v>
      </c>
      <c r="H164" t="s">
        <v>2856</v>
      </c>
    </row>
    <row r="165" spans="1:8">
      <c r="A165" t="s">
        <v>570</v>
      </c>
      <c r="B165" t="str">
        <f>VLOOKUP(A165,MemoryAvailable!A:B,2,FALSE)</f>
        <v>AZREUTRI02DBS</v>
      </c>
      <c r="C165" t="s">
        <v>2566</v>
      </c>
      <c r="D165">
        <v>22259.992311058671</v>
      </c>
      <c r="E165">
        <v>95748.894448671592</v>
      </c>
      <c r="F165">
        <v>10932381.295395199</v>
      </c>
      <c r="G165" t="s">
        <v>3869</v>
      </c>
    </row>
    <row r="166" spans="1:8">
      <c r="A166" t="s">
        <v>460</v>
      </c>
      <c r="B166" t="str">
        <f>VLOOKUP(A166,MemoryAvailable!A:B,2,FALSE)</f>
        <v>appwe01hpi-prod</v>
      </c>
      <c r="C166" t="s">
        <v>2566</v>
      </c>
      <c r="D166">
        <v>20765.210631614042</v>
      </c>
      <c r="E166">
        <v>73935.034875533674</v>
      </c>
      <c r="F166">
        <v>17043479.397876199</v>
      </c>
      <c r="G166" t="s">
        <v>3870</v>
      </c>
    </row>
    <row r="167" spans="1:8">
      <c r="A167" t="s">
        <v>622</v>
      </c>
      <c r="B167" t="str">
        <f>VLOOKUP(A167,MemoryAvailable!A:B,2,FALSE)</f>
        <v>dbsne01cst-dr</v>
      </c>
      <c r="C167" t="s">
        <v>2587</v>
      </c>
      <c r="D167">
        <v>19234.629333416309</v>
      </c>
      <c r="E167">
        <v>68876.330118675745</v>
      </c>
      <c r="F167">
        <v>16148721.8708707</v>
      </c>
      <c r="G167" t="s">
        <v>3871</v>
      </c>
      <c r="H167" t="s">
        <v>2875</v>
      </c>
    </row>
    <row r="168" spans="1:8">
      <c r="A168" t="s">
        <v>467</v>
      </c>
      <c r="B168" t="str">
        <f>VLOOKUP(A168,MemoryAvailable!A:B,2,FALSE)</f>
        <v>appwe01mags-prod</v>
      </c>
      <c r="C168" t="s">
        <v>2587</v>
      </c>
      <c r="D168">
        <v>16442.546052646871</v>
      </c>
      <c r="E168">
        <v>69046.010727096014</v>
      </c>
      <c r="F168">
        <v>33259096.203453898</v>
      </c>
      <c r="G168" t="s">
        <v>3872</v>
      </c>
      <c r="H168" t="s">
        <v>2624</v>
      </c>
    </row>
    <row r="169" spans="1:8">
      <c r="A169" t="s">
        <v>310</v>
      </c>
      <c r="B169" t="str">
        <f>VLOOKUP(A169,MemoryAvailable!A:B,2,FALSE)</f>
        <v>appwe02sales-uat</v>
      </c>
      <c r="C169" t="s">
        <v>2587</v>
      </c>
      <c r="D169">
        <v>15667.613124184312</v>
      </c>
      <c r="E169">
        <v>66241.548660093147</v>
      </c>
      <c r="F169">
        <v>18020009.641940702</v>
      </c>
      <c r="G169" t="s">
        <v>3873</v>
      </c>
      <c r="H169" t="s">
        <v>2734</v>
      </c>
    </row>
    <row r="170" spans="1:8">
      <c r="A170" t="s">
        <v>284</v>
      </c>
      <c r="B170" t="str">
        <f>VLOOKUP(A170,MemoryAvailable!A:B,2,FALSE)</f>
        <v>appwe01sales-uat</v>
      </c>
      <c r="C170" t="s">
        <v>2587</v>
      </c>
      <c r="D170">
        <v>15539.473869615293</v>
      </c>
      <c r="E170">
        <v>62513.563769658882</v>
      </c>
      <c r="F170">
        <v>22361131.741257999</v>
      </c>
      <c r="G170" t="s">
        <v>3874</v>
      </c>
      <c r="H170" t="s">
        <v>2762</v>
      </c>
    </row>
    <row r="171" spans="1:8">
      <c r="A171" t="s">
        <v>505</v>
      </c>
      <c r="B171" t="str">
        <f>VLOOKUP(A171,MemoryAvailable!A:B,2,FALSE)</f>
        <v>dbswe03cst-uat</v>
      </c>
      <c r="C171" t="s">
        <v>2566</v>
      </c>
      <c r="D171">
        <v>15307.609129853232</v>
      </c>
      <c r="E171">
        <v>55807.720987356101</v>
      </c>
      <c r="F171">
        <v>16164388.494565301</v>
      </c>
      <c r="G171" t="s">
        <v>3875</v>
      </c>
    </row>
    <row r="172" spans="1:8">
      <c r="A172" t="s">
        <v>352</v>
      </c>
      <c r="B172" t="str">
        <f>VLOOKUP(A172,MemoryAvailable!A:B,2,FALSE)</f>
        <v>AZREUDEVRAD01</v>
      </c>
      <c r="C172" t="s">
        <v>2566</v>
      </c>
      <c r="D172">
        <v>14635.790609624039</v>
      </c>
      <c r="E172">
        <v>58588.976721718573</v>
      </c>
      <c r="F172">
        <v>2240889.7545864498</v>
      </c>
      <c r="G172" t="s">
        <v>3876</v>
      </c>
    </row>
    <row r="173" spans="1:8">
      <c r="A173" t="s">
        <v>282</v>
      </c>
      <c r="B173" t="str">
        <f>VLOOKUP(A173,MemoryAvailable!A:B,2,FALSE)</f>
        <v>appwe01sales-test</v>
      </c>
      <c r="C173" t="s">
        <v>2587</v>
      </c>
      <c r="D173">
        <v>14295.908117509098</v>
      </c>
      <c r="E173">
        <v>64994.783260359291</v>
      </c>
      <c r="F173">
        <v>16347193.2207697</v>
      </c>
      <c r="G173" t="s">
        <v>3877</v>
      </c>
      <c r="H173" t="s">
        <v>2788</v>
      </c>
    </row>
    <row r="174" spans="1:8">
      <c r="A174" t="s">
        <v>674</v>
      </c>
      <c r="B174" t="str">
        <f>VLOOKUP(A174,MemoryAvailable!A:B,2,FALSE)</f>
        <v>dbswe03cst-prod</v>
      </c>
      <c r="C174" t="s">
        <v>2566</v>
      </c>
      <c r="D174">
        <v>12692.866699918968</v>
      </c>
      <c r="E174">
        <v>58002.523432165457</v>
      </c>
      <c r="F174">
        <v>16949292.052496102</v>
      </c>
      <c r="G174" t="s">
        <v>3878</v>
      </c>
    </row>
    <row r="175" spans="1:8">
      <c r="A175" t="s">
        <v>667</v>
      </c>
      <c r="B175" t="str">
        <f>VLOOKUP(A175,MemoryAvailable!A:B,2,FALSE)</f>
        <v>appwe01magazines-uat</v>
      </c>
      <c r="C175" t="s">
        <v>2587</v>
      </c>
      <c r="D175">
        <v>11319.130024088443</v>
      </c>
      <c r="E175">
        <v>52502.840656016611</v>
      </c>
      <c r="F175">
        <v>17980237.518559501</v>
      </c>
      <c r="G175" t="s">
        <v>3879</v>
      </c>
      <c r="H175" t="s">
        <v>2737</v>
      </c>
    </row>
    <row r="176" spans="1:8">
      <c r="A176" t="s">
        <v>323</v>
      </c>
      <c r="B176" t="str">
        <f>VLOOKUP(A176,MemoryAvailable!A:B,2,FALSE)</f>
        <v>appwe01cst-test</v>
      </c>
      <c r="C176" t="s">
        <v>2587</v>
      </c>
      <c r="D176">
        <v>4192.3197513286595</v>
      </c>
      <c r="F176">
        <v>3699720.6910627401</v>
      </c>
      <c r="G176" t="s">
        <v>3880</v>
      </c>
      <c r="H176" t="s">
        <v>2708</v>
      </c>
    </row>
    <row r="177" spans="1:8">
      <c r="A177" t="s">
        <v>520</v>
      </c>
      <c r="B177" t="str">
        <f>VLOOKUP(A177,MemoryAvailable!A:B,2,FALSE)</f>
        <v>appwe01cst-uat</v>
      </c>
      <c r="C177" t="s">
        <v>2587</v>
      </c>
      <c r="D177">
        <v>38.313549777331716</v>
      </c>
      <c r="F177">
        <v>425512.71940502099</v>
      </c>
      <c r="G177" t="s">
        <v>3881</v>
      </c>
      <c r="H177" t="s">
        <v>2797</v>
      </c>
    </row>
    <row r="178" spans="1:8">
      <c r="A178" t="s">
        <v>442</v>
      </c>
      <c r="B178" t="str">
        <f>VLOOKUP(A178,MemoryAvailable!A:B,2,FALSE)</f>
        <v>appwe01cst-prod</v>
      </c>
      <c r="C178" t="s">
        <v>2587</v>
      </c>
      <c r="D178">
        <v>37.969765683724148</v>
      </c>
      <c r="F178">
        <v>77340.824686196196</v>
      </c>
      <c r="G178" t="s">
        <v>3882</v>
      </c>
      <c r="H178" t="s">
        <v>2657</v>
      </c>
    </row>
    <row r="179" spans="1:8">
      <c r="A179" t="s">
        <v>521</v>
      </c>
      <c r="B179" t="str">
        <f>VLOOKUP(A179,MemoryAvailable!A:B,2,FALSE)</f>
        <v>appwe03cst-prod</v>
      </c>
      <c r="C179" t="s">
        <v>2566</v>
      </c>
      <c r="D179">
        <v>6.715681344622106</v>
      </c>
      <c r="F179">
        <v>336678.133307738</v>
      </c>
      <c r="G179" t="s">
        <v>3883</v>
      </c>
    </row>
    <row r="180" spans="1:8">
      <c r="A180" t="s">
        <v>384</v>
      </c>
      <c r="B180" t="str">
        <f>VLOOKUP(A180,MemoryAvailable!A:B,2,FALSE)</f>
        <v>appwe01sftp-tst</v>
      </c>
      <c r="C180" t="s">
        <v>2566</v>
      </c>
      <c r="D180">
        <v>0.41522994201378793</v>
      </c>
      <c r="F180">
        <v>887.51136522989805</v>
      </c>
      <c r="G180" t="s">
        <v>3884</v>
      </c>
    </row>
    <row r="181" spans="1:8">
      <c r="A181" t="s">
        <v>386</v>
      </c>
      <c r="B181" t="str">
        <f>VLOOKUP(A181,MemoryAvailable!A:B,2,FALSE)</f>
        <v>appwe01sftp-uat</v>
      </c>
      <c r="C181" t="s">
        <v>2566</v>
      </c>
      <c r="D181">
        <v>0.30603358226364541</v>
      </c>
      <c r="F181">
        <v>1024.00727067349</v>
      </c>
      <c r="G181" t="s">
        <v>3885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30F8D-5BE8-4105-AAB9-8A6ED93501E6}">
  <sheetPr codeName="Sheet16"/>
  <dimension ref="A1:H181"/>
  <sheetViews>
    <sheetView workbookViewId="0">
      <selection activeCell="A9" sqref="A9"/>
    </sheetView>
  </sheetViews>
  <sheetFormatPr defaultRowHeight="14.5"/>
  <cols>
    <col min="1" max="1" width="30" bestFit="1" customWidth="1"/>
    <col min="2" max="2" width="27.81640625" bestFit="1" customWidth="1"/>
  </cols>
  <sheetData>
    <row r="1" spans="1:8">
      <c r="A1" t="s">
        <v>2514</v>
      </c>
      <c r="B1" t="s">
        <v>2515</v>
      </c>
      <c r="C1" t="s">
        <v>2516</v>
      </c>
      <c r="D1" t="s">
        <v>2517</v>
      </c>
      <c r="E1" t="s">
        <v>2518</v>
      </c>
      <c r="F1" t="s">
        <v>2519</v>
      </c>
      <c r="G1" t="s">
        <v>2520</v>
      </c>
      <c r="H1" t="s">
        <v>2521</v>
      </c>
    </row>
    <row r="2" spans="1:8">
      <c r="A2" t="s">
        <v>2596</v>
      </c>
      <c r="B2" t="str">
        <f>VLOOKUP(A2,MemoryAvailable!A:B,2,FALSE)</f>
        <v>AZREUDBS01SLW</v>
      </c>
      <c r="C2" t="s">
        <v>2566</v>
      </c>
      <c r="D2">
        <v>327.31532065843226</v>
      </c>
      <c r="E2">
        <v>1128.5168223307567</v>
      </c>
      <c r="F2">
        <v>3124.65209960938</v>
      </c>
      <c r="G2" t="s">
        <v>3886</v>
      </c>
    </row>
    <row r="3" spans="1:8">
      <c r="A3" t="s">
        <v>2617</v>
      </c>
      <c r="B3" t="str">
        <f>VLOOKUP(A3,MemoryAvailable!A:B,2,FALSE)</f>
        <v>dbwe01sql2-prod</v>
      </c>
      <c r="C3" t="s">
        <v>2566</v>
      </c>
      <c r="D3">
        <v>181.45403888473268</v>
      </c>
      <c r="E3">
        <v>482.86034946120526</v>
      </c>
      <c r="F3">
        <v>5967.5771484375</v>
      </c>
      <c r="G3" t="s">
        <v>3887</v>
      </c>
    </row>
    <row r="4" spans="1:8">
      <c r="A4" t="s">
        <v>2593</v>
      </c>
      <c r="B4" t="str">
        <f>VLOOKUP(A4,MemoryAvailable!A:B,2,FALSE)</f>
        <v>dbswe01ttn-prod</v>
      </c>
      <c r="C4" t="s">
        <v>2587</v>
      </c>
      <c r="D4">
        <v>141.87909044202894</v>
      </c>
      <c r="E4">
        <v>432.41436700875937</v>
      </c>
      <c r="F4">
        <v>4609.18798828125</v>
      </c>
      <c r="G4" t="s">
        <v>3888</v>
      </c>
      <c r="H4" t="s">
        <v>2595</v>
      </c>
    </row>
    <row r="5" spans="1:8">
      <c r="A5" t="s">
        <v>2702</v>
      </c>
      <c r="B5" t="str">
        <f>VLOOKUP(A5,MemoryAvailable!A:B,2,FALSE)</f>
        <v>dbswe02ttn-prod</v>
      </c>
      <c r="C5" t="s">
        <v>2566</v>
      </c>
      <c r="D5">
        <v>100.54266436828223</v>
      </c>
      <c r="E5">
        <v>354.58332903986479</v>
      </c>
      <c r="F5">
        <v>6804.89404296875</v>
      </c>
      <c r="G5" t="s">
        <v>3889</v>
      </c>
    </row>
    <row r="6" spans="1:8">
      <c r="A6" t="s">
        <v>2844</v>
      </c>
      <c r="B6" t="str">
        <f>VLOOKUP(A6,MemoryAvailable!A:B,2,FALSE)</f>
        <v>dbsne03ttn-dr</v>
      </c>
      <c r="C6" t="s">
        <v>2566</v>
      </c>
      <c r="D6">
        <v>95.421896126070436</v>
      </c>
      <c r="E6">
        <v>353.07387897354982</v>
      </c>
      <c r="F6">
        <v>6990.927734375</v>
      </c>
      <c r="G6" t="s">
        <v>3890</v>
      </c>
    </row>
    <row r="7" spans="1:8">
      <c r="A7" t="s">
        <v>2619</v>
      </c>
      <c r="B7" t="str">
        <f>VLOOKUP(A7,MemoryAvailable!A:B,2,FALSE)</f>
        <v>dbswe01ttn-uat</v>
      </c>
      <c r="C7" t="s">
        <v>2566</v>
      </c>
      <c r="D7">
        <v>91.369332450921561</v>
      </c>
      <c r="E7">
        <v>409.23037497625683</v>
      </c>
      <c r="F7">
        <v>5408.50439453125</v>
      </c>
      <c r="G7" t="s">
        <v>3891</v>
      </c>
    </row>
    <row r="8" spans="1:8">
      <c r="A8" t="s">
        <v>2717</v>
      </c>
      <c r="B8" t="str">
        <f>VLOOKUP(A8,MemoryAvailable!A:B,2,FALSE)</f>
        <v>dbwe02sql2-prod</v>
      </c>
      <c r="C8" t="s">
        <v>2566</v>
      </c>
      <c r="D8">
        <v>87.841675875793015</v>
      </c>
      <c r="E8">
        <v>332.15860637457342</v>
      </c>
      <c r="F8">
        <v>7395.9619140625</v>
      </c>
      <c r="G8" t="s">
        <v>3892</v>
      </c>
    </row>
    <row r="9" spans="1:8">
      <c r="A9" t="s">
        <v>2643</v>
      </c>
      <c r="B9" t="str">
        <f>VLOOKUP(A9,MemoryAvailable!A:B,2,FALSE)</f>
        <v>dbswe01ttn-test</v>
      </c>
      <c r="C9" t="s">
        <v>2566</v>
      </c>
      <c r="D9">
        <v>83.693178755513131</v>
      </c>
      <c r="E9">
        <v>316.1575067384295</v>
      </c>
      <c r="F9">
        <v>5858.93017578125</v>
      </c>
      <c r="G9" t="s">
        <v>3893</v>
      </c>
    </row>
    <row r="10" spans="1:8">
      <c r="A10" t="s">
        <v>2669</v>
      </c>
      <c r="B10" t="str">
        <f>VLOOKUP(A10,MemoryAvailable!A:B,2,FALSE)</f>
        <v>dbne03sql2-dr</v>
      </c>
      <c r="C10" t="s">
        <v>2566</v>
      </c>
      <c r="D10">
        <v>80.781003610796475</v>
      </c>
      <c r="E10">
        <v>330.47988934374717</v>
      </c>
      <c r="F10">
        <v>6793.6123046875</v>
      </c>
      <c r="G10" t="s">
        <v>3894</v>
      </c>
    </row>
    <row r="11" spans="1:8">
      <c r="A11" t="s">
        <v>2649</v>
      </c>
      <c r="B11" t="str">
        <f>VLOOKUP(A11,MemoryAvailable!A:B,2,FALSE)</f>
        <v>appwe04neo-prod</v>
      </c>
      <c r="C11" t="s">
        <v>2566</v>
      </c>
      <c r="D11">
        <v>65.594864943467343</v>
      </c>
      <c r="E11">
        <v>275.08796687898126</v>
      </c>
      <c r="F11">
        <v>458.42739868164102</v>
      </c>
      <c r="G11" t="s">
        <v>3895</v>
      </c>
    </row>
    <row r="12" spans="1:8">
      <c r="A12" t="s">
        <v>2651</v>
      </c>
      <c r="B12" t="str">
        <f>VLOOKUP(A12,MemoryAvailable!A:B,2,FALSE)</f>
        <v>dbswe02ttn-uat</v>
      </c>
      <c r="C12" t="s">
        <v>2566</v>
      </c>
      <c r="D12">
        <v>61.729784373849036</v>
      </c>
      <c r="E12">
        <v>245.00973599792377</v>
      </c>
      <c r="F12">
        <v>7353.0654296875</v>
      </c>
      <c r="G12" t="s">
        <v>3896</v>
      </c>
    </row>
    <row r="13" spans="1:8">
      <c r="A13" t="s">
        <v>2641</v>
      </c>
      <c r="B13" t="str">
        <f>VLOOKUP(A13,MemoryAvailable!A:B,2,FALSE)</f>
        <v>appwe02neo-prod</v>
      </c>
      <c r="C13" t="s">
        <v>2566</v>
      </c>
      <c r="D13">
        <v>51.882556048488901</v>
      </c>
      <c r="E13">
        <v>260.57404156198197</v>
      </c>
      <c r="F13">
        <v>458.72937011718801</v>
      </c>
      <c r="G13" t="s">
        <v>3897</v>
      </c>
    </row>
    <row r="14" spans="1:8">
      <c r="A14" t="s">
        <v>2582</v>
      </c>
      <c r="B14" t="str">
        <f>VLOOKUP(A14,MemoryAvailable!A:B,2,FALSE)</f>
        <v>AZRUSMON02SLW</v>
      </c>
      <c r="C14" t="s">
        <v>2566</v>
      </c>
      <c r="D14">
        <v>29.983941839020115</v>
      </c>
      <c r="E14">
        <v>110.51149001698599</v>
      </c>
      <c r="F14">
        <v>492.44857788085898</v>
      </c>
      <c r="G14" t="s">
        <v>3898</v>
      </c>
    </row>
    <row r="15" spans="1:8">
      <c r="A15" t="s">
        <v>2598</v>
      </c>
      <c r="B15" t="str">
        <f>VLOOKUP(A15,MemoryAvailable!A:B,2,FALSE)</f>
        <v>AZREUMON01SLW</v>
      </c>
      <c r="C15" t="s">
        <v>2566</v>
      </c>
      <c r="D15">
        <v>28.668823364005899</v>
      </c>
      <c r="E15">
        <v>101.37350968191498</v>
      </c>
      <c r="F15">
        <v>523.59124755859398</v>
      </c>
      <c r="G15" t="s">
        <v>3899</v>
      </c>
    </row>
    <row r="16" spans="1:8">
      <c r="A16" t="s">
        <v>2565</v>
      </c>
      <c r="B16" t="str">
        <f>VLOOKUP(A16,MemoryAvailable!A:B,2,FALSE)</f>
        <v>AZREUMON06SLW</v>
      </c>
      <c r="C16" t="s">
        <v>2566</v>
      </c>
      <c r="D16">
        <v>28.296237765437887</v>
      </c>
      <c r="E16">
        <v>105.65146465796174</v>
      </c>
      <c r="F16">
        <v>502.110107421875</v>
      </c>
      <c r="G16" t="s">
        <v>3900</v>
      </c>
    </row>
    <row r="17" spans="1:8">
      <c r="A17" t="s">
        <v>2580</v>
      </c>
      <c r="B17" t="str">
        <f>VLOOKUP(A17,MemoryAvailable!A:B,2,FALSE)</f>
        <v>AZREUMON05SLW</v>
      </c>
      <c r="C17" t="s">
        <v>2566</v>
      </c>
      <c r="D17">
        <v>27.974053003888905</v>
      </c>
      <c r="E17">
        <v>99.570921128088088</v>
      </c>
      <c r="F17">
        <v>496.77069091796898</v>
      </c>
      <c r="G17" t="s">
        <v>3901</v>
      </c>
    </row>
    <row r="18" spans="1:8">
      <c r="A18" t="s">
        <v>2578</v>
      </c>
      <c r="B18" t="str">
        <f>VLOOKUP(A18,MemoryAvailable!A:B,2,FALSE)</f>
        <v>AZREUMON03SLW</v>
      </c>
      <c r="C18" t="s">
        <v>2566</v>
      </c>
      <c r="D18">
        <v>27.543351571250618</v>
      </c>
      <c r="E18">
        <v>96.755466366459359</v>
      </c>
      <c r="F18">
        <v>512.97857666015602</v>
      </c>
      <c r="G18" t="s">
        <v>3902</v>
      </c>
    </row>
    <row r="19" spans="1:8">
      <c r="A19" t="s">
        <v>2584</v>
      </c>
      <c r="B19" t="str">
        <f>VLOOKUP(A19,MemoryAvailable!A:B,2,FALSE)</f>
        <v>AZREUMON04SLW</v>
      </c>
      <c r="C19" t="s">
        <v>2566</v>
      </c>
      <c r="D19">
        <v>27.067046095722645</v>
      </c>
      <c r="E19">
        <v>96.830137633062265</v>
      </c>
      <c r="F19">
        <v>524.79095458984398</v>
      </c>
      <c r="G19" t="s">
        <v>3903</v>
      </c>
    </row>
    <row r="20" spans="1:8">
      <c r="A20" t="s">
        <v>2574</v>
      </c>
      <c r="B20" t="str">
        <f>VLOOKUP(A20,MemoryAvailable!A:B,2,FALSE)</f>
        <v>AZREUMON02SLW</v>
      </c>
      <c r="C20" t="s">
        <v>2566</v>
      </c>
      <c r="D20">
        <v>26.838201675959013</v>
      </c>
      <c r="E20">
        <v>96.603405461173892</v>
      </c>
      <c r="F20">
        <v>511.631103515625</v>
      </c>
      <c r="G20" t="s">
        <v>3904</v>
      </c>
    </row>
    <row r="21" spans="1:8">
      <c r="A21" t="s">
        <v>2604</v>
      </c>
      <c r="B21" t="str">
        <f>VLOOKUP(A21,MemoryAvailable!A:B,2,FALSE)</f>
        <v>AZRUSMON04SLW</v>
      </c>
      <c r="C21" t="s">
        <v>2566</v>
      </c>
      <c r="D21">
        <v>24.99936206228243</v>
      </c>
      <c r="E21">
        <v>87.039006464060449</v>
      </c>
      <c r="F21">
        <v>477.38058471679699</v>
      </c>
      <c r="G21" t="s">
        <v>3905</v>
      </c>
    </row>
    <row r="22" spans="1:8">
      <c r="A22" t="s">
        <v>2602</v>
      </c>
      <c r="B22" t="str">
        <f>VLOOKUP(A22,MemoryAvailable!A:B,2,FALSE)</f>
        <v>AZRUSMON01SLW</v>
      </c>
      <c r="C22" t="s">
        <v>2566</v>
      </c>
      <c r="D22">
        <v>23.965297130701831</v>
      </c>
      <c r="E22">
        <v>85.100038634979313</v>
      </c>
      <c r="F22">
        <v>486.31607055664102</v>
      </c>
      <c r="G22" t="s">
        <v>3906</v>
      </c>
    </row>
    <row r="23" spans="1:8">
      <c r="A23" t="s">
        <v>2609</v>
      </c>
      <c r="B23" t="str">
        <f>VLOOKUP(A23,MemoryAvailable!A:B,2,FALSE)</f>
        <v>AZRUSMON05SLW</v>
      </c>
      <c r="C23" t="s">
        <v>2566</v>
      </c>
      <c r="D23">
        <v>23.6074845201938</v>
      </c>
      <c r="E23">
        <v>84.218430392102334</v>
      </c>
      <c r="F23">
        <v>534.07958984375</v>
      </c>
      <c r="G23" t="s">
        <v>3907</v>
      </c>
    </row>
    <row r="24" spans="1:8">
      <c r="A24" t="s">
        <v>2611</v>
      </c>
      <c r="B24" t="str">
        <f>VLOOKUP(A24,MemoryAvailable!A:B,2,FALSE)</f>
        <v>AZRAPMON02SLW</v>
      </c>
      <c r="C24" t="s">
        <v>2566</v>
      </c>
      <c r="D24">
        <v>23.294600000910105</v>
      </c>
      <c r="E24">
        <v>83.440692362746191</v>
      </c>
      <c r="F24">
        <v>492.79937744140602</v>
      </c>
      <c r="G24" t="s">
        <v>3908</v>
      </c>
    </row>
    <row r="25" spans="1:8">
      <c r="A25" t="s">
        <v>2613</v>
      </c>
      <c r="B25" t="str">
        <f>VLOOKUP(A25,MemoryAvailable!A:B,2,FALSE)</f>
        <v>AZRAPMON01SLW</v>
      </c>
      <c r="C25" t="s">
        <v>2566</v>
      </c>
      <c r="D25">
        <v>22.29723110311765</v>
      </c>
      <c r="E25">
        <v>78.9648578916552</v>
      </c>
      <c r="F25">
        <v>531.76599121093795</v>
      </c>
      <c r="G25" t="s">
        <v>3909</v>
      </c>
    </row>
    <row r="26" spans="1:8">
      <c r="A26" t="s">
        <v>2629</v>
      </c>
      <c r="B26" t="str">
        <f>VLOOKUP(A26,MemoryAvailable!A:B,2,FALSE)</f>
        <v>AZRAPMON03SLW</v>
      </c>
      <c r="C26" t="s">
        <v>2566</v>
      </c>
      <c r="D26">
        <v>21.76349115885553</v>
      </c>
      <c r="E26">
        <v>79.220268666746293</v>
      </c>
      <c r="F26">
        <v>517.32940673828102</v>
      </c>
      <c r="G26" t="s">
        <v>3910</v>
      </c>
    </row>
    <row r="27" spans="1:8">
      <c r="A27" t="s">
        <v>2695</v>
      </c>
      <c r="B27" t="str">
        <f>VLOOKUP(A27,MemoryAvailable!A:B,2,FALSE)</f>
        <v>appwe01mim-prod</v>
      </c>
      <c r="C27" t="s">
        <v>2587</v>
      </c>
      <c r="D27">
        <v>20.914287881414634</v>
      </c>
      <c r="E27">
        <v>115.30701634520085</v>
      </c>
      <c r="F27">
        <v>1692.89855957031</v>
      </c>
      <c r="G27" t="s">
        <v>3911</v>
      </c>
      <c r="H27" t="s">
        <v>2697</v>
      </c>
    </row>
    <row r="28" spans="1:8">
      <c r="A28" t="s">
        <v>2689</v>
      </c>
      <c r="B28" t="str">
        <f>VLOOKUP(A28,MemoryAvailable!A:B,2,FALSE)</f>
        <v>appwe01cm-prod</v>
      </c>
      <c r="C28" t="s">
        <v>2566</v>
      </c>
      <c r="D28">
        <v>19.302462417516814</v>
      </c>
      <c r="E28">
        <v>119.70982836618269</v>
      </c>
      <c r="F28">
        <v>1853.75402832031</v>
      </c>
      <c r="G28" t="s">
        <v>3912</v>
      </c>
    </row>
    <row r="29" spans="1:8">
      <c r="A29" t="s">
        <v>2659</v>
      </c>
      <c r="B29" t="str">
        <f>VLOOKUP(A29,MemoryAvailable!A:B,2,FALSE)</f>
        <v>repwe02ttn-prod</v>
      </c>
      <c r="C29" t="s">
        <v>2587</v>
      </c>
      <c r="D29">
        <v>18.531750395386396</v>
      </c>
      <c r="E29">
        <v>69.023821344784508</v>
      </c>
      <c r="F29">
        <v>606.81097412109398</v>
      </c>
      <c r="G29" t="s">
        <v>3913</v>
      </c>
      <c r="H29" t="s">
        <v>2661</v>
      </c>
    </row>
    <row r="30" spans="1:8">
      <c r="A30" t="s">
        <v>2635</v>
      </c>
      <c r="B30" t="str">
        <f>VLOOKUP(A30,MemoryAvailable!A:B,2,FALSE)</f>
        <v>Appwe01sg-prod</v>
      </c>
      <c r="C30" t="s">
        <v>2566</v>
      </c>
      <c r="D30">
        <v>18.342544880494231</v>
      </c>
      <c r="E30">
        <v>16.413241643663977</v>
      </c>
      <c r="F30">
        <v>3119.28393554688</v>
      </c>
      <c r="G30" t="s">
        <v>3914</v>
      </c>
    </row>
    <row r="31" spans="1:8">
      <c r="A31" t="s">
        <v>2753</v>
      </c>
      <c r="B31" t="str">
        <f>VLOOKUP(A31,MemoryAvailable!A:B,2,FALSE)</f>
        <v>aznedom41.</v>
      </c>
      <c r="C31" t="s">
        <v>2566</v>
      </c>
      <c r="D31">
        <v>17.825189702955957</v>
      </c>
      <c r="E31">
        <v>174.82010417736257</v>
      </c>
      <c r="F31">
        <v>466.95983886718801</v>
      </c>
      <c r="G31" t="s">
        <v>3915</v>
      </c>
    </row>
    <row r="32" spans="1:8">
      <c r="A32" t="s">
        <v>2625</v>
      </c>
      <c r="B32" t="str">
        <f>VLOOKUP(A32,MemoryAvailable!A:B,2,FALSE)</f>
        <v>appwe01neo-prod</v>
      </c>
      <c r="C32" t="s">
        <v>2566</v>
      </c>
      <c r="D32">
        <v>15.485233941299732</v>
      </c>
      <c r="E32">
        <v>88.829302934061431</v>
      </c>
      <c r="F32">
        <v>331.00192260742199</v>
      </c>
      <c r="G32" t="s">
        <v>3916</v>
      </c>
    </row>
    <row r="33" spans="1:8">
      <c r="A33" t="s">
        <v>2672</v>
      </c>
      <c r="B33" t="str">
        <f>VLOOKUP(A33,MemoryAvailable!A:B,2,FALSE)</f>
        <v>repwe01ttn-prod</v>
      </c>
      <c r="C33" t="s">
        <v>2587</v>
      </c>
      <c r="D33">
        <v>14.726548384720099</v>
      </c>
      <c r="E33">
        <v>43.115113237829334</v>
      </c>
      <c r="F33">
        <v>949.79925537109398</v>
      </c>
      <c r="G33" t="s">
        <v>3917</v>
      </c>
      <c r="H33" t="s">
        <v>2674</v>
      </c>
    </row>
    <row r="34" spans="1:8">
      <c r="A34" t="s">
        <v>2667</v>
      </c>
      <c r="B34" t="str">
        <f>VLOOKUP(A34,MemoryAvailable!A:B,2,FALSE)</f>
        <v>dbswe01sql-prod</v>
      </c>
      <c r="C34" t="s">
        <v>2566</v>
      </c>
      <c r="D34">
        <v>14.628276393856302</v>
      </c>
      <c r="E34">
        <v>55.765649936969368</v>
      </c>
      <c r="F34">
        <v>4098.06396484375</v>
      </c>
      <c r="G34" t="s">
        <v>3918</v>
      </c>
    </row>
    <row r="35" spans="1:8">
      <c r="A35" t="s">
        <v>2726</v>
      </c>
      <c r="B35" t="str">
        <f>VLOOKUP(A35,MemoryAvailable!A:B,2,FALSE)</f>
        <v>dbswe01fp-uat</v>
      </c>
      <c r="C35" t="s">
        <v>2566</v>
      </c>
      <c r="D35">
        <v>12.126690396560484</v>
      </c>
      <c r="E35">
        <v>27.020759076337114</v>
      </c>
      <c r="F35">
        <v>1464.79577636719</v>
      </c>
      <c r="G35" t="s">
        <v>3919</v>
      </c>
    </row>
    <row r="36" spans="1:8">
      <c r="A36" t="s">
        <v>2559</v>
      </c>
      <c r="B36" t="str">
        <f>VLOOKUP(A36,MemoryAvailable!A:B,2,FALSE)</f>
        <v>v3Standrd | v3Standrd00001R</v>
      </c>
      <c r="C36" t="s">
        <v>2523</v>
      </c>
      <c r="D36">
        <v>11.531491072209958</v>
      </c>
      <c r="E36">
        <v>36.536754226284188</v>
      </c>
      <c r="F36">
        <v>188.603759765625</v>
      </c>
      <c r="G36" t="s">
        <v>3920</v>
      </c>
      <c r="H36" t="s">
        <v>2561</v>
      </c>
    </row>
    <row r="37" spans="1:8">
      <c r="A37" t="s">
        <v>2568</v>
      </c>
      <c r="B37" t="str">
        <f>VLOOKUP(A37,MemoryAvailable!A:B,2,FALSE)</f>
        <v>v3Standrd | v3Standrd00001P</v>
      </c>
      <c r="C37" t="s">
        <v>2523</v>
      </c>
      <c r="D37">
        <v>11.405136287850533</v>
      </c>
      <c r="E37">
        <v>36.986258575237258</v>
      </c>
      <c r="F37">
        <v>261.72021484375</v>
      </c>
      <c r="G37" t="s">
        <v>3921</v>
      </c>
      <c r="H37" t="s">
        <v>2570</v>
      </c>
    </row>
    <row r="38" spans="1:8">
      <c r="A38" t="s">
        <v>2562</v>
      </c>
      <c r="B38" t="str">
        <f>VLOOKUP(A38,MemoryAvailable!A:B,2,FALSE)</f>
        <v>v3Standrd | v3Standrd00001Q</v>
      </c>
      <c r="C38" t="s">
        <v>2523</v>
      </c>
      <c r="D38">
        <v>11.097630305932455</v>
      </c>
      <c r="E38">
        <v>35.575781338105713</v>
      </c>
      <c r="F38">
        <v>285.92950439453102</v>
      </c>
      <c r="G38" t="s">
        <v>3922</v>
      </c>
      <c r="H38" t="s">
        <v>2564</v>
      </c>
    </row>
    <row r="39" spans="1:8">
      <c r="A39" t="s">
        <v>2535</v>
      </c>
      <c r="B39" t="str">
        <f>VLOOKUP(A39,MemoryAvailable!A:B,2,FALSE)</f>
        <v>v3Standrd | v3Standrd000003</v>
      </c>
      <c r="C39" t="s">
        <v>2523</v>
      </c>
      <c r="D39">
        <v>10.910907016028119</v>
      </c>
      <c r="E39">
        <v>35.384402326906773</v>
      </c>
      <c r="F39">
        <v>354.47354125976602</v>
      </c>
      <c r="G39" t="s">
        <v>3923</v>
      </c>
      <c r="H39" t="s">
        <v>2537</v>
      </c>
    </row>
    <row r="40" spans="1:8">
      <c r="A40" t="s">
        <v>2556</v>
      </c>
      <c r="B40" t="str">
        <f>VLOOKUP(A40,MemoryAvailable!A:B,2,FALSE)</f>
        <v>v3Standrd | v3Standrd00001N</v>
      </c>
      <c r="C40" t="s">
        <v>2523</v>
      </c>
      <c r="D40">
        <v>10.743278998906616</v>
      </c>
      <c r="E40">
        <v>33.854643116764244</v>
      </c>
      <c r="F40">
        <v>193.01512145996099</v>
      </c>
      <c r="G40" t="s">
        <v>3924</v>
      </c>
      <c r="H40" t="s">
        <v>2558</v>
      </c>
    </row>
    <row r="41" spans="1:8">
      <c r="A41" t="s">
        <v>2553</v>
      </c>
      <c r="B41" t="str">
        <f>VLOOKUP(A41,MemoryAvailable!A:B,2,FALSE)</f>
        <v>v3Standrd | v3Standrd00001J</v>
      </c>
      <c r="C41" t="s">
        <v>2523</v>
      </c>
      <c r="D41">
        <v>10.693316505112453</v>
      </c>
      <c r="E41">
        <v>33.829988317414298</v>
      </c>
      <c r="F41">
        <v>166.19912719726599</v>
      </c>
      <c r="G41" t="s">
        <v>3925</v>
      </c>
      <c r="H41" t="s">
        <v>2555</v>
      </c>
    </row>
    <row r="42" spans="1:8">
      <c r="A42" t="s">
        <v>2541</v>
      </c>
      <c r="B42" t="str">
        <f>VLOOKUP(A42,MemoryAvailable!A:B,2,FALSE)</f>
        <v>v3Standrd | v3Standrd00001S</v>
      </c>
      <c r="C42" t="s">
        <v>2523</v>
      </c>
      <c r="D42">
        <v>10.66963895831049</v>
      </c>
      <c r="E42">
        <v>32.681191141800483</v>
      </c>
      <c r="F42">
        <v>189.53584289550801</v>
      </c>
      <c r="G42" t="s">
        <v>3926</v>
      </c>
      <c r="H42" t="s">
        <v>2543</v>
      </c>
    </row>
    <row r="43" spans="1:8">
      <c r="A43" t="s">
        <v>2547</v>
      </c>
      <c r="B43" t="str">
        <f>VLOOKUP(A43,MemoryAvailable!A:B,2,FALSE)</f>
        <v>v3Standrd | v3Standrd00001O</v>
      </c>
      <c r="C43" t="s">
        <v>2523</v>
      </c>
      <c r="D43">
        <v>10.563546406305596</v>
      </c>
      <c r="E43">
        <v>32.993951260012857</v>
      </c>
      <c r="F43">
        <v>243.06845092773401</v>
      </c>
      <c r="G43" t="s">
        <v>3927</v>
      </c>
      <c r="H43" t="s">
        <v>2549</v>
      </c>
    </row>
    <row r="44" spans="1:8">
      <c r="A44" t="s">
        <v>2532</v>
      </c>
      <c r="B44" t="str">
        <f>VLOOKUP(A44,MemoryAvailable!A:B,2,FALSE)</f>
        <v>v3Standrd | v3Standrd000004</v>
      </c>
      <c r="C44" t="s">
        <v>2523</v>
      </c>
      <c r="D44">
        <v>10.559306422868916</v>
      </c>
      <c r="E44">
        <v>32.937625501456473</v>
      </c>
      <c r="F44">
        <v>369.82159423828102</v>
      </c>
      <c r="G44" t="s">
        <v>3928</v>
      </c>
      <c r="H44" t="s">
        <v>2534</v>
      </c>
    </row>
    <row r="45" spans="1:8">
      <c r="A45" t="s">
        <v>2538</v>
      </c>
      <c r="B45" t="str">
        <f>VLOOKUP(A45,MemoryAvailable!A:B,2,FALSE)</f>
        <v>v3Standrd | v3Standrd00001K</v>
      </c>
      <c r="C45" t="s">
        <v>2523</v>
      </c>
      <c r="D45">
        <v>10.452176558186444</v>
      </c>
      <c r="E45">
        <v>32.298540948890789</v>
      </c>
      <c r="F45">
        <v>287.17205810546898</v>
      </c>
      <c r="G45" t="s">
        <v>3929</v>
      </c>
      <c r="H45" t="s">
        <v>2540</v>
      </c>
    </row>
    <row r="46" spans="1:8">
      <c r="A46" t="s">
        <v>2550</v>
      </c>
      <c r="B46" t="str">
        <f>VLOOKUP(A46,MemoryAvailable!A:B,2,FALSE)</f>
        <v>v3Standrd | v3Standrd00001M</v>
      </c>
      <c r="C46" t="s">
        <v>2523</v>
      </c>
      <c r="D46">
        <v>10.403873011187612</v>
      </c>
      <c r="E46">
        <v>32.554336671471397</v>
      </c>
      <c r="F46">
        <v>255.30073547363301</v>
      </c>
      <c r="G46" t="s">
        <v>3930</v>
      </c>
      <c r="H46" t="s">
        <v>2552</v>
      </c>
    </row>
    <row r="47" spans="1:8">
      <c r="A47" t="s">
        <v>2544</v>
      </c>
      <c r="B47" t="str">
        <f>VLOOKUP(A47,MemoryAvailable!A:B,2,FALSE)</f>
        <v>v3Standrd | v3Standrd00001L</v>
      </c>
      <c r="C47" t="s">
        <v>2523</v>
      </c>
      <c r="D47">
        <v>10.337657513289809</v>
      </c>
      <c r="E47">
        <v>32.046505311895039</v>
      </c>
      <c r="F47">
        <v>234.07351684570301</v>
      </c>
      <c r="G47" t="s">
        <v>3931</v>
      </c>
      <c r="H47" t="s">
        <v>2546</v>
      </c>
    </row>
    <row r="48" spans="1:8">
      <c r="A48" t="s">
        <v>2686</v>
      </c>
      <c r="B48" t="str">
        <f>VLOOKUP(A48,MemoryAvailable!A:B,2,FALSE)</f>
        <v>appwe01mer-prod</v>
      </c>
      <c r="C48" t="s">
        <v>2587</v>
      </c>
      <c r="D48">
        <v>10.206021316331357</v>
      </c>
      <c r="E48">
        <v>32.074596919005707</v>
      </c>
      <c r="F48">
        <v>331.88064575195301</v>
      </c>
      <c r="G48" t="s">
        <v>3932</v>
      </c>
      <c r="H48" t="s">
        <v>2688</v>
      </c>
    </row>
    <row r="49" spans="1:8">
      <c r="A49" t="s">
        <v>2529</v>
      </c>
      <c r="B49" t="str">
        <f>VLOOKUP(A49,MemoryAvailable!A:B,2,FALSE)</f>
        <v>v3Standrd | v3Standrd000002</v>
      </c>
      <c r="C49" t="s">
        <v>2523</v>
      </c>
      <c r="D49">
        <v>10.122475959637677</v>
      </c>
      <c r="E49">
        <v>31.750201124639261</v>
      </c>
      <c r="F49">
        <v>237.507080078125</v>
      </c>
      <c r="G49" t="s">
        <v>3933</v>
      </c>
      <c r="H49" t="s">
        <v>2531</v>
      </c>
    </row>
    <row r="50" spans="1:8">
      <c r="A50" t="s">
        <v>2810</v>
      </c>
      <c r="B50" t="str">
        <f>VLOOKUP(A50,MemoryAvailable!A:B,2,FALSE)</f>
        <v>dbswe01turk-prd</v>
      </c>
      <c r="C50" t="s">
        <v>2566</v>
      </c>
      <c r="D50">
        <v>10.021787588060871</v>
      </c>
      <c r="E50">
        <v>48.502118674936888</v>
      </c>
      <c r="F50">
        <v>141.00782775878901</v>
      </c>
      <c r="G50" t="s">
        <v>3934</v>
      </c>
    </row>
    <row r="51" spans="1:8">
      <c r="A51" t="s">
        <v>2586</v>
      </c>
      <c r="B51" t="str">
        <f>VLOOKUP(A51,MemoryAvailable!A:B,2,FALSE)</f>
        <v>appwe02ttn-prod</v>
      </c>
      <c r="C51" t="s">
        <v>2587</v>
      </c>
      <c r="D51">
        <v>9.8848305895554311</v>
      </c>
      <c r="E51">
        <v>48.296204531248755</v>
      </c>
      <c r="F51">
        <v>1282.37780761719</v>
      </c>
      <c r="G51" t="s">
        <v>3935</v>
      </c>
      <c r="H51" t="s">
        <v>2589</v>
      </c>
    </row>
    <row r="52" spans="1:8">
      <c r="A52" t="s">
        <v>2522</v>
      </c>
      <c r="B52" t="str">
        <f>VLOOKUP(A52,MemoryAvailable!A:B,2,FALSE)</f>
        <v>v3Standrd | v3Standrd000000</v>
      </c>
      <c r="C52" t="s">
        <v>2523</v>
      </c>
      <c r="D52">
        <v>9.767299131735081</v>
      </c>
      <c r="E52">
        <v>29.891305090890562</v>
      </c>
      <c r="F52">
        <v>168.542236328125</v>
      </c>
      <c r="G52" t="s">
        <v>3936</v>
      </c>
      <c r="H52" t="s">
        <v>2525</v>
      </c>
    </row>
    <row r="53" spans="1:8">
      <c r="A53" t="s">
        <v>2526</v>
      </c>
      <c r="B53" t="str">
        <f>VLOOKUP(A53,MemoryAvailable!A:B,2,FALSE)</f>
        <v>v3Standrd | v3Standrd000001</v>
      </c>
      <c r="C53" t="s">
        <v>2523</v>
      </c>
      <c r="D53">
        <v>9.7240843714201119</v>
      </c>
      <c r="E53">
        <v>29.775476020221543</v>
      </c>
      <c r="F53">
        <v>192.38087463378901</v>
      </c>
      <c r="G53" t="s">
        <v>3937</v>
      </c>
      <c r="H53" t="s">
        <v>2528</v>
      </c>
    </row>
    <row r="54" spans="1:8">
      <c r="A54" t="s">
        <v>366</v>
      </c>
      <c r="B54" t="str">
        <f>VLOOKUP(A54,MemoryAvailable!A:B,2,FALSE)</f>
        <v>AZREURAD01WFI</v>
      </c>
      <c r="C54" t="s">
        <v>2566</v>
      </c>
      <c r="D54">
        <v>8.9260741008934676</v>
      </c>
      <c r="E54">
        <v>23.861335910930801</v>
      </c>
      <c r="F54">
        <v>963.81489071160195</v>
      </c>
      <c r="G54" t="s">
        <v>3938</v>
      </c>
    </row>
    <row r="55" spans="1:8">
      <c r="A55" t="s">
        <v>2779</v>
      </c>
      <c r="B55" t="str">
        <f>VLOOKUP(A55,MemoryAvailable!A:B,2,FALSE)</f>
        <v>appwe02win10tst</v>
      </c>
      <c r="C55" t="s">
        <v>2566</v>
      </c>
      <c r="D55">
        <v>7.9068718784720451</v>
      </c>
      <c r="E55">
        <v>9.9456054369608609</v>
      </c>
      <c r="F55">
        <v>743.144775390625</v>
      </c>
      <c r="G55" t="s">
        <v>3939</v>
      </c>
    </row>
    <row r="56" spans="1:8">
      <c r="A56" t="s">
        <v>2645</v>
      </c>
      <c r="B56" t="str">
        <f>VLOOKUP(A56,MemoryAvailable!A:B,2,FALSE)</f>
        <v>appwe05neo-prod</v>
      </c>
      <c r="C56" t="s">
        <v>2566</v>
      </c>
      <c r="D56">
        <v>7.853132907263463</v>
      </c>
      <c r="E56">
        <v>22.104811220880372</v>
      </c>
      <c r="F56">
        <v>263.470703125</v>
      </c>
      <c r="G56" t="s">
        <v>3940</v>
      </c>
    </row>
    <row r="57" spans="1:8">
      <c r="A57" t="s">
        <v>2745</v>
      </c>
      <c r="B57" t="str">
        <f>VLOOKUP(A57,MemoryAvailable!A:B,2,FALSE)</f>
        <v>appwe01mim-uat</v>
      </c>
      <c r="C57" t="s">
        <v>2566</v>
      </c>
      <c r="D57">
        <v>7.8190678298476906</v>
      </c>
      <c r="E57">
        <v>11.840328489056784</v>
      </c>
      <c r="F57">
        <v>1149.40710449219</v>
      </c>
      <c r="G57" t="s">
        <v>3941</v>
      </c>
    </row>
    <row r="58" spans="1:8">
      <c r="A58" t="s">
        <v>2600</v>
      </c>
      <c r="B58" t="str">
        <f>VLOOKUP(A58,MemoryAvailable!A:B,2,FALSE)</f>
        <v>AZREUUIP04BOT</v>
      </c>
      <c r="C58" t="s">
        <v>2566</v>
      </c>
      <c r="D58">
        <v>7.2790367542747836</v>
      </c>
      <c r="E58">
        <v>33.803240569120447</v>
      </c>
      <c r="F58">
        <v>300.78302001953102</v>
      </c>
      <c r="G58" t="s">
        <v>3942</v>
      </c>
    </row>
    <row r="59" spans="1:8">
      <c r="A59" t="s">
        <v>2639</v>
      </c>
      <c r="B59" t="str">
        <f>VLOOKUP(A59,MemoryAvailable!A:B,2,FALSE)</f>
        <v>aznedom01</v>
      </c>
      <c r="C59" t="s">
        <v>2566</v>
      </c>
      <c r="D59">
        <v>6.8979546900787261</v>
      </c>
      <c r="E59">
        <v>31.981079011672389</v>
      </c>
      <c r="F59">
        <v>505.04617309570301</v>
      </c>
      <c r="G59" t="s">
        <v>3943</v>
      </c>
    </row>
    <row r="60" spans="1:8">
      <c r="A60" t="s">
        <v>2576</v>
      </c>
      <c r="B60" t="str">
        <f>VLOOKUP(A60,MemoryAvailable!A:B,2,FALSE)</f>
        <v>appwe01ttn-test</v>
      </c>
      <c r="C60" t="s">
        <v>2566</v>
      </c>
      <c r="D60">
        <v>6.8662141977936066</v>
      </c>
      <c r="E60">
        <v>25.06970126721497</v>
      </c>
      <c r="F60">
        <v>366.672607421875</v>
      </c>
      <c r="G60" t="s">
        <v>3944</v>
      </c>
    </row>
    <row r="61" spans="1:8">
      <c r="A61" t="s">
        <v>2709</v>
      </c>
      <c r="B61" t="str">
        <f>VLOOKUP(A61,MemoryAvailable!A:B,2,FALSE)</f>
        <v>appwe03neo-prod</v>
      </c>
      <c r="C61" t="s">
        <v>2566</v>
      </c>
      <c r="D61">
        <v>6.8278440805879432</v>
      </c>
      <c r="E61">
        <v>12.31053825641906</v>
      </c>
      <c r="F61">
        <v>388.40695190429699</v>
      </c>
      <c r="G61" t="s">
        <v>3945</v>
      </c>
    </row>
    <row r="62" spans="1:8">
      <c r="A62" t="s">
        <v>2785</v>
      </c>
      <c r="B62" t="str">
        <f>VLOOKUP(A62,MemoryAvailable!A:B,2,FALSE)</f>
        <v>appus01snmpprod</v>
      </c>
      <c r="C62" t="s">
        <v>2566</v>
      </c>
      <c r="D62">
        <v>6.5852531397627212</v>
      </c>
      <c r="E62">
        <v>11.009211021919025</v>
      </c>
      <c r="F62">
        <v>85.458320617675795</v>
      </c>
      <c r="G62" t="s">
        <v>3946</v>
      </c>
    </row>
    <row r="63" spans="1:8">
      <c r="A63" t="s">
        <v>2731</v>
      </c>
      <c r="B63" t="str">
        <f>VLOOKUP(A63,MemoryAvailable!A:B,2,FALSE)</f>
        <v>Appwe01baduat</v>
      </c>
      <c r="C63" t="s">
        <v>2566</v>
      </c>
      <c r="D63">
        <v>6.4938405211486225</v>
      </c>
      <c r="E63">
        <v>14.579422801512255</v>
      </c>
      <c r="F63">
        <v>198.74348449707</v>
      </c>
      <c r="G63" t="s">
        <v>3947</v>
      </c>
    </row>
    <row r="64" spans="1:8">
      <c r="A64" t="s">
        <v>2627</v>
      </c>
      <c r="B64" t="str">
        <f>VLOOKUP(A64,MemoryAvailable!A:B,2,FALSE)</f>
        <v>AZREUNPS01DVL</v>
      </c>
      <c r="C64" t="s">
        <v>2566</v>
      </c>
      <c r="D64">
        <v>6.1594683714576739</v>
      </c>
      <c r="E64">
        <v>22.069817507156618</v>
      </c>
      <c r="F64">
        <v>171.61459350585901</v>
      </c>
      <c r="G64" t="s">
        <v>3948</v>
      </c>
    </row>
    <row r="65" spans="1:8">
      <c r="A65" t="s">
        <v>2857</v>
      </c>
      <c r="B65" t="str">
        <f>VLOOKUP(A65,MemoryAvailable!A:B,2,FALSE)</f>
        <v>appwe01canon-prod</v>
      </c>
      <c r="C65" t="s">
        <v>2587</v>
      </c>
      <c r="D65">
        <v>5.9994157774499932</v>
      </c>
      <c r="E65">
        <v>24.157162457001515</v>
      </c>
      <c r="F65">
        <v>589.67663574218795</v>
      </c>
      <c r="G65" t="s">
        <v>3949</v>
      </c>
      <c r="H65" t="s">
        <v>2859</v>
      </c>
    </row>
    <row r="66" spans="1:8">
      <c r="A66" t="s">
        <v>508</v>
      </c>
      <c r="B66" t="str">
        <f>VLOOKUP(A66,MemoryAvailable!A:B,2,FALSE)</f>
        <v>appwe02ewifi-prod</v>
      </c>
      <c r="C66" t="s">
        <v>2566</v>
      </c>
      <c r="D66">
        <v>5.923790723510014</v>
      </c>
      <c r="E66">
        <v>16.577217671327706</v>
      </c>
      <c r="F66">
        <v>298.07172116451301</v>
      </c>
      <c r="G66" t="s">
        <v>3950</v>
      </c>
    </row>
    <row r="67" spans="1:8">
      <c r="A67" t="s">
        <v>327</v>
      </c>
      <c r="B67" t="str">
        <f>VLOOKUP(A67,MemoryAvailable!A:B,2,FALSE)</f>
        <v>AZRAPRAD01WFI</v>
      </c>
      <c r="C67" t="s">
        <v>2566</v>
      </c>
      <c r="D67">
        <v>5.906748294796051</v>
      </c>
      <c r="E67">
        <v>16.245132792674102</v>
      </c>
      <c r="F67">
        <v>303.62914895353799</v>
      </c>
      <c r="G67" t="s">
        <v>3951</v>
      </c>
    </row>
    <row r="68" spans="1:8">
      <c r="A68" t="s">
        <v>2790</v>
      </c>
      <c r="B68" t="str">
        <f>VLOOKUP(A68,MemoryAvailable!A:B,2,FALSE)</f>
        <v>appwe01snmpprod</v>
      </c>
      <c r="C68" t="s">
        <v>2566</v>
      </c>
      <c r="D68">
        <v>5.8887595447722489</v>
      </c>
      <c r="E68">
        <v>9.4642419168891987</v>
      </c>
      <c r="F68">
        <v>119.791938781738</v>
      </c>
      <c r="G68" t="s">
        <v>3952</v>
      </c>
    </row>
    <row r="69" spans="1:8">
      <c r="A69" t="s">
        <v>2871</v>
      </c>
      <c r="B69" t="str">
        <f>VLOOKUP(A69,MemoryAvailable!A:B,2,FALSE)</f>
        <v>appea01snmpprod</v>
      </c>
      <c r="C69" t="s">
        <v>2566</v>
      </c>
      <c r="D69">
        <v>5.7822338122068908</v>
      </c>
      <c r="E69">
        <v>9.0679677118356175</v>
      </c>
      <c r="F69">
        <v>75.448684692382798</v>
      </c>
      <c r="G69" t="s">
        <v>3953</v>
      </c>
    </row>
    <row r="70" spans="1:8">
      <c r="A70" t="s">
        <v>2662</v>
      </c>
      <c r="B70" t="str">
        <f>VLOOKUP(A70,MemoryAvailable!A:B,2,FALSE)</f>
        <v>aznedom31.asia</v>
      </c>
      <c r="C70" t="s">
        <v>2566</v>
      </c>
      <c r="D70">
        <v>5.6839889500845491</v>
      </c>
      <c r="E70">
        <v>17.669952298293019</v>
      </c>
      <c r="F70">
        <v>470.59609985351602</v>
      </c>
      <c r="G70" t="s">
        <v>3954</v>
      </c>
    </row>
    <row r="71" spans="1:8">
      <c r="A71" t="s">
        <v>2637</v>
      </c>
      <c r="B71" t="str">
        <f>VLOOKUP(A71,MemoryAvailable!A:B,2,FALSE)</f>
        <v>AZREUNPS02AUT</v>
      </c>
      <c r="C71" t="s">
        <v>2566</v>
      </c>
      <c r="D71">
        <v>5.6009370082622372</v>
      </c>
      <c r="E71">
        <v>11.546211244958601</v>
      </c>
      <c r="F71">
        <v>542.041748046875</v>
      </c>
      <c r="G71" t="s">
        <v>3955</v>
      </c>
    </row>
    <row r="72" spans="1:8">
      <c r="A72" t="s">
        <v>399</v>
      </c>
      <c r="B72" t="str">
        <f>VLOOKUP(A72,MemoryAvailable!A:B,2,FALSE)</f>
        <v>AZRUSRAD01WFI</v>
      </c>
      <c r="C72" t="s">
        <v>2566</v>
      </c>
      <c r="D72">
        <v>5.5931476916013585</v>
      </c>
      <c r="E72">
        <v>15.377955368707932</v>
      </c>
      <c r="F72">
        <v>335.83971823773101</v>
      </c>
      <c r="G72" t="s">
        <v>3956</v>
      </c>
    </row>
    <row r="73" spans="1:8">
      <c r="A73" t="s">
        <v>2654</v>
      </c>
      <c r="B73" t="str">
        <f>VLOOKUP(A73,MemoryAvailable!A:B,2,FALSE)</f>
        <v>aznedom21</v>
      </c>
      <c r="C73" t="s">
        <v>2566</v>
      </c>
      <c r="D73">
        <v>5.5216579915906268</v>
      </c>
      <c r="E73">
        <v>16.341772179824698</v>
      </c>
      <c r="F73">
        <v>515.993408203125</v>
      </c>
      <c r="G73" t="s">
        <v>3957</v>
      </c>
    </row>
    <row r="74" spans="1:8">
      <c r="A74" t="s">
        <v>2835</v>
      </c>
      <c r="B74" t="str">
        <f>VLOOKUP(A74,MemoryAvailable!A:B,2,FALSE)</f>
        <v>appwe01per-prod</v>
      </c>
      <c r="C74" t="s">
        <v>2566</v>
      </c>
      <c r="D74">
        <v>5.4414653278815495</v>
      </c>
      <c r="E74">
        <v>8.8671769940349883</v>
      </c>
      <c r="F74">
        <v>910.04144287109398</v>
      </c>
      <c r="G74" t="s">
        <v>3958</v>
      </c>
    </row>
    <row r="75" spans="1:8">
      <c r="A75" t="s">
        <v>2572</v>
      </c>
      <c r="B75" t="str">
        <f>VLOOKUP(A75,MemoryAvailable!A:B,2,FALSE)</f>
        <v>appwe01ttn-uat</v>
      </c>
      <c r="C75" t="s">
        <v>2566</v>
      </c>
      <c r="D75">
        <v>5.3881836766354052</v>
      </c>
      <c r="E75">
        <v>12.947127122152811</v>
      </c>
      <c r="F75">
        <v>510.63098144531301</v>
      </c>
      <c r="G75" t="s">
        <v>3959</v>
      </c>
    </row>
    <row r="76" spans="1:8">
      <c r="A76" t="s">
        <v>2704</v>
      </c>
      <c r="B76" t="str">
        <f>VLOOKUP(A76,MemoryAvailable!A:B,2,FALSE)</f>
        <v>aznedom11.uk-eire</v>
      </c>
      <c r="C76" t="s">
        <v>2566</v>
      </c>
      <c r="D76">
        <v>5.284452135036525</v>
      </c>
      <c r="E76">
        <v>30.954386309939629</v>
      </c>
      <c r="F76">
        <v>274.01821899414102</v>
      </c>
      <c r="G76" t="s">
        <v>3960</v>
      </c>
    </row>
    <row r="77" spans="1:8">
      <c r="A77" t="s">
        <v>2743</v>
      </c>
      <c r="B77" t="str">
        <f>VLOOKUP(A77,MemoryAvailable!A:B,2,FALSE)</f>
        <v>dbsne03sql-dr</v>
      </c>
      <c r="C77" t="s">
        <v>2566</v>
      </c>
      <c r="D77">
        <v>5.169511099479986</v>
      </c>
      <c r="E77">
        <v>9.0550895333873189</v>
      </c>
      <c r="F77">
        <v>1077.48425292969</v>
      </c>
      <c r="G77" t="s">
        <v>3961</v>
      </c>
    </row>
    <row r="78" spans="1:8">
      <c r="A78" t="s">
        <v>2833</v>
      </c>
      <c r="B78" t="str">
        <f>VLOOKUP(A78,MemoryAvailable!A:B,2,FALSE)</f>
        <v>Appwe02baduat</v>
      </c>
      <c r="C78" t="s">
        <v>2566</v>
      </c>
      <c r="D78">
        <v>5.0801580830425825</v>
      </c>
      <c r="E78">
        <v>8.5516454684589558</v>
      </c>
      <c r="F78">
        <v>398.24166870117199</v>
      </c>
      <c r="G78" t="s">
        <v>3962</v>
      </c>
    </row>
    <row r="79" spans="1:8">
      <c r="A79" t="s">
        <v>2691</v>
      </c>
      <c r="B79" t="str">
        <f>VLOOKUP(A79,MemoryAvailable!A:B,2,FALSE)</f>
        <v>AZREUUIP03DBS</v>
      </c>
      <c r="C79" t="s">
        <v>2566</v>
      </c>
      <c r="D79">
        <v>5.0331951103305368</v>
      </c>
      <c r="E79">
        <v>14.503918885977511</v>
      </c>
      <c r="F79">
        <v>1723.67175292969</v>
      </c>
      <c r="G79" t="s">
        <v>3963</v>
      </c>
    </row>
    <row r="80" spans="1:8">
      <c r="A80" t="s">
        <v>2853</v>
      </c>
      <c r="B80" t="str">
        <f>VLOOKUP(A80,MemoryAvailable!A:B,2,FALSE)</f>
        <v>appwe02mgt-prod</v>
      </c>
      <c r="C80" t="s">
        <v>2566</v>
      </c>
      <c r="D80">
        <v>4.9698184650149093</v>
      </c>
      <c r="E80">
        <v>10.101404463814124</v>
      </c>
      <c r="F80">
        <v>100.69044494628901</v>
      </c>
      <c r="G80" t="s">
        <v>3964</v>
      </c>
    </row>
    <row r="81" spans="1:8">
      <c r="A81" t="s">
        <v>2840</v>
      </c>
      <c r="B81" t="str">
        <f>VLOOKUP(A81,MemoryAvailable!A:B,2,FALSE)</f>
        <v>dbswe02sql-prod</v>
      </c>
      <c r="C81" t="s">
        <v>2566</v>
      </c>
      <c r="D81">
        <v>4.9381263441509438</v>
      </c>
      <c r="E81">
        <v>8.3279501702319791</v>
      </c>
      <c r="F81">
        <v>4090.59643554688</v>
      </c>
      <c r="G81" t="s">
        <v>3965</v>
      </c>
    </row>
    <row r="82" spans="1:8">
      <c r="A82" t="s">
        <v>449</v>
      </c>
      <c r="B82" t="str">
        <f>VLOOKUP(A82,MemoryAvailable!A:B,2,FALSE)</f>
        <v>appwe01ewifi-prod</v>
      </c>
      <c r="C82" t="s">
        <v>2566</v>
      </c>
      <c r="D82">
        <v>4.8878865066572734</v>
      </c>
      <c r="E82">
        <v>14.289442302294562</v>
      </c>
      <c r="F82">
        <v>333.12331273770201</v>
      </c>
      <c r="G82" t="s">
        <v>3966</v>
      </c>
    </row>
    <row r="83" spans="1:8">
      <c r="A83" t="s">
        <v>2590</v>
      </c>
      <c r="B83" t="str">
        <f>VLOOKUP(A83,MemoryAvailable!A:B,2,FALSE)</f>
        <v>appwe01ttn-prod</v>
      </c>
      <c r="C83" t="s">
        <v>2587</v>
      </c>
      <c r="D83">
        <v>4.7391552059481237</v>
      </c>
      <c r="E83">
        <v>13.78300863542305</v>
      </c>
      <c r="F83">
        <v>943.1748046875</v>
      </c>
      <c r="G83" t="s">
        <v>3967</v>
      </c>
      <c r="H83" t="s">
        <v>2592</v>
      </c>
    </row>
    <row r="84" spans="1:8">
      <c r="A84" t="s">
        <v>2680</v>
      </c>
      <c r="B84" t="str">
        <f>VLOOKUP(A84,MemoryAvailable!A:B,2,FALSE)</f>
        <v>appwe01mgt-prod</v>
      </c>
      <c r="C84" t="s">
        <v>2566</v>
      </c>
      <c r="D84">
        <v>4.6515522799237239</v>
      </c>
      <c r="E84">
        <v>18.276450426714661</v>
      </c>
      <c r="F84">
        <v>499.14068603515602</v>
      </c>
      <c r="G84" t="s">
        <v>3968</v>
      </c>
    </row>
    <row r="85" spans="1:8">
      <c r="A85" t="s">
        <v>2860</v>
      </c>
      <c r="B85" t="str">
        <f>VLOOKUP(A85,MemoryAvailable!A:B,2,FALSE)</f>
        <v>appwe01dp-prod</v>
      </c>
      <c r="C85" t="s">
        <v>2566</v>
      </c>
      <c r="D85">
        <v>4.6466001153112995</v>
      </c>
      <c r="E85">
        <v>7.4445838340535921</v>
      </c>
      <c r="F85">
        <v>52.562854766845703</v>
      </c>
      <c r="G85" t="s">
        <v>3969</v>
      </c>
    </row>
    <row r="86" spans="1:8">
      <c r="A86" t="s">
        <v>565</v>
      </c>
      <c r="B86" t="str">
        <f>VLOOKUP(A86,MemoryAvailable!A:B,2,FALSE)</f>
        <v>AZREUODL01</v>
      </c>
      <c r="C86" t="s">
        <v>2566</v>
      </c>
      <c r="D86">
        <v>4.6100354817039069</v>
      </c>
      <c r="E86">
        <v>10.81628079354903</v>
      </c>
      <c r="F86">
        <v>151.83398619669899</v>
      </c>
      <c r="G86" t="s">
        <v>3970</v>
      </c>
    </row>
    <row r="87" spans="1:8">
      <c r="A87" t="s">
        <v>2770</v>
      </c>
      <c r="B87" t="str">
        <f>VLOOKUP(A87,MemoryAvailable!A:B,2,FALSE)</f>
        <v>azwedom01</v>
      </c>
      <c r="C87" t="s">
        <v>2566</v>
      </c>
      <c r="D87">
        <v>4.5754143134174834</v>
      </c>
      <c r="E87">
        <v>16.24594698075969</v>
      </c>
      <c r="F87">
        <v>220.69560241699199</v>
      </c>
      <c r="G87" t="s">
        <v>3971</v>
      </c>
    </row>
    <row r="88" spans="1:8">
      <c r="A88" t="s">
        <v>2676</v>
      </c>
      <c r="B88" t="str">
        <f>VLOOKUP(A88,MemoryAvailable!A:B,2,FALSE)</f>
        <v>appwe01cas-prod</v>
      </c>
      <c r="C88" t="s">
        <v>2566</v>
      </c>
      <c r="D88">
        <v>4.5027011544302855</v>
      </c>
      <c r="E88">
        <v>14.123730404131773</v>
      </c>
      <c r="F88">
        <v>549.86151123046898</v>
      </c>
      <c r="G88" t="s">
        <v>3972</v>
      </c>
    </row>
    <row r="89" spans="1:8">
      <c r="A89" t="s">
        <v>2774</v>
      </c>
      <c r="B89" t="str">
        <f>VLOOKUP(A89,MemoryAvailable!A:B,2,FALSE)</f>
        <v>AZREUDEVSLW01</v>
      </c>
      <c r="C89" t="s">
        <v>2566</v>
      </c>
      <c r="D89">
        <v>4.4976181237704624</v>
      </c>
      <c r="E89">
        <v>10.410897998433867</v>
      </c>
      <c r="F89">
        <v>485.43600463867199</v>
      </c>
      <c r="G89" t="s">
        <v>3973</v>
      </c>
    </row>
    <row r="90" spans="1:8">
      <c r="A90" t="s">
        <v>2766</v>
      </c>
      <c r="B90" t="str">
        <f>VLOOKUP(A90,MemoryAvailable!A:B,2,FALSE)</f>
        <v>AZREUAPI01OTR</v>
      </c>
      <c r="C90" t="s">
        <v>2566</v>
      </c>
      <c r="D90">
        <v>4.3336256323824029</v>
      </c>
      <c r="E90">
        <v>9.5748443842871378</v>
      </c>
      <c r="F90">
        <v>225.62153625488301</v>
      </c>
      <c r="G90" t="s">
        <v>3974</v>
      </c>
    </row>
    <row r="91" spans="1:8">
      <c r="A91" t="s">
        <v>802</v>
      </c>
      <c r="B91" t="str">
        <f>VLOOKUP(A91,MemoryAvailable!A:B,2,FALSE)</f>
        <v>iwg-mysql</v>
      </c>
      <c r="C91" t="s">
        <v>2587</v>
      </c>
      <c r="D91">
        <v>4.2474224417982436</v>
      </c>
      <c r="E91">
        <v>12.247107015250966</v>
      </c>
      <c r="F91">
        <v>316.64911862828802</v>
      </c>
      <c r="G91" t="s">
        <v>3975</v>
      </c>
      <c r="H91" t="s">
        <v>2778</v>
      </c>
    </row>
    <row r="92" spans="1:8">
      <c r="A92" t="s">
        <v>2740</v>
      </c>
      <c r="B92" t="str">
        <f>VLOOKUP(A92,MemoryAvailable!A:B,2,FALSE)</f>
        <v>appwe02cas-prod</v>
      </c>
      <c r="C92" t="s">
        <v>2566</v>
      </c>
      <c r="D92">
        <v>4.1885151460070063</v>
      </c>
      <c r="E92">
        <v>13.42996844438164</v>
      </c>
      <c r="F92">
        <v>590.508056640625</v>
      </c>
      <c r="G92" t="s">
        <v>3976</v>
      </c>
    </row>
    <row r="93" spans="1:8">
      <c r="A93" t="s">
        <v>2738</v>
      </c>
      <c r="B93" t="str">
        <f>VLOOKUP(A93,MemoryAvailable!A:B,2,FALSE)</f>
        <v>dbswe01sql-uat</v>
      </c>
      <c r="C93" t="s">
        <v>2566</v>
      </c>
      <c r="D93">
        <v>4.0562074411557267</v>
      </c>
      <c r="E93">
        <v>9.6210134581291928</v>
      </c>
      <c r="F93">
        <v>1349.84838867188</v>
      </c>
      <c r="G93" t="s">
        <v>3977</v>
      </c>
    </row>
    <row r="94" spans="1:8">
      <c r="A94" t="s">
        <v>2631</v>
      </c>
      <c r="B94" t="str">
        <f>VLOOKUP(A94,MemoryAvailable!A:B,2,FALSE)</f>
        <v>AZREUTRP01</v>
      </c>
      <c r="C94" t="s">
        <v>2566</v>
      </c>
      <c r="D94">
        <v>4.0289288314729665</v>
      </c>
      <c r="E94">
        <v>9.7267118169363567</v>
      </c>
      <c r="F94">
        <v>136.58982849121099</v>
      </c>
      <c r="G94" t="s">
        <v>3978</v>
      </c>
    </row>
    <row r="95" spans="1:8">
      <c r="A95" t="s">
        <v>2828</v>
      </c>
      <c r="B95" t="str">
        <f>VLOOKUP(A95,MemoryAvailable!A:B,2,FALSE)</f>
        <v>AZREUAPI02PRV</v>
      </c>
      <c r="C95" t="s">
        <v>2566</v>
      </c>
      <c r="D95">
        <v>4.0199843913777897</v>
      </c>
      <c r="E95">
        <v>9.3837049108913071</v>
      </c>
      <c r="F95">
        <v>261.3125</v>
      </c>
      <c r="G95" t="s">
        <v>3979</v>
      </c>
    </row>
    <row r="96" spans="1:8">
      <c r="A96" t="s">
        <v>2713</v>
      </c>
      <c r="B96" t="str">
        <f>VLOOKUP(A96,MemoryAvailable!A:B,2,FALSE)</f>
        <v>azwedom02</v>
      </c>
      <c r="C96" t="s">
        <v>2566</v>
      </c>
      <c r="D96">
        <v>3.9396078911262649</v>
      </c>
      <c r="E96">
        <v>13.225773956157429</v>
      </c>
      <c r="F96">
        <v>175.93138122558599</v>
      </c>
      <c r="G96" t="s">
        <v>3980</v>
      </c>
    </row>
    <row r="97" spans="1:7">
      <c r="A97" t="s">
        <v>2819</v>
      </c>
      <c r="B97" t="str">
        <f>VLOOKUP(A97,MemoryAvailable!A:B,2,FALSE)</f>
        <v>appwe01samrm</v>
      </c>
      <c r="C97" t="s">
        <v>2566</v>
      </c>
      <c r="D97">
        <v>3.7970605017482861</v>
      </c>
      <c r="E97">
        <v>9.3177027512576611</v>
      </c>
      <c r="F97">
        <v>689.51141357421898</v>
      </c>
      <c r="G97" t="s">
        <v>3981</v>
      </c>
    </row>
    <row r="98" spans="1:7">
      <c r="A98" t="s">
        <v>2881</v>
      </c>
      <c r="B98" t="str">
        <f>VLOOKUP(A98,MemoryAvailable!A:B,2,FALSE)</f>
        <v>solrvmuat0</v>
      </c>
      <c r="C98" t="s">
        <v>2566</v>
      </c>
      <c r="D98">
        <v>3.794856384304893</v>
      </c>
      <c r="E98">
        <v>6.143384840729782</v>
      </c>
      <c r="F98">
        <v>708.05798339843795</v>
      </c>
      <c r="G98" t="s">
        <v>3982</v>
      </c>
    </row>
    <row r="99" spans="1:7">
      <c r="A99" t="s">
        <v>2665</v>
      </c>
      <c r="B99" t="str">
        <f>VLOOKUP(A99,MemoryAvailable!A:B,2,FALSE)</f>
        <v>AZRAPNPS01DVL</v>
      </c>
      <c r="C99" t="s">
        <v>2566</v>
      </c>
      <c r="D99">
        <v>3.7705697970908973</v>
      </c>
      <c r="E99">
        <v>10.420992568424515</v>
      </c>
      <c r="F99">
        <v>338.25161743164102</v>
      </c>
      <c r="G99" t="s">
        <v>3983</v>
      </c>
    </row>
    <row r="100" spans="1:7">
      <c r="A100" t="s">
        <v>2759</v>
      </c>
      <c r="B100" t="str">
        <f>VLOOKUP(A100,MemoryAvailable!A:B,2,FALSE)</f>
        <v>dbswe01turk-uat</v>
      </c>
      <c r="C100" t="s">
        <v>2566</v>
      </c>
      <c r="D100">
        <v>3.7353659024958041</v>
      </c>
      <c r="E100">
        <v>7.5648383188270714</v>
      </c>
      <c r="F100">
        <v>593.14251708984398</v>
      </c>
      <c r="G100" t="s">
        <v>3984</v>
      </c>
    </row>
    <row r="101" spans="1:7">
      <c r="A101" t="s">
        <v>2756</v>
      </c>
      <c r="B101" t="str">
        <f>VLOOKUP(A101,MemoryAvailable!A:B,2,FALSE)</f>
        <v>secwe01traps</v>
      </c>
      <c r="C101" t="s">
        <v>2566</v>
      </c>
      <c r="D101">
        <v>3.5662243815765553</v>
      </c>
      <c r="E101">
        <v>11.886444062777942</v>
      </c>
      <c r="F101">
        <v>239.29896545410199</v>
      </c>
      <c r="G101" t="s">
        <v>3985</v>
      </c>
    </row>
    <row r="102" spans="1:7">
      <c r="A102" t="s">
        <v>2889</v>
      </c>
      <c r="B102" t="str">
        <f>VLOOKUP(A102,MemoryAvailable!A:B,2,FALSE)</f>
        <v>solrvmtest0</v>
      </c>
      <c r="C102" t="s">
        <v>2566</v>
      </c>
      <c r="D102">
        <v>3.545883280170699</v>
      </c>
      <c r="E102">
        <v>5.6292217149496304</v>
      </c>
      <c r="F102">
        <v>588.36822509765602</v>
      </c>
      <c r="G102" t="s">
        <v>3986</v>
      </c>
    </row>
    <row r="103" spans="1:7">
      <c r="A103" t="s">
        <v>2647</v>
      </c>
      <c r="B103" t="str">
        <f>VLOOKUP(A103,MemoryAvailable!A:B,2,FALSE)</f>
        <v>AZRUSNPS01DVL</v>
      </c>
      <c r="C103" t="s">
        <v>2566</v>
      </c>
      <c r="D103">
        <v>3.4432350737427924</v>
      </c>
      <c r="E103">
        <v>9.4181732260589559</v>
      </c>
      <c r="F103">
        <v>426.84963989257801</v>
      </c>
      <c r="G103" t="s">
        <v>3987</v>
      </c>
    </row>
    <row r="104" spans="1:7">
      <c r="A104" t="s">
        <v>2837</v>
      </c>
      <c r="B104" t="str">
        <f>VLOOKUP(A104,MemoryAvailable!A:B,2,FALSE)</f>
        <v>azwedom41.</v>
      </c>
      <c r="C104" t="s">
        <v>2566</v>
      </c>
      <c r="D104">
        <v>3.2387432333946267</v>
      </c>
      <c r="E104">
        <v>8.972252079732435</v>
      </c>
      <c r="F104">
        <v>513.87872314453102</v>
      </c>
      <c r="G104" t="s">
        <v>3988</v>
      </c>
    </row>
    <row r="105" spans="1:7">
      <c r="A105" t="s">
        <v>2751</v>
      </c>
      <c r="B105" t="str">
        <f>VLOOKUP(A105,MemoryAvailable!A:B,2,FALSE)</f>
        <v>dbswe01sql-test</v>
      </c>
      <c r="C105" t="s">
        <v>2566</v>
      </c>
      <c r="D105">
        <v>3.2228798343134839</v>
      </c>
      <c r="E105">
        <v>9.4726998049449822</v>
      </c>
      <c r="F105">
        <v>3122.44140625</v>
      </c>
      <c r="G105" t="s">
        <v>3989</v>
      </c>
    </row>
    <row r="106" spans="1:7">
      <c r="A106" t="s">
        <v>2823</v>
      </c>
      <c r="B106" t="str">
        <f>VLOOKUP(A106,MemoryAvailable!A:B,2,FALSE)</f>
        <v>azwedom31.asia</v>
      </c>
      <c r="C106" t="s">
        <v>2566</v>
      </c>
      <c r="D106">
        <v>3.2200049166652995</v>
      </c>
      <c r="E106">
        <v>9.0869072600111274</v>
      </c>
      <c r="F106">
        <v>535.52813720703102</v>
      </c>
      <c r="G106" t="s">
        <v>3990</v>
      </c>
    </row>
    <row r="107" spans="1:7">
      <c r="A107" t="s">
        <v>2846</v>
      </c>
      <c r="B107" t="str">
        <f>VLOOKUP(A107,MemoryAvailable!A:B,2,FALSE)</f>
        <v>appwe01turk-uat</v>
      </c>
      <c r="C107" t="s">
        <v>2566</v>
      </c>
      <c r="D107">
        <v>3.2176791290951763</v>
      </c>
      <c r="E107">
        <v>7.4108668271206417</v>
      </c>
      <c r="F107">
        <v>502.66305541992199</v>
      </c>
      <c r="G107" t="s">
        <v>3991</v>
      </c>
    </row>
    <row r="108" spans="1:7">
      <c r="A108" t="s">
        <v>2728</v>
      </c>
      <c r="B108" t="str">
        <f>VLOOKUP(A108,MemoryAvailable!A:B,2,FALSE)</f>
        <v>AZREUUIP01STD</v>
      </c>
      <c r="C108" t="s">
        <v>2566</v>
      </c>
      <c r="D108">
        <v>3.1191997419177948</v>
      </c>
      <c r="E108">
        <v>9.1792501564913866</v>
      </c>
      <c r="F108">
        <v>688.80657958984398</v>
      </c>
      <c r="G108" t="s">
        <v>3992</v>
      </c>
    </row>
    <row r="109" spans="1:7">
      <c r="A109" t="s">
        <v>2830</v>
      </c>
      <c r="B109" t="str">
        <f>VLOOKUP(A109,MemoryAvailable!A:B,2,FALSE)</f>
        <v>azwedom21</v>
      </c>
      <c r="C109" t="s">
        <v>2566</v>
      </c>
      <c r="D109">
        <v>3.1103975219823203</v>
      </c>
      <c r="E109">
        <v>8.2364688980006164</v>
      </c>
      <c r="F109">
        <v>468.44357299804699</v>
      </c>
      <c r="G109" t="s">
        <v>3993</v>
      </c>
    </row>
    <row r="110" spans="1:7">
      <c r="A110" t="s">
        <v>481</v>
      </c>
      <c r="B110" t="str">
        <f>VLOOKUP(A110,MemoryAvailable!A:B,2,FALSE)</f>
        <v>appwe01ratestream-prod</v>
      </c>
      <c r="C110" t="s">
        <v>2566</v>
      </c>
      <c r="D110">
        <v>3.1080127256471424</v>
      </c>
      <c r="E110">
        <v>10.654987891980833</v>
      </c>
      <c r="F110">
        <v>898.04441522570005</v>
      </c>
      <c r="G110" t="s">
        <v>3994</v>
      </c>
    </row>
    <row r="111" spans="1:7">
      <c r="A111" t="s">
        <v>2862</v>
      </c>
      <c r="B111" t="str">
        <f>VLOOKUP(A111,MemoryAvailable!A:B,2,FALSE)</f>
        <v>azwedom11.uk-eire</v>
      </c>
      <c r="C111" t="s">
        <v>2566</v>
      </c>
      <c r="D111">
        <v>2.9861024619058272</v>
      </c>
      <c r="E111">
        <v>8.0234531379929006</v>
      </c>
      <c r="F111">
        <v>471.10226440429699</v>
      </c>
      <c r="G111" t="s">
        <v>3995</v>
      </c>
    </row>
    <row r="112" spans="1:7">
      <c r="A112" t="s">
        <v>642</v>
      </c>
      <c r="B112" t="str">
        <f>VLOOKUP(A112,MemoryAvailable!A:B,2,FALSE)</f>
        <v>dbswe01mysql-prod</v>
      </c>
      <c r="C112" t="s">
        <v>2566</v>
      </c>
      <c r="D112">
        <v>2.9115444778127393</v>
      </c>
      <c r="E112">
        <v>7.2477300834141971</v>
      </c>
      <c r="F112">
        <v>278.313611880878</v>
      </c>
      <c r="G112" t="s">
        <v>3996</v>
      </c>
    </row>
    <row r="113" spans="1:8">
      <c r="A113" t="s">
        <v>2876</v>
      </c>
      <c r="B113" t="str">
        <f>VLOOKUP(A113,MemoryAvailable!A:B,2,FALSE)</f>
        <v>solrvmpoc0</v>
      </c>
      <c r="C113" t="s">
        <v>2566</v>
      </c>
      <c r="D113">
        <v>2.8765067373601685</v>
      </c>
      <c r="E113">
        <v>6.8391338689130077</v>
      </c>
      <c r="F113">
        <v>128.69720458984401</v>
      </c>
      <c r="G113" t="s">
        <v>3997</v>
      </c>
    </row>
    <row r="114" spans="1:8">
      <c r="A114" t="s">
        <v>2607</v>
      </c>
      <c r="B114" t="str">
        <f>VLOOKUP(A114,MemoryAvailable!A:B,2,FALSE)</f>
        <v>appwe01srm</v>
      </c>
      <c r="C114" t="s">
        <v>2566</v>
      </c>
      <c r="D114">
        <v>2.8757951214331015</v>
      </c>
      <c r="E114">
        <v>6.1168828234661525</v>
      </c>
      <c r="F114">
        <v>410.53527832031301</v>
      </c>
      <c r="G114" t="s">
        <v>3998</v>
      </c>
    </row>
    <row r="115" spans="1:8">
      <c r="A115" t="s">
        <v>2851</v>
      </c>
      <c r="B115" t="str">
        <f>VLOOKUP(A115,MemoryAvailable!A:B,2,FALSE)</f>
        <v>AZR80DBS01POL</v>
      </c>
      <c r="C115" t="s">
        <v>2566</v>
      </c>
      <c r="D115">
        <v>2.808537621863219</v>
      </c>
      <c r="E115">
        <v>6.5843265186286626</v>
      </c>
      <c r="F115">
        <v>509.57235717773398</v>
      </c>
      <c r="G115" t="s">
        <v>3999</v>
      </c>
    </row>
    <row r="116" spans="1:8">
      <c r="A116" t="s">
        <v>2749</v>
      </c>
      <c r="B116" t="str">
        <f>VLOOKUP(A116,MemoryAvailable!A:B,2,FALSE)</f>
        <v>AZREUWEB01DVL</v>
      </c>
      <c r="C116" t="s">
        <v>2566</v>
      </c>
      <c r="D116">
        <v>2.7910412863894813</v>
      </c>
      <c r="E116">
        <v>9.3242698239329247</v>
      </c>
      <c r="F116">
        <v>125.729248046875</v>
      </c>
      <c r="G116" t="s">
        <v>4000</v>
      </c>
    </row>
    <row r="117" spans="1:8">
      <c r="A117" t="s">
        <v>2812</v>
      </c>
      <c r="B117" t="str">
        <f>VLOOKUP(A117,MemoryAvailable!A:B,2,FALSE)</f>
        <v>dbswe01cch-prod</v>
      </c>
      <c r="C117" t="s">
        <v>2566</v>
      </c>
      <c r="D117">
        <v>2.6867164442095182</v>
      </c>
      <c r="E117">
        <v>8.5781174457322855</v>
      </c>
      <c r="F117">
        <v>147.366287231445</v>
      </c>
      <c r="G117" t="s">
        <v>4001</v>
      </c>
    </row>
    <row r="118" spans="1:8">
      <c r="A118" t="s">
        <v>513</v>
      </c>
      <c r="B118" t="str">
        <f>VLOOKUP(A118,MemoryAvailable!A:B,2,FALSE)</f>
        <v>appwe02ratestream-prod</v>
      </c>
      <c r="C118" t="s">
        <v>2566</v>
      </c>
      <c r="D118">
        <v>2.6724233666619961</v>
      </c>
      <c r="E118">
        <v>9.1744939159848471</v>
      </c>
      <c r="F118">
        <v>818.49430312959305</v>
      </c>
      <c r="G118" t="s">
        <v>4002</v>
      </c>
    </row>
    <row r="119" spans="1:8">
      <c r="A119" t="s">
        <v>2821</v>
      </c>
      <c r="B119" t="str">
        <f>VLOOKUP(A119,MemoryAvailable!A:B,2,FALSE)</f>
        <v>appwe01dp-dev</v>
      </c>
      <c r="C119" t="s">
        <v>2566</v>
      </c>
      <c r="D119">
        <v>2.6658715060291813</v>
      </c>
      <c r="E119">
        <v>6.1984163305310283</v>
      </c>
      <c r="F119">
        <v>595.6591796875</v>
      </c>
      <c r="G119" t="s">
        <v>4003</v>
      </c>
    </row>
    <row r="120" spans="1:8">
      <c r="A120" t="s">
        <v>2868</v>
      </c>
      <c r="B120" t="str">
        <f>VLOOKUP(A120,MemoryAvailable!A:B,2,FALSE)</f>
        <v>appwe01adm-prod</v>
      </c>
      <c r="C120" t="s">
        <v>2566</v>
      </c>
      <c r="D120">
        <v>2.6614127379973165</v>
      </c>
      <c r="E120">
        <v>8.0687003732235425</v>
      </c>
      <c r="F120">
        <v>119.09040069580099</v>
      </c>
      <c r="G120" t="s">
        <v>4004</v>
      </c>
    </row>
    <row r="121" spans="1:8">
      <c r="A121" t="s">
        <v>2793</v>
      </c>
      <c r="B121" t="str">
        <f>VLOOKUP(A121,MemoryAvailable!A:B,2,FALSE)</f>
        <v>appwe01piv-prod</v>
      </c>
      <c r="C121" t="s">
        <v>2566</v>
      </c>
      <c r="D121">
        <v>2.660555796378627</v>
      </c>
      <c r="E121">
        <v>6.199551513456198</v>
      </c>
      <c r="F121">
        <v>106.754203796387</v>
      </c>
      <c r="G121" t="s">
        <v>4005</v>
      </c>
    </row>
    <row r="122" spans="1:8">
      <c r="A122" t="s">
        <v>2806</v>
      </c>
      <c r="B122" t="str">
        <f>VLOOKUP(A122,MemoryAvailable!A:B,2,FALSE)</f>
        <v>appwe03piv-prod</v>
      </c>
      <c r="C122" t="s">
        <v>2566</v>
      </c>
      <c r="D122">
        <v>2.6477469182781843</v>
      </c>
      <c r="E122">
        <v>6.1731857422660372</v>
      </c>
      <c r="F122">
        <v>138.03062438964801</v>
      </c>
      <c r="G122" t="s">
        <v>4006</v>
      </c>
    </row>
    <row r="123" spans="1:8">
      <c r="A123" t="s">
        <v>555</v>
      </c>
      <c r="B123" t="str">
        <f>VLOOKUP(A123,MemoryAvailable!A:B,2,FALSE)</f>
        <v>appwe01hpi-test</v>
      </c>
      <c r="C123" t="s">
        <v>2587</v>
      </c>
      <c r="D123">
        <v>2.6160150136045113</v>
      </c>
      <c r="E123">
        <v>8.8741260909787556</v>
      </c>
      <c r="F123">
        <v>532.05671945553195</v>
      </c>
      <c r="G123" t="s">
        <v>4007</v>
      </c>
      <c r="H123" t="s">
        <v>2723</v>
      </c>
    </row>
    <row r="124" spans="1:8">
      <c r="A124" t="s">
        <v>2814</v>
      </c>
      <c r="B124" t="str">
        <f>VLOOKUP(A124,MemoryAvailable!A:B,2,FALSE)</f>
        <v>appwe02piv-prod</v>
      </c>
      <c r="C124" t="s">
        <v>2566</v>
      </c>
      <c r="D124">
        <v>2.6143421121588619</v>
      </c>
      <c r="E124">
        <v>6.0384580943377522</v>
      </c>
      <c r="F124">
        <v>110.692016601563</v>
      </c>
      <c r="G124" t="s">
        <v>4008</v>
      </c>
    </row>
    <row r="125" spans="1:8">
      <c r="A125" t="s">
        <v>2699</v>
      </c>
      <c r="B125" t="str">
        <f>VLOOKUP(A125,MemoryAvailable!A:B,2,FALSE)</f>
        <v>appwe03ttn-prod</v>
      </c>
      <c r="C125" t="s">
        <v>2587</v>
      </c>
      <c r="D125">
        <v>2.5959274024467707</v>
      </c>
      <c r="E125">
        <v>7.7051469522427114</v>
      </c>
      <c r="F125">
        <v>162.15150451660199</v>
      </c>
      <c r="G125" t="s">
        <v>4009</v>
      </c>
      <c r="H125" t="s">
        <v>2701</v>
      </c>
    </row>
    <row r="126" spans="1:8">
      <c r="A126" t="s">
        <v>2804</v>
      </c>
      <c r="B126" t="str">
        <f>VLOOKUP(A126,MemoryAvailable!A:B,2,FALSE)</f>
        <v>appwe05piv-prod</v>
      </c>
      <c r="C126" t="s">
        <v>2566</v>
      </c>
      <c r="D126">
        <v>2.591900296526505</v>
      </c>
      <c r="E126">
        <v>5.9747361953627962</v>
      </c>
      <c r="F126">
        <v>95.681655883789105</v>
      </c>
      <c r="G126" t="s">
        <v>4010</v>
      </c>
    </row>
    <row r="127" spans="1:8">
      <c r="A127" t="s">
        <v>2711</v>
      </c>
      <c r="B127" t="str">
        <f>VLOOKUP(A127,MemoryAvailable!A:B,2,FALSE)</f>
        <v>AZREUDBS02CLV</v>
      </c>
      <c r="C127" t="s">
        <v>2566</v>
      </c>
      <c r="D127">
        <v>2.5777379191154122</v>
      </c>
      <c r="E127">
        <v>9.5078219570002886</v>
      </c>
      <c r="F127">
        <v>295.67913818359398</v>
      </c>
      <c r="G127" t="s">
        <v>4011</v>
      </c>
    </row>
    <row r="128" spans="1:8">
      <c r="A128" t="s">
        <v>2808</v>
      </c>
      <c r="B128" t="str">
        <f>VLOOKUP(A128,MemoryAvailable!A:B,2,FALSE)</f>
        <v>appwe04piv-prod</v>
      </c>
      <c r="C128" t="s">
        <v>2566</v>
      </c>
      <c r="D128">
        <v>2.5472588686321989</v>
      </c>
      <c r="E128">
        <v>5.9468735170323503</v>
      </c>
      <c r="F128">
        <v>98.108459472656307</v>
      </c>
      <c r="G128" t="s">
        <v>4012</v>
      </c>
    </row>
    <row r="129" spans="1:8">
      <c r="A129" t="s">
        <v>2865</v>
      </c>
      <c r="B129" t="str">
        <f>VLOOKUP(A129,MemoryAvailable!A:B,2,FALSE)</f>
        <v>appwe01snow-uat</v>
      </c>
      <c r="C129" t="s">
        <v>2566</v>
      </c>
      <c r="D129">
        <v>2.5153453191741204</v>
      </c>
      <c r="E129">
        <v>6.386642670323738</v>
      </c>
      <c r="F129">
        <v>239.49566650390599</v>
      </c>
      <c r="G129" t="s">
        <v>4013</v>
      </c>
    </row>
    <row r="130" spans="1:8">
      <c r="A130" t="s">
        <v>415</v>
      </c>
      <c r="B130" t="e">
        <f>VLOOKUP(A130,MemoryAvailable!A:B,2,FALSE)</f>
        <v>#N/A</v>
      </c>
      <c r="C130" t="s">
        <v>2587</v>
      </c>
      <c r="D130">
        <v>2.5137448168670895</v>
      </c>
      <c r="E130">
        <v>13.1278829984232</v>
      </c>
      <c r="F130">
        <v>15.3706823117304</v>
      </c>
      <c r="G130" t="s">
        <v>4014</v>
      </c>
      <c r="H130" t="s">
        <v>2748</v>
      </c>
    </row>
    <row r="131" spans="1:8">
      <c r="A131" t="s">
        <v>853</v>
      </c>
      <c r="B131" t="str">
        <f>VLOOKUP(A131,MemoryAvailable!A:B,2,FALSE)</f>
        <v>weappfedexprd01</v>
      </c>
      <c r="C131" t="s">
        <v>2566</v>
      </c>
      <c r="D131">
        <v>2.5094284401163809</v>
      </c>
      <c r="E131">
        <v>8.1610892844706591</v>
      </c>
      <c r="F131">
        <v>231.59793090820301</v>
      </c>
      <c r="G131" t="s">
        <v>4015</v>
      </c>
    </row>
    <row r="132" spans="1:8">
      <c r="A132" t="s">
        <v>2621</v>
      </c>
      <c r="B132" t="str">
        <f>VLOOKUP(A132,MemoryAvailable!A:B,2,FALSE)</f>
        <v>AZREUINC02</v>
      </c>
      <c r="C132" t="s">
        <v>2566</v>
      </c>
      <c r="D132">
        <v>2.4828785916304339</v>
      </c>
      <c r="E132">
        <v>6.3024473012450599</v>
      </c>
      <c r="F132">
        <v>288.88342285156301</v>
      </c>
      <c r="G132" t="s">
        <v>4016</v>
      </c>
    </row>
    <row r="133" spans="1:8">
      <c r="A133" t="s">
        <v>435</v>
      </c>
      <c r="B133" t="str">
        <f>VLOOKUP(A133,MemoryAvailable!A:B,2,FALSE)</f>
        <v>appwe01cisa-prod</v>
      </c>
      <c r="C133" t="s">
        <v>2566</v>
      </c>
      <c r="D133">
        <v>2.475287485604162</v>
      </c>
      <c r="E133">
        <v>6.347625994949758</v>
      </c>
      <c r="F133">
        <v>171.85014687172799</v>
      </c>
      <c r="G133" t="s">
        <v>4017</v>
      </c>
    </row>
    <row r="134" spans="1:8">
      <c r="A134" t="s">
        <v>855</v>
      </c>
      <c r="B134" t="str">
        <f>VLOOKUP(A134,MemoryAvailable!A:B,2,FALSE)</f>
        <v>weappfedexprd02</v>
      </c>
      <c r="C134" t="s">
        <v>2566</v>
      </c>
      <c r="D134">
        <v>2.4640804147969746</v>
      </c>
      <c r="E134">
        <v>8.182462140680224</v>
      </c>
      <c r="F134">
        <v>169.56988525390599</v>
      </c>
      <c r="G134" t="s">
        <v>4018</v>
      </c>
    </row>
    <row r="135" spans="1:8">
      <c r="A135" t="s">
        <v>2887</v>
      </c>
      <c r="B135" t="str">
        <f>VLOOKUP(A135,MemoryAvailable!A:B,2,FALSE)</f>
        <v>appwe01dp-uat</v>
      </c>
      <c r="C135" t="s">
        <v>2566</v>
      </c>
      <c r="D135">
        <v>2.4623953442074464</v>
      </c>
      <c r="E135">
        <v>6.1869440024424209</v>
      </c>
      <c r="F135">
        <v>443.49044799804699</v>
      </c>
      <c r="G135" t="s">
        <v>4019</v>
      </c>
    </row>
    <row r="136" spans="1:8">
      <c r="A136" t="s">
        <v>2817</v>
      </c>
      <c r="B136" t="str">
        <f>VLOOKUP(A136,MemoryAvailable!A:B,2,FALSE)</f>
        <v>appwe01dp-test</v>
      </c>
      <c r="C136" t="s">
        <v>2566</v>
      </c>
      <c r="D136">
        <v>2.4615691765654071</v>
      </c>
      <c r="E136">
        <v>5.5246255679365106</v>
      </c>
      <c r="F136">
        <v>216.89077758789099</v>
      </c>
      <c r="G136" t="s">
        <v>4020</v>
      </c>
    </row>
    <row r="137" spans="1:8">
      <c r="A137" t="s">
        <v>637</v>
      </c>
      <c r="B137" t="str">
        <f>VLOOKUP(A137,MemoryAvailable!A:B,2,FALSE)</f>
        <v>dbswe01cst-prod</v>
      </c>
      <c r="C137" t="s">
        <v>2587</v>
      </c>
      <c r="D137">
        <v>2.4523597556619423</v>
      </c>
      <c r="E137">
        <v>6.6171311387319811</v>
      </c>
      <c r="F137">
        <v>615.28769003147897</v>
      </c>
      <c r="G137" t="s">
        <v>4021</v>
      </c>
      <c r="H137" t="s">
        <v>2880</v>
      </c>
    </row>
    <row r="138" spans="1:8">
      <c r="A138" t="s">
        <v>2802</v>
      </c>
      <c r="B138" t="str">
        <f>VLOOKUP(A138,MemoryAvailable!A:B,2,FALSE)</f>
        <v>appwe01fin-test</v>
      </c>
      <c r="C138" t="s">
        <v>2566</v>
      </c>
      <c r="D138">
        <v>2.4281182419464336</v>
      </c>
      <c r="E138">
        <v>8.3291210582913013</v>
      </c>
      <c r="F138">
        <v>597.76800537109398</v>
      </c>
      <c r="G138" t="s">
        <v>4022</v>
      </c>
    </row>
    <row r="139" spans="1:8">
      <c r="A139" t="s">
        <v>2763</v>
      </c>
      <c r="B139" t="str">
        <f>VLOOKUP(A139,MemoryAvailable!A:B,2,FALSE)</f>
        <v>appwe01cch-prod</v>
      </c>
      <c r="C139" t="s">
        <v>2587</v>
      </c>
      <c r="D139">
        <v>2.3761665219536865</v>
      </c>
      <c r="E139">
        <v>8.0564983746975436</v>
      </c>
      <c r="F139">
        <v>105.127143859863</v>
      </c>
      <c r="G139" t="s">
        <v>4023</v>
      </c>
      <c r="H139" t="s">
        <v>2765</v>
      </c>
    </row>
    <row r="140" spans="1:8">
      <c r="A140" t="s">
        <v>663</v>
      </c>
      <c r="B140" t="str">
        <f>VLOOKUP(A140,MemoryAvailable!A:B,2,FALSE)</f>
        <v>dbswe02cst-prod</v>
      </c>
      <c r="C140" t="s">
        <v>2566</v>
      </c>
      <c r="D140">
        <v>2.3644765924024167</v>
      </c>
      <c r="E140">
        <v>6.9231798585477735</v>
      </c>
      <c r="F140">
        <v>158.95065742666699</v>
      </c>
      <c r="G140" t="s">
        <v>4024</v>
      </c>
    </row>
    <row r="141" spans="1:8">
      <c r="A141" t="s">
        <v>551</v>
      </c>
      <c r="B141" t="str">
        <f>VLOOKUP(A141,MemoryAvailable!A:B,2,FALSE)</f>
        <v>AZRAPODL01</v>
      </c>
      <c r="C141" t="s">
        <v>2566</v>
      </c>
      <c r="D141">
        <v>2.3460597420255835</v>
      </c>
      <c r="E141">
        <v>5.9994458364621357</v>
      </c>
      <c r="F141">
        <v>186.45801312476101</v>
      </c>
      <c r="G141" t="s">
        <v>4025</v>
      </c>
    </row>
    <row r="142" spans="1:8">
      <c r="A142" t="s">
        <v>2783</v>
      </c>
      <c r="B142" t="str">
        <f>VLOOKUP(A142,MemoryAvailable!A:B,2,FALSE)</f>
        <v>AZREUDEVNPS01</v>
      </c>
      <c r="C142" t="s">
        <v>2566</v>
      </c>
      <c r="D142">
        <v>2.3319027794566702</v>
      </c>
      <c r="E142">
        <v>6.12442099893783</v>
      </c>
      <c r="F142">
        <v>448.90707397460898</v>
      </c>
      <c r="G142" t="s">
        <v>4026</v>
      </c>
    </row>
    <row r="143" spans="1:8">
      <c r="A143" t="s">
        <v>460</v>
      </c>
      <c r="B143" t="str">
        <f>VLOOKUP(A143,MemoryAvailable!A:B,2,FALSE)</f>
        <v>appwe01hpi-prod</v>
      </c>
      <c r="C143" t="s">
        <v>2566</v>
      </c>
      <c r="D143">
        <v>2.3293414289319196</v>
      </c>
      <c r="E143">
        <v>8.146336903014614</v>
      </c>
      <c r="F143">
        <v>596.88563407057802</v>
      </c>
      <c r="G143" t="s">
        <v>4027</v>
      </c>
    </row>
    <row r="144" spans="1:8">
      <c r="A144" t="s">
        <v>346</v>
      </c>
      <c r="B144" t="str">
        <f>VLOOKUP(A144,MemoryAvailable!A:B,2,FALSE)</f>
        <v>appwe01fedexuat</v>
      </c>
      <c r="C144" t="s">
        <v>2566</v>
      </c>
      <c r="D144">
        <v>2.2519072270071021</v>
      </c>
      <c r="E144">
        <v>7.225510833664603</v>
      </c>
      <c r="F144">
        <v>367.94308471679699</v>
      </c>
      <c r="G144" t="s">
        <v>4028</v>
      </c>
    </row>
    <row r="145" spans="1:8">
      <c r="A145" t="s">
        <v>458</v>
      </c>
      <c r="B145" t="str">
        <f>VLOOKUP(A145,MemoryAvailable!A:B,2,FALSE)</f>
        <v>appwe01ftp-prod</v>
      </c>
      <c r="C145" t="s">
        <v>2566</v>
      </c>
      <c r="D145">
        <v>2.2087574148717501</v>
      </c>
      <c r="E145">
        <v>10.666517466460428</v>
      </c>
      <c r="F145">
        <v>237.637265738964</v>
      </c>
      <c r="G145" t="s">
        <v>4029</v>
      </c>
    </row>
    <row r="146" spans="1:8">
      <c r="A146" t="s">
        <v>652</v>
      </c>
      <c r="B146" t="str">
        <f>VLOOKUP(A146,MemoryAvailable!A:B,2,FALSE)</f>
        <v>dbswe01mysql-uat</v>
      </c>
      <c r="C146" t="s">
        <v>2587</v>
      </c>
      <c r="D146">
        <v>2.1993765341646525</v>
      </c>
      <c r="E146">
        <v>7.1065300524398918</v>
      </c>
      <c r="F146">
        <v>289.57879652892899</v>
      </c>
      <c r="G146" t="s">
        <v>4030</v>
      </c>
      <c r="H146" t="s">
        <v>2782</v>
      </c>
    </row>
    <row r="147" spans="1:8">
      <c r="A147" t="s">
        <v>343</v>
      </c>
      <c r="B147" t="str">
        <f>VLOOKUP(A147,MemoryAvailable!A:B,2,FALSE)</f>
        <v>appwe01fedex</v>
      </c>
      <c r="C147" t="s">
        <v>2566</v>
      </c>
      <c r="D147">
        <v>2.195219283284652</v>
      </c>
      <c r="E147">
        <v>6.4076688919759412</v>
      </c>
      <c r="F147">
        <v>474.35409545898398</v>
      </c>
      <c r="G147" t="s">
        <v>4031</v>
      </c>
    </row>
    <row r="148" spans="1:8">
      <c r="A148" t="s">
        <v>576</v>
      </c>
      <c r="B148" t="str">
        <f>VLOOKUP(A148,MemoryAvailable!A:B,2,FALSE)</f>
        <v>AZRUSODL01</v>
      </c>
      <c r="C148" t="s">
        <v>2566</v>
      </c>
      <c r="D148">
        <v>2.1656373545990628</v>
      </c>
      <c r="E148">
        <v>5.7742435382224659</v>
      </c>
      <c r="F148">
        <v>164.492549629884</v>
      </c>
      <c r="G148" t="s">
        <v>4032</v>
      </c>
    </row>
    <row r="149" spans="1:8">
      <c r="A149" t="s">
        <v>516</v>
      </c>
      <c r="B149" t="str">
        <f>VLOOKUP(A149,MemoryAvailable!A:B,2,FALSE)</f>
        <v>appwe02sales-prod</v>
      </c>
      <c r="C149" t="s">
        <v>2587</v>
      </c>
      <c r="D149">
        <v>2.0731955180227351</v>
      </c>
      <c r="E149">
        <v>9.0817612839151494</v>
      </c>
      <c r="F149">
        <v>205.336167128613</v>
      </c>
      <c r="G149" t="s">
        <v>4033</v>
      </c>
      <c r="H149" t="s">
        <v>2679</v>
      </c>
    </row>
    <row r="150" spans="1:8">
      <c r="A150" t="s">
        <v>425</v>
      </c>
      <c r="B150" t="str">
        <f>VLOOKUP(A150,MemoryAvailable!A:B,2,FALSE)</f>
        <v>appwe01cannon</v>
      </c>
      <c r="C150" t="s">
        <v>2566</v>
      </c>
      <c r="D150">
        <v>2.0713239109452255</v>
      </c>
      <c r="E150">
        <v>5.0578797167212128</v>
      </c>
      <c r="F150">
        <v>593.216064453125</v>
      </c>
      <c r="G150" t="s">
        <v>4034</v>
      </c>
    </row>
    <row r="151" spans="1:8">
      <c r="A151" t="s">
        <v>2693</v>
      </c>
      <c r="B151" t="str">
        <f>VLOOKUP(A151,MemoryAvailable!A:B,2,FALSE)</f>
        <v>AZREUUIP05BOT</v>
      </c>
      <c r="C151" t="s">
        <v>2566</v>
      </c>
      <c r="D151">
        <v>2.0610189445938811</v>
      </c>
      <c r="E151">
        <v>6.9678882126516575</v>
      </c>
      <c r="F151">
        <v>159.56878662109401</v>
      </c>
      <c r="G151" t="s">
        <v>4035</v>
      </c>
    </row>
    <row r="152" spans="1:8">
      <c r="A152" t="s">
        <v>615</v>
      </c>
      <c r="B152" t="str">
        <f>VLOOKUP(A152,MemoryAvailable!A:B,2,FALSE)</f>
        <v>cyclops-test</v>
      </c>
      <c r="C152" t="s">
        <v>2566</v>
      </c>
      <c r="D152">
        <v>1.9894327722336571</v>
      </c>
      <c r="E152">
        <v>5.1192831612367993</v>
      </c>
      <c r="F152">
        <v>711.98388671875</v>
      </c>
      <c r="G152" t="s">
        <v>4036</v>
      </c>
    </row>
    <row r="153" spans="1:8">
      <c r="A153" t="s">
        <v>644</v>
      </c>
      <c r="B153" t="str">
        <f>VLOOKUP(A153,MemoryAvailable!A:B,2,FALSE)</f>
        <v>dbswe01mysql-test</v>
      </c>
      <c r="C153" t="s">
        <v>2587</v>
      </c>
      <c r="D153">
        <v>1.9800602570866572</v>
      </c>
      <c r="E153">
        <v>7.1716749978439926</v>
      </c>
      <c r="F153">
        <v>152.084974728166</v>
      </c>
      <c r="G153" t="s">
        <v>4037</v>
      </c>
      <c r="H153" t="s">
        <v>2843</v>
      </c>
    </row>
    <row r="154" spans="1:8">
      <c r="A154" t="s">
        <v>2633</v>
      </c>
      <c r="B154" t="str">
        <f>VLOOKUP(A154,MemoryAvailable!A:B,2,FALSE)</f>
        <v>AZREUINC01</v>
      </c>
      <c r="C154" t="s">
        <v>2566</v>
      </c>
      <c r="D154">
        <v>1.9775251059775776</v>
      </c>
      <c r="E154">
        <v>6.5472694728409468</v>
      </c>
      <c r="F154">
        <v>217.79934692382801</v>
      </c>
      <c r="G154" t="s">
        <v>4038</v>
      </c>
    </row>
    <row r="155" spans="1:8">
      <c r="A155" t="s">
        <v>483</v>
      </c>
      <c r="B155" t="str">
        <f>VLOOKUP(A155,MemoryAvailable!A:B,2,FALSE)</f>
        <v>appwe01sales-prod</v>
      </c>
      <c r="C155" t="s">
        <v>2587</v>
      </c>
      <c r="D155">
        <v>1.9455261781086655</v>
      </c>
      <c r="E155">
        <v>8.5086031521209264</v>
      </c>
      <c r="F155">
        <v>153.84529894725</v>
      </c>
      <c r="G155" t="s">
        <v>4039</v>
      </c>
      <c r="H155" t="s">
        <v>2856</v>
      </c>
    </row>
    <row r="156" spans="1:8">
      <c r="A156" t="s">
        <v>570</v>
      </c>
      <c r="B156" t="str">
        <f>VLOOKUP(A156,MemoryAvailable!A:B,2,FALSE)</f>
        <v>AZREUTRI02DBS</v>
      </c>
      <c r="C156" t="s">
        <v>2566</v>
      </c>
      <c r="D156">
        <v>1.928788130704683</v>
      </c>
      <c r="E156">
        <v>8.101225340538873</v>
      </c>
      <c r="F156">
        <v>202.42154688638499</v>
      </c>
      <c r="G156" t="s">
        <v>4040</v>
      </c>
    </row>
    <row r="157" spans="1:8">
      <c r="A157" t="s">
        <v>2883</v>
      </c>
      <c r="B157" t="str">
        <f>VLOOKUP(A157,MemoryAvailable!A:B,2,FALSE)</f>
        <v>appne01snow-uat</v>
      </c>
      <c r="C157" t="s">
        <v>2566</v>
      </c>
      <c r="D157">
        <v>1.9167472842691715</v>
      </c>
      <c r="E157">
        <v>4.816282225191383</v>
      </c>
      <c r="F157">
        <v>150.57530212402301</v>
      </c>
      <c r="G157" t="s">
        <v>4041</v>
      </c>
    </row>
    <row r="158" spans="1:8">
      <c r="A158" t="s">
        <v>665</v>
      </c>
      <c r="B158" t="str">
        <f>VLOOKUP(A158,MemoryAvailable!A:B,2,FALSE)</f>
        <v>dbswe02mysql-prod</v>
      </c>
      <c r="C158" t="s">
        <v>2587</v>
      </c>
      <c r="D158">
        <v>1.9102419967046853</v>
      </c>
      <c r="E158">
        <v>6.8885570319808442</v>
      </c>
      <c r="F158">
        <v>346.349029599289</v>
      </c>
      <c r="G158" t="s">
        <v>4042</v>
      </c>
      <c r="H158" t="s">
        <v>2886</v>
      </c>
    </row>
    <row r="159" spans="1:8">
      <c r="A159" t="s">
        <v>2682</v>
      </c>
      <c r="B159" t="str">
        <f>VLOOKUP(A159,MemoryAvailable!A:B,2,FALSE)</f>
        <v>ratestream-development</v>
      </c>
      <c r="C159" t="s">
        <v>2566</v>
      </c>
      <c r="D159">
        <v>1.9029433668845641</v>
      </c>
      <c r="E159">
        <v>7.3647202733463866</v>
      </c>
      <c r="F159">
        <v>630.75165758430398</v>
      </c>
      <c r="G159" t="s">
        <v>4043</v>
      </c>
    </row>
    <row r="160" spans="1:8">
      <c r="A160" t="s">
        <v>467</v>
      </c>
      <c r="B160" t="str">
        <f>VLOOKUP(A160,MemoryAvailable!A:B,2,FALSE)</f>
        <v>appwe01mags-prod</v>
      </c>
      <c r="C160" t="s">
        <v>2587</v>
      </c>
      <c r="D160">
        <v>1.8855272894915809</v>
      </c>
      <c r="E160">
        <v>8.0058537887157932</v>
      </c>
      <c r="F160">
        <v>353.38383717622702</v>
      </c>
      <c r="G160" t="s">
        <v>4044</v>
      </c>
      <c r="H160" t="s">
        <v>2624</v>
      </c>
    </row>
    <row r="161" spans="1:8">
      <c r="A161" t="s">
        <v>2826</v>
      </c>
      <c r="B161" t="str">
        <f>VLOOKUP(A161,MemoryAvailable!A:B,2,FALSE)</f>
        <v>AZREUNPS03ALW</v>
      </c>
      <c r="C161" t="s">
        <v>2566</v>
      </c>
      <c r="D161">
        <v>1.8351644092220967</v>
      </c>
      <c r="E161">
        <v>5.6474750439338992</v>
      </c>
      <c r="F161">
        <v>776.73883056640602</v>
      </c>
      <c r="G161" t="s">
        <v>4045</v>
      </c>
    </row>
    <row r="162" spans="1:8">
      <c r="A162" t="s">
        <v>2798</v>
      </c>
      <c r="B162" t="str">
        <f>VLOOKUP(A162,MemoryAvailable!A:B,2,FALSE)</f>
        <v>AZREUUIP02ORC</v>
      </c>
      <c r="C162" t="s">
        <v>2566</v>
      </c>
      <c r="D162">
        <v>1.8306336943539416</v>
      </c>
      <c r="E162">
        <v>5.3981203567807148</v>
      </c>
      <c r="F162">
        <v>482.58172607421898</v>
      </c>
      <c r="G162" t="s">
        <v>4046</v>
      </c>
    </row>
    <row r="163" spans="1:8">
      <c r="A163" t="s">
        <v>622</v>
      </c>
      <c r="B163" t="str">
        <f>VLOOKUP(A163,MemoryAvailable!A:B,2,FALSE)</f>
        <v>dbsne01cst-dr</v>
      </c>
      <c r="C163" t="s">
        <v>2587</v>
      </c>
      <c r="D163">
        <v>1.8184454118381719</v>
      </c>
      <c r="E163">
        <v>6.6809917744196294</v>
      </c>
      <c r="F163">
        <v>98.534523971969307</v>
      </c>
      <c r="G163" t="s">
        <v>4047</v>
      </c>
      <c r="H163" t="s">
        <v>2875</v>
      </c>
    </row>
    <row r="164" spans="1:8">
      <c r="A164" t="s">
        <v>498</v>
      </c>
      <c r="B164" t="str">
        <f>VLOOKUP(A164,MemoryAvailable!A:B,2,FALSE)</f>
        <v>dbswe02mysql-uat</v>
      </c>
      <c r="C164" t="s">
        <v>2587</v>
      </c>
      <c r="D164">
        <v>1.7981975990578691</v>
      </c>
      <c r="E164">
        <v>6.7421847301420614</v>
      </c>
      <c r="F164">
        <v>107.74974357356901</v>
      </c>
      <c r="G164" t="s">
        <v>4048</v>
      </c>
      <c r="H164" t="s">
        <v>2801</v>
      </c>
    </row>
    <row r="165" spans="1:8">
      <c r="A165" t="s">
        <v>2849</v>
      </c>
      <c r="B165" t="str">
        <f>VLOOKUP(A165,MemoryAvailable!A:B,2,FALSE)</f>
        <v>appwe01turk-prd</v>
      </c>
      <c r="C165" t="s">
        <v>2566</v>
      </c>
      <c r="D165">
        <v>1.723497922678602</v>
      </c>
      <c r="E165">
        <v>5.423020425106837</v>
      </c>
      <c r="F165">
        <v>178.58895874023401</v>
      </c>
      <c r="G165" t="s">
        <v>4049</v>
      </c>
    </row>
    <row r="166" spans="1:8">
      <c r="A166" t="s">
        <v>2772</v>
      </c>
      <c r="B166" t="str">
        <f>VLOOKUP(A166,MemoryAvailable!A:B,2,FALSE)</f>
        <v>appwe03ttn-uat</v>
      </c>
      <c r="C166" t="s">
        <v>2566</v>
      </c>
      <c r="D166">
        <v>1.7122806146818357</v>
      </c>
      <c r="E166">
        <v>4.5520274787491113</v>
      </c>
      <c r="F166">
        <v>166.79193115234401</v>
      </c>
      <c r="G166" t="s">
        <v>4050</v>
      </c>
    </row>
    <row r="167" spans="1:8">
      <c r="A167" t="s">
        <v>625</v>
      </c>
      <c r="B167" t="str">
        <f>VLOOKUP(A167,MemoryAvailable!A:B,2,FALSE)</f>
        <v>dbsne01mysql-prod</v>
      </c>
      <c r="C167" t="s">
        <v>2566</v>
      </c>
      <c r="D167">
        <v>1.6883603482994216</v>
      </c>
      <c r="E167">
        <v>6.0645654583962338</v>
      </c>
      <c r="F167">
        <v>998.96085869528497</v>
      </c>
      <c r="G167" t="s">
        <v>4051</v>
      </c>
    </row>
    <row r="168" spans="1:8">
      <c r="A168" t="s">
        <v>505</v>
      </c>
      <c r="B168" t="str">
        <f>VLOOKUP(A168,MemoryAvailable!A:B,2,FALSE)</f>
        <v>dbswe03cst-uat</v>
      </c>
      <c r="C168" t="s">
        <v>2566</v>
      </c>
      <c r="D168">
        <v>1.4271164434629053</v>
      </c>
      <c r="E168">
        <v>5.405285319782446</v>
      </c>
      <c r="F168">
        <v>206.06713153350901</v>
      </c>
      <c r="G168" t="s">
        <v>4052</v>
      </c>
    </row>
    <row r="169" spans="1:8">
      <c r="A169" t="s">
        <v>352</v>
      </c>
      <c r="B169" t="str">
        <f>VLOOKUP(A169,MemoryAvailable!A:B,2,FALSE)</f>
        <v>AZREUDEVRAD01</v>
      </c>
      <c r="C169" t="s">
        <v>2566</v>
      </c>
      <c r="D169">
        <v>1.3790033534865054</v>
      </c>
      <c r="E169">
        <v>5.2476480295491843</v>
      </c>
      <c r="F169">
        <v>260.32658709451198</v>
      </c>
      <c r="G169" t="s">
        <v>4053</v>
      </c>
    </row>
    <row r="170" spans="1:8">
      <c r="A170" t="s">
        <v>284</v>
      </c>
      <c r="B170" t="str">
        <f>VLOOKUP(A170,MemoryAvailable!A:B,2,FALSE)</f>
        <v>appwe01sales-uat</v>
      </c>
      <c r="C170" t="s">
        <v>2587</v>
      </c>
      <c r="D170">
        <v>1.2897178779522509</v>
      </c>
      <c r="E170">
        <v>6.1230468136270879</v>
      </c>
      <c r="F170">
        <v>174.75317613897599</v>
      </c>
      <c r="G170" t="s">
        <v>4054</v>
      </c>
      <c r="H170" t="s">
        <v>2762</v>
      </c>
    </row>
    <row r="171" spans="1:8">
      <c r="A171" t="s">
        <v>310</v>
      </c>
      <c r="B171" t="str">
        <f>VLOOKUP(A171,MemoryAvailable!A:B,2,FALSE)</f>
        <v>appwe02sales-uat</v>
      </c>
      <c r="C171" t="s">
        <v>2587</v>
      </c>
      <c r="D171">
        <v>1.2630450749996214</v>
      </c>
      <c r="E171">
        <v>5.9321187563975641</v>
      </c>
      <c r="F171">
        <v>195.96608433385001</v>
      </c>
      <c r="G171" t="s">
        <v>4055</v>
      </c>
      <c r="H171" t="s">
        <v>2734</v>
      </c>
    </row>
    <row r="172" spans="1:8">
      <c r="A172" t="s">
        <v>282</v>
      </c>
      <c r="B172" t="str">
        <f>VLOOKUP(A172,MemoryAvailable!A:B,2,FALSE)</f>
        <v>appwe01sales-test</v>
      </c>
      <c r="C172" t="s">
        <v>2587</v>
      </c>
      <c r="D172">
        <v>1.2459373025311657</v>
      </c>
      <c r="E172">
        <v>5.8771921622537242</v>
      </c>
      <c r="F172">
        <v>417.15583537745101</v>
      </c>
      <c r="G172" t="s">
        <v>4056</v>
      </c>
      <c r="H172" t="s">
        <v>2788</v>
      </c>
    </row>
    <row r="173" spans="1:8">
      <c r="A173" t="s">
        <v>2720</v>
      </c>
      <c r="B173" t="str">
        <f>VLOOKUP(A173,MemoryAvailable!A:B,2,FALSE)</f>
        <v>appwe02ttn-uat</v>
      </c>
      <c r="C173" t="s">
        <v>2566</v>
      </c>
      <c r="D173">
        <v>1.2252767927209602</v>
      </c>
      <c r="E173">
        <v>4.1129706096726029</v>
      </c>
      <c r="F173">
        <v>86.065818786621094</v>
      </c>
      <c r="G173" t="s">
        <v>4057</v>
      </c>
    </row>
    <row r="174" spans="1:8">
      <c r="A174" t="s">
        <v>674</v>
      </c>
      <c r="B174" t="str">
        <f>VLOOKUP(A174,MemoryAvailable!A:B,2,FALSE)</f>
        <v>dbswe03cst-prod</v>
      </c>
      <c r="C174" t="s">
        <v>2566</v>
      </c>
      <c r="D174">
        <v>1.2013055664897838</v>
      </c>
      <c r="E174">
        <v>5.7930001358762855</v>
      </c>
      <c r="F174">
        <v>188.58524659980799</v>
      </c>
      <c r="G174" t="s">
        <v>4058</v>
      </c>
    </row>
    <row r="175" spans="1:8">
      <c r="A175" t="s">
        <v>667</v>
      </c>
      <c r="B175" t="str">
        <f>VLOOKUP(A175,MemoryAvailable!A:B,2,FALSE)</f>
        <v>appwe01magazines-uat</v>
      </c>
      <c r="C175" t="s">
        <v>2587</v>
      </c>
      <c r="D175">
        <v>1.0298888595660329</v>
      </c>
      <c r="E175">
        <v>5.0295885551503519</v>
      </c>
      <c r="F175">
        <v>157.44306340649399</v>
      </c>
      <c r="G175" t="s">
        <v>4059</v>
      </c>
      <c r="H175" t="s">
        <v>2737</v>
      </c>
    </row>
    <row r="176" spans="1:8">
      <c r="A176" t="s">
        <v>323</v>
      </c>
      <c r="B176" t="str">
        <f>VLOOKUP(A176,MemoryAvailable!A:B,2,FALSE)</f>
        <v>appwe01cst-test</v>
      </c>
      <c r="C176" t="s">
        <v>2587</v>
      </c>
      <c r="D176">
        <v>9.4490890028450947E-3</v>
      </c>
      <c r="F176">
        <v>7.3336435991622499</v>
      </c>
      <c r="G176" t="s">
        <v>4060</v>
      </c>
      <c r="H176" t="s">
        <v>2708</v>
      </c>
    </row>
    <row r="177" spans="1:8">
      <c r="A177" t="s">
        <v>442</v>
      </c>
      <c r="B177" t="str">
        <f>VLOOKUP(A177,MemoryAvailable!A:B,2,FALSE)</f>
        <v>appwe01cst-prod</v>
      </c>
      <c r="C177" t="s">
        <v>2587</v>
      </c>
      <c r="D177">
        <v>1.539959998063169E-3</v>
      </c>
      <c r="F177">
        <v>3.7703336994438001</v>
      </c>
      <c r="G177" t="s">
        <v>4061</v>
      </c>
      <c r="H177" t="s">
        <v>2657</v>
      </c>
    </row>
    <row r="178" spans="1:8">
      <c r="A178" t="s">
        <v>520</v>
      </c>
      <c r="B178" t="str">
        <f>VLOOKUP(A178,MemoryAvailable!A:B,2,FALSE)</f>
        <v>appwe01cst-uat</v>
      </c>
      <c r="C178" t="s">
        <v>2587</v>
      </c>
      <c r="D178">
        <v>6.9630323142949764E-4</v>
      </c>
      <c r="F178">
        <v>1.3833547448519601</v>
      </c>
      <c r="G178" t="s">
        <v>4061</v>
      </c>
      <c r="H178" t="s">
        <v>2797</v>
      </c>
    </row>
    <row r="179" spans="1:8">
      <c r="A179" t="s">
        <v>521</v>
      </c>
      <c r="B179" t="str">
        <f>VLOOKUP(A179,MemoryAvailable!A:B,2,FALSE)</f>
        <v>appwe03cst-prod</v>
      </c>
      <c r="C179" t="s">
        <v>2566</v>
      </c>
      <c r="D179">
        <v>9.3297786128206082E-5</v>
      </c>
      <c r="F179">
        <v>0.98140642068206196</v>
      </c>
      <c r="G179" t="s">
        <v>4061</v>
      </c>
    </row>
    <row r="180" spans="1:8">
      <c r="A180" t="s">
        <v>384</v>
      </c>
      <c r="B180" t="str">
        <f>VLOOKUP(A180,MemoryAvailable!A:B,2,FALSE)</f>
        <v>appwe01sftp-tst</v>
      </c>
      <c r="C180" t="s">
        <v>2566</v>
      </c>
      <c r="D180">
        <v>6.3801546929280072E-5</v>
      </c>
      <c r="F180">
        <v>0.100005036646999</v>
      </c>
      <c r="G180" t="s">
        <v>4061</v>
      </c>
    </row>
    <row r="181" spans="1:8">
      <c r="A181" t="s">
        <v>386</v>
      </c>
      <c r="B181" t="str">
        <f>VLOOKUP(A181,MemoryAvailable!A:B,2,FALSE)</f>
        <v>appwe01sftp-uat</v>
      </c>
      <c r="C181" t="s">
        <v>2566</v>
      </c>
      <c r="D181">
        <v>4.7401416319390504E-5</v>
      </c>
      <c r="F181">
        <v>0.13333428003561101</v>
      </c>
      <c r="G181" t="s">
        <v>4061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06ECF-85D5-46D5-8E73-DB96A23BDB2B}">
  <sheetPr codeName="Sheet17"/>
  <dimension ref="A1:H181"/>
  <sheetViews>
    <sheetView workbookViewId="0">
      <selection activeCell="C8" sqref="C8"/>
    </sheetView>
  </sheetViews>
  <sheetFormatPr defaultRowHeight="14.5"/>
  <sheetData>
    <row r="1" spans="1:8">
      <c r="A1" t="s">
        <v>2514</v>
      </c>
      <c r="B1" t="s">
        <v>2515</v>
      </c>
      <c r="C1" t="s">
        <v>2516</v>
      </c>
      <c r="D1" t="s">
        <v>2517</v>
      </c>
      <c r="E1" t="s">
        <v>2518</v>
      </c>
      <c r="F1" t="s">
        <v>2519</v>
      </c>
      <c r="G1" t="s">
        <v>2520</v>
      </c>
      <c r="H1" t="s">
        <v>2521</v>
      </c>
    </row>
    <row r="2" spans="1:8">
      <c r="A2" t="s">
        <v>2702</v>
      </c>
      <c r="B2" t="str">
        <f>VLOOKUP(A2,MemoryAvailable!A:B,2,FALSE)</f>
        <v>dbswe02ttn-prod</v>
      </c>
      <c r="C2" t="s">
        <v>2566</v>
      </c>
      <c r="D2">
        <v>21423378.534065455</v>
      </c>
      <c r="E2">
        <v>86485453.363414466</v>
      </c>
      <c r="F2">
        <v>1631590784</v>
      </c>
      <c r="G2" t="s">
        <v>4062</v>
      </c>
    </row>
    <row r="3" spans="1:8">
      <c r="A3" t="s">
        <v>2651</v>
      </c>
      <c r="B3" t="str">
        <f>VLOOKUP(A3,MemoryAvailable!A:B,2,FALSE)</f>
        <v>dbswe02ttn-uat</v>
      </c>
      <c r="C3" t="s">
        <v>2566</v>
      </c>
      <c r="D3">
        <v>21228043.444443367</v>
      </c>
      <c r="E3">
        <v>174854006.98783609</v>
      </c>
      <c r="F3">
        <v>1017810368</v>
      </c>
      <c r="G3" t="s">
        <v>4063</v>
      </c>
    </row>
    <row r="4" spans="1:8">
      <c r="A4" t="s">
        <v>2619</v>
      </c>
      <c r="B4" t="str">
        <f>VLOOKUP(A4,MemoryAvailable!A:B,2,FALSE)</f>
        <v>dbswe01ttn-uat</v>
      </c>
      <c r="C4" t="s">
        <v>2566</v>
      </c>
      <c r="D4">
        <v>18921026.707683843</v>
      </c>
      <c r="E4">
        <v>161060649.39987761</v>
      </c>
      <c r="F4">
        <v>748089472</v>
      </c>
      <c r="G4" t="s">
        <v>4064</v>
      </c>
    </row>
    <row r="5" spans="1:8">
      <c r="A5" t="s">
        <v>2593</v>
      </c>
      <c r="B5" t="str">
        <f>VLOOKUP(A5,MemoryAvailable!A:B,2,FALSE)</f>
        <v>dbswe01ttn-prod</v>
      </c>
      <c r="C5" t="s">
        <v>2587</v>
      </c>
      <c r="D5">
        <v>12506011.689890034</v>
      </c>
      <c r="E5">
        <v>67735918.035767317</v>
      </c>
      <c r="F5">
        <v>1831417088</v>
      </c>
      <c r="G5" t="s">
        <v>4065</v>
      </c>
      <c r="H5" t="s">
        <v>2595</v>
      </c>
    </row>
    <row r="6" spans="1:8">
      <c r="A6" t="s">
        <v>2667</v>
      </c>
      <c r="B6" t="str">
        <f>VLOOKUP(A6,MemoryAvailable!A:B,2,FALSE)</f>
        <v>dbswe01sql-prod</v>
      </c>
      <c r="C6" t="s">
        <v>2566</v>
      </c>
      <c r="D6">
        <v>8948144.6509255301</v>
      </c>
      <c r="E6">
        <v>826759.9754592597</v>
      </c>
      <c r="F6">
        <v>865597632</v>
      </c>
      <c r="G6" t="s">
        <v>4066</v>
      </c>
    </row>
    <row r="7" spans="1:8">
      <c r="A7" t="s">
        <v>2617</v>
      </c>
      <c r="B7" t="str">
        <f>VLOOKUP(A7,MemoryAvailable!A:B,2,FALSE)</f>
        <v>dbwe01sql2-prod</v>
      </c>
      <c r="C7" t="s">
        <v>2566</v>
      </c>
      <c r="D7">
        <v>7715549.8860438149</v>
      </c>
      <c r="E7">
        <v>76795918.907802656</v>
      </c>
      <c r="F7">
        <v>995468480</v>
      </c>
      <c r="G7" t="s">
        <v>4067</v>
      </c>
    </row>
    <row r="8" spans="1:8">
      <c r="A8" t="s">
        <v>2596</v>
      </c>
      <c r="B8" t="str">
        <f>VLOOKUP(A8,MemoryAvailable!A:B,2,FALSE)</f>
        <v>AZREUDBS01SLW</v>
      </c>
      <c r="C8" t="s">
        <v>2566</v>
      </c>
      <c r="D8">
        <v>7266582.8814480221</v>
      </c>
      <c r="E8">
        <v>25642882.166078918</v>
      </c>
      <c r="F8">
        <v>962167680</v>
      </c>
      <c r="G8" t="s">
        <v>4068</v>
      </c>
    </row>
    <row r="9" spans="1:8">
      <c r="A9" t="s">
        <v>2643</v>
      </c>
      <c r="B9" t="str">
        <f>VLOOKUP(A9,MemoryAvailable!A:B,2,FALSE)</f>
        <v>dbswe01ttn-test</v>
      </c>
      <c r="C9" t="s">
        <v>2566</v>
      </c>
      <c r="D9">
        <v>4342238.4222674137</v>
      </c>
      <c r="E9">
        <v>18539110.798887283</v>
      </c>
      <c r="F9">
        <v>967491648</v>
      </c>
      <c r="G9" t="s">
        <v>4069</v>
      </c>
    </row>
    <row r="10" spans="1:8">
      <c r="A10" t="s">
        <v>2835</v>
      </c>
      <c r="B10" t="str">
        <f>VLOOKUP(A10,MemoryAvailable!A:B,2,FALSE)</f>
        <v>appwe01per-prod</v>
      </c>
      <c r="C10" t="s">
        <v>2566</v>
      </c>
      <c r="D10">
        <v>4158230.6314733876</v>
      </c>
      <c r="E10">
        <v>14695999.169281332</v>
      </c>
      <c r="F10">
        <v>110204688</v>
      </c>
      <c r="G10" t="s">
        <v>4070</v>
      </c>
    </row>
    <row r="11" spans="1:8">
      <c r="A11" t="s">
        <v>2717</v>
      </c>
      <c r="B11" t="str">
        <f>VLOOKUP(A11,MemoryAvailable!A:B,2,FALSE)</f>
        <v>dbwe02sql2-prod</v>
      </c>
      <c r="C11" t="s">
        <v>2566</v>
      </c>
      <c r="D11">
        <v>1513464.948971835</v>
      </c>
      <c r="E11">
        <v>469865.38816375349</v>
      </c>
      <c r="F11">
        <v>909139392</v>
      </c>
      <c r="G11" t="s">
        <v>4071</v>
      </c>
    </row>
    <row r="12" spans="1:8">
      <c r="A12" t="s">
        <v>2844</v>
      </c>
      <c r="B12" t="str">
        <f>VLOOKUP(A12,MemoryAvailable!A:B,2,FALSE)</f>
        <v>dbsne03ttn-dr</v>
      </c>
      <c r="C12" t="s">
        <v>2566</v>
      </c>
      <c r="D12">
        <v>1204051.9950101878</v>
      </c>
      <c r="E12">
        <v>536875.10379501327</v>
      </c>
      <c r="F12">
        <v>737929536</v>
      </c>
      <c r="G12" t="s">
        <v>4072</v>
      </c>
    </row>
    <row r="13" spans="1:8">
      <c r="A13" t="s">
        <v>2840</v>
      </c>
      <c r="B13" t="str">
        <f>VLOOKUP(A13,MemoryAvailable!A:B,2,FALSE)</f>
        <v>dbswe02sql-prod</v>
      </c>
      <c r="C13" t="s">
        <v>2566</v>
      </c>
      <c r="D13">
        <v>1149426.1037235248</v>
      </c>
      <c r="E13">
        <v>434301.02608008613</v>
      </c>
      <c r="F13">
        <v>953916032</v>
      </c>
      <c r="G13" t="s">
        <v>4073</v>
      </c>
    </row>
    <row r="14" spans="1:8">
      <c r="A14" t="s">
        <v>2743</v>
      </c>
      <c r="B14" t="str">
        <f>VLOOKUP(A14,MemoryAvailable!A:B,2,FALSE)</f>
        <v>dbsne03sql-dr</v>
      </c>
      <c r="C14" t="s">
        <v>2566</v>
      </c>
      <c r="D14">
        <v>1090619.1829687776</v>
      </c>
      <c r="E14">
        <v>110726.19058800506</v>
      </c>
      <c r="F14">
        <v>401904544</v>
      </c>
      <c r="G14" t="s">
        <v>4074</v>
      </c>
    </row>
    <row r="15" spans="1:8">
      <c r="A15" t="s">
        <v>2635</v>
      </c>
      <c r="B15" t="str">
        <f>VLOOKUP(A15,MemoryAvailable!A:B,2,FALSE)</f>
        <v>Appwe01sg-prod</v>
      </c>
      <c r="C15" t="s">
        <v>2566</v>
      </c>
      <c r="D15">
        <v>1077113.8860263205</v>
      </c>
      <c r="E15">
        <v>407673.81993376499</v>
      </c>
      <c r="F15">
        <v>129635712</v>
      </c>
      <c r="G15" t="s">
        <v>4075</v>
      </c>
    </row>
    <row r="16" spans="1:8">
      <c r="A16" t="s">
        <v>2669</v>
      </c>
      <c r="B16" t="str">
        <f>VLOOKUP(A16,MemoryAvailable!A:B,2,FALSE)</f>
        <v>dbne03sql2-dr</v>
      </c>
      <c r="C16" t="s">
        <v>2566</v>
      </c>
      <c r="D16">
        <v>815252.4671938637</v>
      </c>
      <c r="E16">
        <v>142203.35292927281</v>
      </c>
      <c r="F16">
        <v>402755872</v>
      </c>
      <c r="G16" t="s">
        <v>4076</v>
      </c>
    </row>
    <row r="17" spans="1:8">
      <c r="A17" t="s">
        <v>2562</v>
      </c>
      <c r="B17" t="str">
        <f>VLOOKUP(A17,MemoryAvailable!A:B,2,FALSE)</f>
        <v>v3Standrd | v3Standrd00001Q</v>
      </c>
      <c r="C17" t="s">
        <v>2523</v>
      </c>
      <c r="D17">
        <v>547185.23882033175</v>
      </c>
      <c r="E17">
        <v>2133957.4253123193</v>
      </c>
      <c r="F17">
        <v>10498775</v>
      </c>
      <c r="G17" t="s">
        <v>4077</v>
      </c>
      <c r="H17" t="s">
        <v>2564</v>
      </c>
    </row>
    <row r="18" spans="1:8">
      <c r="A18" t="s">
        <v>2568</v>
      </c>
      <c r="B18" t="str">
        <f>VLOOKUP(A18,MemoryAvailable!A:B,2,FALSE)</f>
        <v>v3Standrd | v3Standrd00001P</v>
      </c>
      <c r="C18" t="s">
        <v>2523</v>
      </c>
      <c r="D18">
        <v>546313.45914778172</v>
      </c>
      <c r="E18">
        <v>2119461.2904196647</v>
      </c>
      <c r="F18">
        <v>17168398</v>
      </c>
      <c r="G18" t="s">
        <v>4078</v>
      </c>
      <c r="H18" t="s">
        <v>2570</v>
      </c>
    </row>
    <row r="19" spans="1:8">
      <c r="A19" t="s">
        <v>2547</v>
      </c>
      <c r="B19" t="str">
        <f>VLOOKUP(A19,MemoryAvailable!A:B,2,FALSE)</f>
        <v>v3Standrd | v3Standrd00001O</v>
      </c>
      <c r="C19" t="s">
        <v>2523</v>
      </c>
      <c r="D19">
        <v>545379.67638384667</v>
      </c>
      <c r="E19">
        <v>2117757.0470253555</v>
      </c>
      <c r="F19">
        <v>13599040</v>
      </c>
      <c r="G19" t="s">
        <v>4079</v>
      </c>
      <c r="H19" t="s">
        <v>2549</v>
      </c>
    </row>
    <row r="20" spans="1:8">
      <c r="A20" t="s">
        <v>2541</v>
      </c>
      <c r="B20" t="str">
        <f>VLOOKUP(A20,MemoryAvailable!A:B,2,FALSE)</f>
        <v>v3Standrd | v3Standrd00001S</v>
      </c>
      <c r="C20" t="s">
        <v>2523</v>
      </c>
      <c r="D20">
        <v>544869.43974366889</v>
      </c>
      <c r="E20">
        <v>2113020.3250065804</v>
      </c>
      <c r="F20">
        <v>15743069</v>
      </c>
      <c r="G20" t="s">
        <v>4080</v>
      </c>
      <c r="H20" t="s">
        <v>2543</v>
      </c>
    </row>
    <row r="21" spans="1:8">
      <c r="A21" t="s">
        <v>2535</v>
      </c>
      <c r="B21" t="str">
        <f>VLOOKUP(A21,MemoryAvailable!A:B,2,FALSE)</f>
        <v>v3Standrd | v3Standrd000003</v>
      </c>
      <c r="C21" t="s">
        <v>2523</v>
      </c>
      <c r="D21">
        <v>544414.17023644398</v>
      </c>
      <c r="E21">
        <v>2108611.7667211513</v>
      </c>
      <c r="F21">
        <v>37682992</v>
      </c>
      <c r="G21" t="s">
        <v>4081</v>
      </c>
      <c r="H21" t="s">
        <v>2537</v>
      </c>
    </row>
    <row r="22" spans="1:8">
      <c r="A22" t="s">
        <v>2550</v>
      </c>
      <c r="B22" t="str">
        <f>VLOOKUP(A22,MemoryAvailable!A:B,2,FALSE)</f>
        <v>v3Standrd | v3Standrd00001M</v>
      </c>
      <c r="C22" t="s">
        <v>2523</v>
      </c>
      <c r="D22">
        <v>544323.92729548854</v>
      </c>
      <c r="E22">
        <v>2108283.122033441</v>
      </c>
      <c r="F22">
        <v>15839841</v>
      </c>
      <c r="G22" t="s">
        <v>4082</v>
      </c>
      <c r="H22" t="s">
        <v>2552</v>
      </c>
    </row>
    <row r="23" spans="1:8">
      <c r="A23" t="s">
        <v>2532</v>
      </c>
      <c r="B23" t="str">
        <f>VLOOKUP(A23,MemoryAvailable!A:B,2,FALSE)</f>
        <v>v3Standrd | v3Standrd000004</v>
      </c>
      <c r="C23" t="s">
        <v>2523</v>
      </c>
      <c r="D23">
        <v>544206.25999722152</v>
      </c>
      <c r="E23">
        <v>2140885.1421434171</v>
      </c>
      <c r="F23">
        <v>21068138</v>
      </c>
      <c r="G23" t="s">
        <v>4083</v>
      </c>
      <c r="H23" t="s">
        <v>2534</v>
      </c>
    </row>
    <row r="24" spans="1:8">
      <c r="A24" t="s">
        <v>2553</v>
      </c>
      <c r="B24" t="str">
        <f>VLOOKUP(A24,MemoryAvailable!A:B,2,FALSE)</f>
        <v>v3Standrd | v3Standrd00001J</v>
      </c>
      <c r="C24" t="s">
        <v>2523</v>
      </c>
      <c r="D24">
        <v>540863.27712081466</v>
      </c>
      <c r="E24">
        <v>2102497.6479306235</v>
      </c>
      <c r="F24">
        <v>12115611</v>
      </c>
      <c r="G24" t="s">
        <v>4084</v>
      </c>
      <c r="H24" t="s">
        <v>2555</v>
      </c>
    </row>
    <row r="25" spans="1:8">
      <c r="A25" t="s">
        <v>2544</v>
      </c>
      <c r="B25" t="str">
        <f>VLOOKUP(A25,MemoryAvailable!A:B,2,FALSE)</f>
        <v>v3Standrd | v3Standrd00001L</v>
      </c>
      <c r="C25" t="s">
        <v>2523</v>
      </c>
      <c r="D25">
        <v>540697.81899257645</v>
      </c>
      <c r="E25">
        <v>2105972.4847269752</v>
      </c>
      <c r="F25">
        <v>16335880</v>
      </c>
      <c r="G25" t="s">
        <v>4085</v>
      </c>
      <c r="H25" t="s">
        <v>2546</v>
      </c>
    </row>
    <row r="26" spans="1:8">
      <c r="A26" t="s">
        <v>2529</v>
      </c>
      <c r="B26" t="str">
        <f>VLOOKUP(A26,MemoryAvailable!A:B,2,FALSE)</f>
        <v>v3Standrd | v3Standrd000002</v>
      </c>
      <c r="C26" t="s">
        <v>2523</v>
      </c>
      <c r="D26">
        <v>540614.03561559517</v>
      </c>
      <c r="E26">
        <v>2092890.8064117727</v>
      </c>
      <c r="F26">
        <v>27613144</v>
      </c>
      <c r="G26" t="s">
        <v>4086</v>
      </c>
      <c r="H26" t="s">
        <v>2531</v>
      </c>
    </row>
    <row r="27" spans="1:8">
      <c r="A27" t="s">
        <v>2538</v>
      </c>
      <c r="B27" t="str">
        <f>VLOOKUP(A27,MemoryAvailable!A:B,2,FALSE)</f>
        <v>v3Standrd | v3Standrd00001K</v>
      </c>
      <c r="C27" t="s">
        <v>2523</v>
      </c>
      <c r="D27">
        <v>540456.35295258416</v>
      </c>
      <c r="E27">
        <v>2098944.0143699767</v>
      </c>
      <c r="F27">
        <v>9418662</v>
      </c>
      <c r="G27" t="s">
        <v>4087</v>
      </c>
      <c r="H27" t="s">
        <v>2540</v>
      </c>
    </row>
    <row r="28" spans="1:8">
      <c r="A28" t="s">
        <v>2522</v>
      </c>
      <c r="B28" t="str">
        <f>VLOOKUP(A28,MemoryAvailable!A:B,2,FALSE)</f>
        <v>v3Standrd | v3Standrd000000</v>
      </c>
      <c r="C28" t="s">
        <v>2523</v>
      </c>
      <c r="D28">
        <v>536892.59386604384</v>
      </c>
      <c r="E28">
        <v>2125207.3581650364</v>
      </c>
      <c r="F28">
        <v>31342528</v>
      </c>
      <c r="G28" t="s">
        <v>4088</v>
      </c>
      <c r="H28" t="s">
        <v>2525</v>
      </c>
    </row>
    <row r="29" spans="1:8">
      <c r="A29" t="s">
        <v>2559</v>
      </c>
      <c r="B29" t="str">
        <f>VLOOKUP(A29,MemoryAvailable!A:B,2,FALSE)</f>
        <v>v3Standrd | v3Standrd00001R</v>
      </c>
      <c r="C29" t="s">
        <v>2523</v>
      </c>
      <c r="D29">
        <v>536864.00263131154</v>
      </c>
      <c r="E29">
        <v>2116116.458304496</v>
      </c>
      <c r="F29">
        <v>11540683</v>
      </c>
      <c r="G29" t="s">
        <v>4089</v>
      </c>
      <c r="H29" t="s">
        <v>2561</v>
      </c>
    </row>
    <row r="30" spans="1:8">
      <c r="A30" t="s">
        <v>2556</v>
      </c>
      <c r="B30" t="str">
        <f>VLOOKUP(A30,MemoryAvailable!A:B,2,FALSE)</f>
        <v>v3Standrd | v3Standrd00001N</v>
      </c>
      <c r="C30" t="s">
        <v>2523</v>
      </c>
      <c r="D30">
        <v>534542.12970561266</v>
      </c>
      <c r="E30">
        <v>2103690.3033635295</v>
      </c>
      <c r="F30">
        <v>10491595</v>
      </c>
      <c r="G30" t="s">
        <v>4090</v>
      </c>
      <c r="H30" t="s">
        <v>2558</v>
      </c>
    </row>
    <row r="31" spans="1:8">
      <c r="A31" t="s">
        <v>2526</v>
      </c>
      <c r="B31" t="str">
        <f>VLOOKUP(A31,MemoryAvailable!A:B,2,FALSE)</f>
        <v>v3Standrd | v3Standrd000001</v>
      </c>
      <c r="C31" t="s">
        <v>2523</v>
      </c>
      <c r="D31">
        <v>527765.96283877513</v>
      </c>
      <c r="E31">
        <v>2058068.6012129884</v>
      </c>
      <c r="F31">
        <v>25366918</v>
      </c>
      <c r="G31" t="s">
        <v>4091</v>
      </c>
      <c r="H31" t="s">
        <v>2528</v>
      </c>
    </row>
    <row r="32" spans="1:8">
      <c r="A32" t="s">
        <v>2738</v>
      </c>
      <c r="B32" t="str">
        <f>VLOOKUP(A32,MemoryAvailable!A:B,2,FALSE)</f>
        <v>dbswe01sql-uat</v>
      </c>
      <c r="C32" t="s">
        <v>2566</v>
      </c>
      <c r="D32">
        <v>455445.50793865934</v>
      </c>
      <c r="E32">
        <v>127442.40026899708</v>
      </c>
      <c r="F32">
        <v>322730720</v>
      </c>
      <c r="G32" t="s">
        <v>4092</v>
      </c>
    </row>
    <row r="33" spans="1:8">
      <c r="A33" t="s">
        <v>642</v>
      </c>
      <c r="B33" t="str">
        <f>VLOOKUP(A33,MemoryAvailable!A:B,2,FALSE)</f>
        <v>dbswe01mysql-prod</v>
      </c>
      <c r="C33" t="s">
        <v>2566</v>
      </c>
      <c r="D33">
        <v>432241.81462790101</v>
      </c>
      <c r="E33">
        <v>10308.035645829887</v>
      </c>
      <c r="F33">
        <v>28454043.332227901</v>
      </c>
      <c r="G33" t="s">
        <v>4093</v>
      </c>
    </row>
    <row r="34" spans="1:8">
      <c r="A34" t="s">
        <v>2695</v>
      </c>
      <c r="B34" t="str">
        <f>VLOOKUP(A34,MemoryAvailable!A:B,2,FALSE)</f>
        <v>appwe01mim-prod</v>
      </c>
      <c r="C34" t="s">
        <v>2587</v>
      </c>
      <c r="D34">
        <v>393997.32806559291</v>
      </c>
      <c r="E34">
        <v>278153.65566245321</v>
      </c>
      <c r="F34">
        <v>407359584</v>
      </c>
      <c r="G34" t="s">
        <v>4094</v>
      </c>
      <c r="H34" t="s">
        <v>2697</v>
      </c>
    </row>
    <row r="35" spans="1:8">
      <c r="A35" t="s">
        <v>366</v>
      </c>
      <c r="B35" t="str">
        <f>VLOOKUP(A35,MemoryAvailable!A:B,2,FALSE)</f>
        <v>AZREURAD01WFI</v>
      </c>
      <c r="C35" t="s">
        <v>2566</v>
      </c>
      <c r="D35">
        <v>393584.96113140794</v>
      </c>
      <c r="E35">
        <v>1308054.3649385183</v>
      </c>
      <c r="F35">
        <v>102580822.66743299</v>
      </c>
      <c r="G35" t="s">
        <v>4095</v>
      </c>
    </row>
    <row r="36" spans="1:8">
      <c r="A36" t="s">
        <v>2779</v>
      </c>
      <c r="B36" t="str">
        <f>VLOOKUP(A36,MemoryAvailable!A:B,2,FALSE)</f>
        <v>appwe02win10tst</v>
      </c>
      <c r="C36" t="s">
        <v>2566</v>
      </c>
      <c r="D36">
        <v>385522.53774123226</v>
      </c>
      <c r="E36">
        <v>292086.60416666669</v>
      </c>
      <c r="F36">
        <v>59826716</v>
      </c>
      <c r="G36" t="s">
        <v>4096</v>
      </c>
    </row>
    <row r="37" spans="1:8">
      <c r="A37" t="s">
        <v>637</v>
      </c>
      <c r="B37" t="str">
        <f>VLOOKUP(A37,MemoryAvailable!A:B,2,FALSE)</f>
        <v>dbswe01cst-prod</v>
      </c>
      <c r="C37" t="s">
        <v>2587</v>
      </c>
      <c r="D37">
        <v>335985.08565353788</v>
      </c>
      <c r="E37">
        <v>273.06549896462769</v>
      </c>
      <c r="F37">
        <v>48486446.417342499</v>
      </c>
      <c r="G37" t="s">
        <v>4097</v>
      </c>
      <c r="H37" t="s">
        <v>2880</v>
      </c>
    </row>
    <row r="38" spans="1:8">
      <c r="A38" t="s">
        <v>2751</v>
      </c>
      <c r="B38" t="str">
        <f>VLOOKUP(A38,MemoryAvailable!A:B,2,FALSE)</f>
        <v>dbswe01sql-test</v>
      </c>
      <c r="C38" t="s">
        <v>2566</v>
      </c>
      <c r="D38">
        <v>318764.60802752263</v>
      </c>
      <c r="E38">
        <v>199086.65221748245</v>
      </c>
      <c r="F38">
        <v>434238464</v>
      </c>
      <c r="G38" t="s">
        <v>4098</v>
      </c>
    </row>
    <row r="39" spans="1:8">
      <c r="A39" t="s">
        <v>2689</v>
      </c>
      <c r="B39" t="str">
        <f>VLOOKUP(A39,MemoryAvailable!A:B,2,FALSE)</f>
        <v>appwe01cm-prod</v>
      </c>
      <c r="C39" t="s">
        <v>2566</v>
      </c>
      <c r="D39">
        <v>173754.53208693789</v>
      </c>
      <c r="E39">
        <v>243032.23967556891</v>
      </c>
      <c r="F39">
        <v>170030336</v>
      </c>
      <c r="G39" t="s">
        <v>4099</v>
      </c>
    </row>
    <row r="40" spans="1:8">
      <c r="A40" t="s">
        <v>2647</v>
      </c>
      <c r="B40" t="str">
        <f>VLOOKUP(A40,MemoryAvailable!A:B,2,FALSE)</f>
        <v>AZRUSNPS01DVL</v>
      </c>
      <c r="C40" t="s">
        <v>2566</v>
      </c>
      <c r="D40">
        <v>135226.90634398675</v>
      </c>
      <c r="E40">
        <v>7279.9934935861447</v>
      </c>
      <c r="F40">
        <v>14102755</v>
      </c>
      <c r="G40" t="s">
        <v>4100</v>
      </c>
    </row>
    <row r="41" spans="1:8">
      <c r="A41" t="s">
        <v>2627</v>
      </c>
      <c r="B41" t="str">
        <f>VLOOKUP(A41,MemoryAvailable!A:B,2,FALSE)</f>
        <v>AZREUNPS01DVL</v>
      </c>
      <c r="C41" t="s">
        <v>2566</v>
      </c>
      <c r="D41">
        <v>119598.58481644957</v>
      </c>
      <c r="E41">
        <v>38954.497035006294</v>
      </c>
      <c r="F41">
        <v>11705913</v>
      </c>
      <c r="G41" t="s">
        <v>4101</v>
      </c>
    </row>
    <row r="42" spans="1:8">
      <c r="A42" t="s">
        <v>652</v>
      </c>
      <c r="B42" t="str">
        <f>VLOOKUP(A42,MemoryAvailable!A:B,2,FALSE)</f>
        <v>dbswe01mysql-uat</v>
      </c>
      <c r="C42" t="s">
        <v>2587</v>
      </c>
      <c r="D42">
        <v>117873.05908399049</v>
      </c>
      <c r="E42">
        <v>546.1547636681687</v>
      </c>
      <c r="F42">
        <v>20157855.372496501</v>
      </c>
      <c r="G42" t="s">
        <v>4102</v>
      </c>
      <c r="H42" t="s">
        <v>2782</v>
      </c>
    </row>
    <row r="43" spans="1:8">
      <c r="A43" t="s">
        <v>2691</v>
      </c>
      <c r="B43" t="str">
        <f>VLOOKUP(A43,MemoryAvailable!A:B,2,FALSE)</f>
        <v>AZREUUIP03DBS</v>
      </c>
      <c r="C43" t="s">
        <v>2566</v>
      </c>
      <c r="D43">
        <v>117398.44326837994</v>
      </c>
      <c r="E43">
        <v>760560.44473704172</v>
      </c>
      <c r="F43">
        <v>154855088</v>
      </c>
      <c r="G43" t="s">
        <v>4103</v>
      </c>
    </row>
    <row r="44" spans="1:8">
      <c r="A44" t="s">
        <v>2731</v>
      </c>
      <c r="B44" t="str">
        <f>VLOOKUP(A44,MemoryAvailable!A:B,2,FALSE)</f>
        <v>Appwe01baduat</v>
      </c>
      <c r="C44" t="s">
        <v>2566</v>
      </c>
      <c r="D44">
        <v>116730.91387002448</v>
      </c>
      <c r="E44">
        <v>298792.68276442809</v>
      </c>
      <c r="F44">
        <v>16813030</v>
      </c>
      <c r="G44" t="s">
        <v>4104</v>
      </c>
    </row>
    <row r="45" spans="1:8">
      <c r="A45" t="s">
        <v>2833</v>
      </c>
      <c r="B45" t="str">
        <f>VLOOKUP(A45,MemoryAvailable!A:B,2,FALSE)</f>
        <v>Appwe02baduat</v>
      </c>
      <c r="C45" t="s">
        <v>2566</v>
      </c>
      <c r="D45">
        <v>99614.803117005678</v>
      </c>
      <c r="E45">
        <v>277438.97554976854</v>
      </c>
      <c r="F45">
        <v>39825820</v>
      </c>
      <c r="G45" t="s">
        <v>4105</v>
      </c>
    </row>
    <row r="46" spans="1:8">
      <c r="A46" t="s">
        <v>2659</v>
      </c>
      <c r="B46" t="str">
        <f>VLOOKUP(A46,MemoryAvailable!A:B,2,FALSE)</f>
        <v>repwe02ttn-prod</v>
      </c>
      <c r="C46" t="s">
        <v>2587</v>
      </c>
      <c r="D46">
        <v>92167.366474358205</v>
      </c>
      <c r="E46">
        <v>123998.84868696335</v>
      </c>
      <c r="F46">
        <v>272590464</v>
      </c>
      <c r="G46" t="s">
        <v>4106</v>
      </c>
      <c r="H46" t="s">
        <v>2661</v>
      </c>
    </row>
    <row r="47" spans="1:8">
      <c r="A47" t="s">
        <v>2860</v>
      </c>
      <c r="B47" t="str">
        <f>VLOOKUP(A47,MemoryAvailable!A:B,2,FALSE)</f>
        <v>appwe01dp-prod</v>
      </c>
      <c r="C47" t="s">
        <v>2566</v>
      </c>
      <c r="D47">
        <v>76429.260527456296</v>
      </c>
      <c r="E47">
        <v>345230.23127740115</v>
      </c>
      <c r="F47">
        <v>18533488</v>
      </c>
      <c r="G47" t="s">
        <v>4107</v>
      </c>
    </row>
    <row r="48" spans="1:8">
      <c r="A48" t="s">
        <v>2766</v>
      </c>
      <c r="B48" t="str">
        <f>VLOOKUP(A48,MemoryAvailable!A:B,2,FALSE)</f>
        <v>AZREUAPI01OTR</v>
      </c>
      <c r="C48" t="s">
        <v>2566</v>
      </c>
      <c r="D48">
        <v>74885.775668653019</v>
      </c>
      <c r="E48">
        <v>415990.13583984366</v>
      </c>
      <c r="F48">
        <v>47970920</v>
      </c>
      <c r="G48" t="s">
        <v>4108</v>
      </c>
    </row>
    <row r="49" spans="1:8">
      <c r="A49" t="s">
        <v>2672</v>
      </c>
      <c r="B49" t="str">
        <f>VLOOKUP(A49,MemoryAvailable!A:B,2,FALSE)</f>
        <v>repwe01ttn-prod</v>
      </c>
      <c r="C49" t="s">
        <v>2587</v>
      </c>
      <c r="D49">
        <v>72645.080464166866</v>
      </c>
      <c r="E49">
        <v>124177.22412121996</v>
      </c>
      <c r="F49">
        <v>222290656</v>
      </c>
      <c r="G49" t="s">
        <v>4109</v>
      </c>
      <c r="H49" t="s">
        <v>2674</v>
      </c>
    </row>
    <row r="50" spans="1:8">
      <c r="A50" t="s">
        <v>2812</v>
      </c>
      <c r="B50" t="str">
        <f>VLOOKUP(A50,MemoryAvailable!A:B,2,FALSE)</f>
        <v>dbswe01cch-prod</v>
      </c>
      <c r="C50" t="s">
        <v>2566</v>
      </c>
      <c r="D50">
        <v>70769.872402701178</v>
      </c>
      <c r="E50">
        <v>620949.43815930106</v>
      </c>
      <c r="F50">
        <v>72660272</v>
      </c>
      <c r="G50" t="s">
        <v>4110</v>
      </c>
    </row>
    <row r="51" spans="1:8">
      <c r="A51" t="s">
        <v>2828</v>
      </c>
      <c r="B51" t="str">
        <f>VLOOKUP(A51,MemoryAvailable!A:B,2,FALSE)</f>
        <v>AZREUAPI02PRV</v>
      </c>
      <c r="C51" t="s">
        <v>2566</v>
      </c>
      <c r="D51">
        <v>68854.542454535243</v>
      </c>
      <c r="E51">
        <v>416041.16858409467</v>
      </c>
      <c r="F51">
        <v>76582368</v>
      </c>
      <c r="G51" t="s">
        <v>4111</v>
      </c>
    </row>
    <row r="52" spans="1:8">
      <c r="A52" t="s">
        <v>2665</v>
      </c>
      <c r="B52" t="str">
        <f>VLOOKUP(A52,MemoryAvailable!A:B,2,FALSE)</f>
        <v>AZRAPNPS01DVL</v>
      </c>
      <c r="C52" t="s">
        <v>2566</v>
      </c>
      <c r="D52">
        <v>62894.830628257063</v>
      </c>
      <c r="E52">
        <v>7297.6923652243231</v>
      </c>
      <c r="F52">
        <v>15019032</v>
      </c>
      <c r="G52" t="s">
        <v>4112</v>
      </c>
    </row>
    <row r="53" spans="1:8">
      <c r="A53" t="s">
        <v>2853</v>
      </c>
      <c r="B53" t="str">
        <f>VLOOKUP(A53,MemoryAvailable!A:B,2,FALSE)</f>
        <v>appwe02mgt-prod</v>
      </c>
      <c r="C53" t="s">
        <v>2566</v>
      </c>
      <c r="D53">
        <v>62098.114438810851</v>
      </c>
      <c r="E53">
        <v>431654.97576030367</v>
      </c>
      <c r="F53">
        <v>50227536</v>
      </c>
      <c r="G53" t="s">
        <v>4113</v>
      </c>
    </row>
    <row r="54" spans="1:8">
      <c r="A54" t="s">
        <v>2745</v>
      </c>
      <c r="B54" t="str">
        <f>VLOOKUP(A54,MemoryAvailable!A:B,2,FALSE)</f>
        <v>appwe01mim-uat</v>
      </c>
      <c r="C54" t="s">
        <v>2566</v>
      </c>
      <c r="D54">
        <v>57804.001510870199</v>
      </c>
      <c r="E54">
        <v>280092.25358815055</v>
      </c>
      <c r="F54">
        <v>75073344</v>
      </c>
      <c r="G54" t="s">
        <v>4114</v>
      </c>
    </row>
    <row r="55" spans="1:8">
      <c r="A55" t="s">
        <v>399</v>
      </c>
      <c r="B55" t="str">
        <f>VLOOKUP(A55,MemoryAvailable!A:B,2,FALSE)</f>
        <v>AZRUSRAD01WFI</v>
      </c>
      <c r="C55" t="s">
        <v>2566</v>
      </c>
      <c r="D55">
        <v>55204.0635317958</v>
      </c>
      <c r="E55">
        <v>68.264885845441341</v>
      </c>
      <c r="F55">
        <v>152333890.73297599</v>
      </c>
      <c r="G55" t="s">
        <v>4115</v>
      </c>
    </row>
    <row r="56" spans="1:8">
      <c r="A56" t="s">
        <v>2726</v>
      </c>
      <c r="B56" t="str">
        <f>VLOOKUP(A56,MemoryAvailable!A:B,2,FALSE)</f>
        <v>dbswe01fp-uat</v>
      </c>
      <c r="C56" t="s">
        <v>2566</v>
      </c>
      <c r="D56">
        <v>52676.45330473216</v>
      </c>
      <c r="E56">
        <v>292476.16557827388</v>
      </c>
      <c r="F56">
        <v>110699640</v>
      </c>
      <c r="G56" t="s">
        <v>4116</v>
      </c>
    </row>
    <row r="57" spans="1:8">
      <c r="A57" t="s">
        <v>2887</v>
      </c>
      <c r="B57" t="str">
        <f>VLOOKUP(A57,MemoryAvailable!A:B,2,FALSE)</f>
        <v>appwe01dp-uat</v>
      </c>
      <c r="C57" t="s">
        <v>2566</v>
      </c>
      <c r="D57">
        <v>51003.011227930852</v>
      </c>
      <c r="E57">
        <v>448914.74173954315</v>
      </c>
      <c r="F57">
        <v>10467769</v>
      </c>
      <c r="G57" t="s">
        <v>4117</v>
      </c>
    </row>
    <row r="58" spans="1:8">
      <c r="A58" t="s">
        <v>2883</v>
      </c>
      <c r="B58" t="str">
        <f>VLOOKUP(A58,MemoryAvailable!A:B,2,FALSE)</f>
        <v>appne01snow-uat</v>
      </c>
      <c r="C58" t="s">
        <v>2566</v>
      </c>
      <c r="D58">
        <v>50978.994822988338</v>
      </c>
      <c r="E58">
        <v>551745.16394975758</v>
      </c>
      <c r="F58">
        <v>4355538.5</v>
      </c>
      <c r="G58" t="s">
        <v>4118</v>
      </c>
    </row>
    <row r="59" spans="1:8">
      <c r="A59" t="s">
        <v>2851</v>
      </c>
      <c r="B59" t="str">
        <f>VLOOKUP(A59,MemoryAvailable!A:B,2,FALSE)</f>
        <v>AZR80DBS01POL</v>
      </c>
      <c r="C59" t="s">
        <v>2566</v>
      </c>
      <c r="D59">
        <v>50627.667718989571</v>
      </c>
      <c r="E59">
        <v>435446.38218789268</v>
      </c>
      <c r="F59">
        <v>179554000</v>
      </c>
      <c r="G59" t="s">
        <v>4119</v>
      </c>
    </row>
    <row r="60" spans="1:8">
      <c r="A60" t="s">
        <v>2759</v>
      </c>
      <c r="B60" t="str">
        <f>VLOOKUP(A60,MemoryAvailable!A:B,2,FALSE)</f>
        <v>dbswe01turk-uat</v>
      </c>
      <c r="C60" t="s">
        <v>2566</v>
      </c>
      <c r="D60">
        <v>49704.520602664474</v>
      </c>
      <c r="E60">
        <v>400589.47243589192</v>
      </c>
      <c r="F60">
        <v>15148959</v>
      </c>
      <c r="G60" t="s">
        <v>4120</v>
      </c>
    </row>
    <row r="61" spans="1:8">
      <c r="A61" t="s">
        <v>2881</v>
      </c>
      <c r="B61" t="str">
        <f>VLOOKUP(A61,MemoryAvailable!A:B,2,FALSE)</f>
        <v>solrvmuat0</v>
      </c>
      <c r="C61" t="s">
        <v>2566</v>
      </c>
      <c r="D61">
        <v>49244.861029456733</v>
      </c>
      <c r="E61">
        <v>448300.06723768101</v>
      </c>
      <c r="F61">
        <v>7439314</v>
      </c>
      <c r="G61" t="s">
        <v>4121</v>
      </c>
    </row>
    <row r="62" spans="1:8">
      <c r="A62" t="s">
        <v>2819</v>
      </c>
      <c r="B62" t="str">
        <f>VLOOKUP(A62,MemoryAvailable!A:B,2,FALSE)</f>
        <v>appwe01samrm</v>
      </c>
      <c r="C62" t="s">
        <v>2566</v>
      </c>
      <c r="D62">
        <v>48582.191225629118</v>
      </c>
      <c r="E62">
        <v>449642.49834874418</v>
      </c>
      <c r="F62">
        <v>18401018</v>
      </c>
      <c r="G62" t="s">
        <v>4122</v>
      </c>
    </row>
    <row r="63" spans="1:8">
      <c r="A63" t="s">
        <v>346</v>
      </c>
      <c r="B63" t="str">
        <f>VLOOKUP(A63,MemoryAvailable!A:B,2,FALSE)</f>
        <v>appwe01fedexuat</v>
      </c>
      <c r="C63" t="s">
        <v>2566</v>
      </c>
      <c r="D63">
        <v>48310.080483513317</v>
      </c>
      <c r="E63">
        <v>243122.05054769642</v>
      </c>
      <c r="F63">
        <v>25103964</v>
      </c>
      <c r="G63" t="s">
        <v>4123</v>
      </c>
    </row>
    <row r="64" spans="1:8">
      <c r="A64" t="s">
        <v>2821</v>
      </c>
      <c r="B64" t="str">
        <f>VLOOKUP(A64,MemoryAvailable!A:B,2,FALSE)</f>
        <v>appwe01dp-dev</v>
      </c>
      <c r="C64" t="s">
        <v>2566</v>
      </c>
      <c r="D64">
        <v>48213.232705983974</v>
      </c>
      <c r="E64">
        <v>447942.16927109822</v>
      </c>
      <c r="F64">
        <v>22331070</v>
      </c>
      <c r="G64" t="s">
        <v>4124</v>
      </c>
    </row>
    <row r="65" spans="1:8">
      <c r="A65" t="s">
        <v>2728</v>
      </c>
      <c r="B65" t="str">
        <f>VLOOKUP(A65,MemoryAvailable!A:B,2,FALSE)</f>
        <v>AZREUUIP01STD</v>
      </c>
      <c r="C65" t="s">
        <v>2566</v>
      </c>
      <c r="D65">
        <v>48179.354929881578</v>
      </c>
      <c r="E65">
        <v>114823.26359604523</v>
      </c>
      <c r="F65">
        <v>34264548</v>
      </c>
      <c r="G65" t="s">
        <v>4125</v>
      </c>
    </row>
    <row r="66" spans="1:8">
      <c r="A66" t="s">
        <v>2763</v>
      </c>
      <c r="B66" t="str">
        <f>VLOOKUP(A66,MemoryAvailable!A:B,2,FALSE)</f>
        <v>appwe01cch-prod</v>
      </c>
      <c r="C66" t="s">
        <v>2587</v>
      </c>
      <c r="D66">
        <v>47822.324400918587</v>
      </c>
      <c r="E66">
        <v>621631.9470883609</v>
      </c>
      <c r="F66">
        <v>8658621</v>
      </c>
      <c r="G66" t="s">
        <v>4126</v>
      </c>
      <c r="H66" t="s">
        <v>2765</v>
      </c>
    </row>
    <row r="67" spans="1:8">
      <c r="A67" t="s">
        <v>2590</v>
      </c>
      <c r="B67" t="str">
        <f>VLOOKUP(A67,MemoryAvailable!A:B,2,FALSE)</f>
        <v>appwe01ttn-prod</v>
      </c>
      <c r="C67" t="s">
        <v>2587</v>
      </c>
      <c r="D67">
        <v>47078.350956126742</v>
      </c>
      <c r="E67">
        <v>436310.75379057613</v>
      </c>
      <c r="F67">
        <v>66503048</v>
      </c>
      <c r="G67" t="s">
        <v>4127</v>
      </c>
      <c r="H67" t="s">
        <v>2592</v>
      </c>
    </row>
    <row r="68" spans="1:8">
      <c r="A68" t="s">
        <v>853</v>
      </c>
      <c r="B68" t="str">
        <f>VLOOKUP(A68,MemoryAvailable!A:B,2,FALSE)</f>
        <v>weappfedexprd01</v>
      </c>
      <c r="C68" t="s">
        <v>2566</v>
      </c>
      <c r="D68">
        <v>46693.840107368465</v>
      </c>
      <c r="E68">
        <v>428266.42305427953</v>
      </c>
      <c r="F68">
        <v>43299124</v>
      </c>
      <c r="G68" t="s">
        <v>4128</v>
      </c>
    </row>
    <row r="69" spans="1:8">
      <c r="A69" t="s">
        <v>2676</v>
      </c>
      <c r="B69" t="str">
        <f>VLOOKUP(A69,MemoryAvailable!A:B,2,FALSE)</f>
        <v>appwe01cas-prod</v>
      </c>
      <c r="C69" t="s">
        <v>2566</v>
      </c>
      <c r="D69">
        <v>45990.424278736828</v>
      </c>
      <c r="E69">
        <v>430045.74224104267</v>
      </c>
      <c r="F69">
        <v>30673604</v>
      </c>
      <c r="G69" t="s">
        <v>4129</v>
      </c>
    </row>
    <row r="70" spans="1:8">
      <c r="A70" t="s">
        <v>327</v>
      </c>
      <c r="B70" t="str">
        <f>VLOOKUP(A70,MemoryAvailable!A:B,2,FALSE)</f>
        <v>AZRAPRAD01WFI</v>
      </c>
      <c r="C70" t="s">
        <v>2566</v>
      </c>
      <c r="D70">
        <v>45792.623286145405</v>
      </c>
      <c r="E70">
        <v>68.265615196611122</v>
      </c>
      <c r="F70">
        <v>122708816.229366</v>
      </c>
      <c r="G70" t="s">
        <v>4130</v>
      </c>
    </row>
    <row r="71" spans="1:8">
      <c r="A71" t="s">
        <v>2793</v>
      </c>
      <c r="B71" t="str">
        <f>VLOOKUP(A71,MemoryAvailable!A:B,2,FALSE)</f>
        <v>appwe01piv-prod</v>
      </c>
      <c r="C71" t="s">
        <v>2566</v>
      </c>
      <c r="D71">
        <v>45585.172929187924</v>
      </c>
      <c r="E71">
        <v>413071.98139051057</v>
      </c>
      <c r="F71">
        <v>7874800.5</v>
      </c>
      <c r="G71" t="s">
        <v>4131</v>
      </c>
    </row>
    <row r="72" spans="1:8">
      <c r="A72" t="s">
        <v>2806</v>
      </c>
      <c r="B72" t="str">
        <f>VLOOKUP(A72,MemoryAvailable!A:B,2,FALSE)</f>
        <v>appwe03piv-prod</v>
      </c>
      <c r="C72" t="s">
        <v>2566</v>
      </c>
      <c r="D72">
        <v>45412.455991923794</v>
      </c>
      <c r="E72">
        <v>412887.74133216497</v>
      </c>
      <c r="F72">
        <v>23365484</v>
      </c>
      <c r="G72" t="s">
        <v>4132</v>
      </c>
    </row>
    <row r="73" spans="1:8">
      <c r="A73" t="s">
        <v>2814</v>
      </c>
      <c r="B73" t="str">
        <f>VLOOKUP(A73,MemoryAvailable!A:B,2,FALSE)</f>
        <v>appwe02piv-prod</v>
      </c>
      <c r="C73" t="s">
        <v>2566</v>
      </c>
      <c r="D73">
        <v>45086.519365088796</v>
      </c>
      <c r="E73">
        <v>412880.76086814993</v>
      </c>
      <c r="F73">
        <v>4874034.5</v>
      </c>
      <c r="G73" t="s">
        <v>4133</v>
      </c>
    </row>
    <row r="74" spans="1:8">
      <c r="A74" t="s">
        <v>2808</v>
      </c>
      <c r="B74" t="str">
        <f>VLOOKUP(A74,MemoryAvailable!A:B,2,FALSE)</f>
        <v>appwe04piv-prod</v>
      </c>
      <c r="C74" t="s">
        <v>2566</v>
      </c>
      <c r="D74">
        <v>44740.147196263104</v>
      </c>
      <c r="E74">
        <v>412992.00368327001</v>
      </c>
      <c r="F74">
        <v>7330249.5</v>
      </c>
      <c r="G74" t="s">
        <v>4134</v>
      </c>
    </row>
    <row r="75" spans="1:8">
      <c r="A75" t="s">
        <v>2611</v>
      </c>
      <c r="B75" t="str">
        <f>VLOOKUP(A75,MemoryAvailable!A:B,2,FALSE)</f>
        <v>AZRAPMON02SLW</v>
      </c>
      <c r="C75" t="s">
        <v>2566</v>
      </c>
      <c r="D75">
        <v>44610.799414221365</v>
      </c>
      <c r="E75">
        <v>537215.02183452051</v>
      </c>
      <c r="F75">
        <v>28795896</v>
      </c>
      <c r="G75" t="s">
        <v>4135</v>
      </c>
    </row>
    <row r="76" spans="1:8">
      <c r="A76" t="s">
        <v>2785</v>
      </c>
      <c r="B76" t="str">
        <f>VLOOKUP(A76,MemoryAvailable!A:B,2,FALSE)</f>
        <v>appus01snmpprod</v>
      </c>
      <c r="C76" t="s">
        <v>2566</v>
      </c>
      <c r="D76">
        <v>44219.126936847955</v>
      </c>
      <c r="E76">
        <v>173512.17299674524</v>
      </c>
      <c r="F76">
        <v>4803884</v>
      </c>
      <c r="G76" t="s">
        <v>4136</v>
      </c>
    </row>
    <row r="77" spans="1:8">
      <c r="A77" t="s">
        <v>2804</v>
      </c>
      <c r="B77" t="str">
        <f>VLOOKUP(A77,MemoryAvailable!A:B,2,FALSE)</f>
        <v>appwe05piv-prod</v>
      </c>
      <c r="C77" t="s">
        <v>2566</v>
      </c>
      <c r="D77">
        <v>44174.908508840112</v>
      </c>
      <c r="E77">
        <v>412797.41680474044</v>
      </c>
      <c r="F77">
        <v>6613106</v>
      </c>
      <c r="G77" t="s">
        <v>4137</v>
      </c>
    </row>
    <row r="78" spans="1:8">
      <c r="A78" t="s">
        <v>2686</v>
      </c>
      <c r="B78" t="str">
        <f>VLOOKUP(A78,MemoryAvailable!A:B,2,FALSE)</f>
        <v>appwe01mer-prod</v>
      </c>
      <c r="C78" t="s">
        <v>2587</v>
      </c>
      <c r="D78">
        <v>44022.468957861885</v>
      </c>
      <c r="E78">
        <v>416637.78082845599</v>
      </c>
      <c r="F78">
        <v>25717300</v>
      </c>
      <c r="G78" t="s">
        <v>4138</v>
      </c>
      <c r="H78" t="s">
        <v>2688</v>
      </c>
    </row>
    <row r="79" spans="1:8">
      <c r="A79" t="s">
        <v>2680</v>
      </c>
      <c r="B79" t="str">
        <f>VLOOKUP(A79,MemoryAvailable!A:B,2,FALSE)</f>
        <v>appwe01mgt-prod</v>
      </c>
      <c r="C79" t="s">
        <v>2566</v>
      </c>
      <c r="D79">
        <v>43374.720222997836</v>
      </c>
      <c r="E79">
        <v>431471.41984892462</v>
      </c>
      <c r="F79">
        <v>58826080</v>
      </c>
      <c r="G79" t="s">
        <v>4139</v>
      </c>
    </row>
    <row r="80" spans="1:8">
      <c r="A80" t="s">
        <v>2613</v>
      </c>
      <c r="B80" t="str">
        <f>VLOOKUP(A80,MemoryAvailable!A:B,2,FALSE)</f>
        <v>AZRAPMON01SLW</v>
      </c>
      <c r="C80" t="s">
        <v>2566</v>
      </c>
      <c r="D80">
        <v>43124.892190319915</v>
      </c>
      <c r="E80">
        <v>537499.31089982553</v>
      </c>
      <c r="F80">
        <v>20917030</v>
      </c>
      <c r="G80" t="s">
        <v>4140</v>
      </c>
    </row>
    <row r="81" spans="1:8">
      <c r="A81" t="s">
        <v>2846</v>
      </c>
      <c r="B81" t="str">
        <f>VLOOKUP(A81,MemoryAvailable!A:B,2,FALSE)</f>
        <v>appwe01turk-uat</v>
      </c>
      <c r="C81" t="s">
        <v>2566</v>
      </c>
      <c r="D81">
        <v>43070.335024249507</v>
      </c>
      <c r="E81">
        <v>400257.88285726955</v>
      </c>
      <c r="F81">
        <v>9044487</v>
      </c>
      <c r="G81" t="s">
        <v>4141</v>
      </c>
    </row>
    <row r="82" spans="1:8">
      <c r="A82" t="s">
        <v>2609</v>
      </c>
      <c r="B82" t="str">
        <f>VLOOKUP(A82,MemoryAvailable!A:B,2,FALSE)</f>
        <v>AZRUSMON05SLW</v>
      </c>
      <c r="C82" t="s">
        <v>2566</v>
      </c>
      <c r="D82">
        <v>43030.572660147365</v>
      </c>
      <c r="E82">
        <v>536753.68568723556</v>
      </c>
      <c r="F82">
        <v>43597972</v>
      </c>
      <c r="G82" t="s">
        <v>4142</v>
      </c>
    </row>
    <row r="83" spans="1:8">
      <c r="A83" t="s">
        <v>2639</v>
      </c>
      <c r="B83" t="str">
        <f>VLOOKUP(A83,MemoryAvailable!A:B,2,FALSE)</f>
        <v>aznedom01</v>
      </c>
      <c r="C83" t="s">
        <v>2566</v>
      </c>
      <c r="D83">
        <v>42936.980775735181</v>
      </c>
      <c r="E83">
        <v>431868.29587097373</v>
      </c>
      <c r="F83">
        <v>7459018</v>
      </c>
      <c r="G83" t="s">
        <v>4143</v>
      </c>
    </row>
    <row r="84" spans="1:8">
      <c r="A84" t="s">
        <v>2582</v>
      </c>
      <c r="B84" t="str">
        <f>VLOOKUP(A84,MemoryAvailable!A:B,2,FALSE)</f>
        <v>AZRUSMON02SLW</v>
      </c>
      <c r="C84" t="s">
        <v>2566</v>
      </c>
      <c r="D84">
        <v>42521.065369777942</v>
      </c>
      <c r="E84">
        <v>536277.28349650046</v>
      </c>
      <c r="F84">
        <v>21031794</v>
      </c>
      <c r="G84" t="s">
        <v>4144</v>
      </c>
    </row>
    <row r="85" spans="1:8">
      <c r="A85" t="s">
        <v>2604</v>
      </c>
      <c r="B85" t="str">
        <f>VLOOKUP(A85,MemoryAvailable!A:B,2,FALSE)</f>
        <v>AZRUSMON04SLW</v>
      </c>
      <c r="C85" t="s">
        <v>2566</v>
      </c>
      <c r="D85">
        <v>42329.035998823536</v>
      </c>
      <c r="E85">
        <v>536529.03573618364</v>
      </c>
      <c r="F85">
        <v>29930722</v>
      </c>
      <c r="G85" t="s">
        <v>4145</v>
      </c>
    </row>
    <row r="86" spans="1:8">
      <c r="A86" t="s">
        <v>2600</v>
      </c>
      <c r="B86" t="str">
        <f>VLOOKUP(A86,MemoryAvailable!A:B,2,FALSE)</f>
        <v>AZREUUIP04BOT</v>
      </c>
      <c r="C86" t="s">
        <v>2566</v>
      </c>
      <c r="D86">
        <v>42324.636651003355</v>
      </c>
      <c r="E86">
        <v>222572.48467155531</v>
      </c>
      <c r="F86">
        <v>30209476</v>
      </c>
      <c r="G86" t="s">
        <v>4146</v>
      </c>
    </row>
    <row r="87" spans="1:8">
      <c r="A87" t="s">
        <v>2602</v>
      </c>
      <c r="B87" t="str">
        <f>VLOOKUP(A87,MemoryAvailable!A:B,2,FALSE)</f>
        <v>AZRUSMON01SLW</v>
      </c>
      <c r="C87" t="s">
        <v>2566</v>
      </c>
      <c r="D87">
        <v>42175.455648417977</v>
      </c>
      <c r="E87">
        <v>536373.40521452192</v>
      </c>
      <c r="F87">
        <v>20624810</v>
      </c>
      <c r="G87" t="s">
        <v>4147</v>
      </c>
    </row>
    <row r="88" spans="1:8">
      <c r="A88" t="s">
        <v>855</v>
      </c>
      <c r="B88" t="str">
        <f>VLOOKUP(A88,MemoryAvailable!A:B,2,FALSE)</f>
        <v>weappfedexprd02</v>
      </c>
      <c r="C88" t="s">
        <v>2566</v>
      </c>
      <c r="D88">
        <v>42073.719630502033</v>
      </c>
      <c r="E88">
        <v>416170.7485964892</v>
      </c>
      <c r="F88">
        <v>44605208</v>
      </c>
      <c r="G88" t="s">
        <v>4148</v>
      </c>
    </row>
    <row r="89" spans="1:8">
      <c r="A89" t="s">
        <v>343</v>
      </c>
      <c r="B89" t="str">
        <f>VLOOKUP(A89,MemoryAvailable!A:B,2,FALSE)</f>
        <v>appwe01fedex</v>
      </c>
      <c r="C89" t="s">
        <v>2566</v>
      </c>
      <c r="D89">
        <v>41616.701406319364</v>
      </c>
      <c r="E89">
        <v>156289.18221927283</v>
      </c>
      <c r="F89">
        <v>12803564</v>
      </c>
      <c r="G89" t="s">
        <v>4149</v>
      </c>
    </row>
    <row r="90" spans="1:8">
      <c r="A90" t="s">
        <v>2629</v>
      </c>
      <c r="B90" t="str">
        <f>VLOOKUP(A90,MemoryAvailable!A:B,2,FALSE)</f>
        <v>AZRAPMON03SLW</v>
      </c>
      <c r="C90" t="s">
        <v>2566</v>
      </c>
      <c r="D90">
        <v>41168.807117042008</v>
      </c>
      <c r="E90">
        <v>541978.35107729642</v>
      </c>
      <c r="F90">
        <v>18145016</v>
      </c>
      <c r="G90" t="s">
        <v>4150</v>
      </c>
    </row>
    <row r="91" spans="1:8">
      <c r="A91" t="s">
        <v>565</v>
      </c>
      <c r="B91" t="str">
        <f>VLOOKUP(A91,MemoryAvailable!A:B,2,FALSE)</f>
        <v>AZREUODL01</v>
      </c>
      <c r="C91" t="s">
        <v>2566</v>
      </c>
      <c r="D91">
        <v>40259.861067708058</v>
      </c>
      <c r="E91">
        <v>43694.168991120801</v>
      </c>
      <c r="F91">
        <v>5739498.0964731397</v>
      </c>
      <c r="G91" t="s">
        <v>4151</v>
      </c>
    </row>
    <row r="92" spans="1:8">
      <c r="A92" t="s">
        <v>2586</v>
      </c>
      <c r="B92" t="str">
        <f>VLOOKUP(A92,MemoryAvailable!A:B,2,FALSE)</f>
        <v>appwe02ttn-prod</v>
      </c>
      <c r="C92" t="s">
        <v>2587</v>
      </c>
      <c r="D92">
        <v>39826.163235442145</v>
      </c>
      <c r="E92">
        <v>434382.16672286694</v>
      </c>
      <c r="F92">
        <v>87693440</v>
      </c>
      <c r="G92" t="s">
        <v>4152</v>
      </c>
      <c r="H92" t="s">
        <v>2589</v>
      </c>
    </row>
    <row r="93" spans="1:8">
      <c r="A93" t="s">
        <v>2740</v>
      </c>
      <c r="B93" t="str">
        <f>VLOOKUP(A93,MemoryAvailable!A:B,2,FALSE)</f>
        <v>appwe02cas-prod</v>
      </c>
      <c r="C93" t="s">
        <v>2566</v>
      </c>
      <c r="D93">
        <v>39218.360790296516</v>
      </c>
      <c r="E93">
        <v>416471.57373920543</v>
      </c>
      <c r="F93">
        <v>63084416</v>
      </c>
      <c r="G93" t="s">
        <v>4153</v>
      </c>
    </row>
    <row r="94" spans="1:8">
      <c r="A94" t="s">
        <v>2790</v>
      </c>
      <c r="B94" t="str">
        <f>VLOOKUP(A94,MemoryAvailable!A:B,2,FALSE)</f>
        <v>appwe01snmpprod</v>
      </c>
      <c r="C94" t="s">
        <v>2566</v>
      </c>
      <c r="D94">
        <v>38237.120907924924</v>
      </c>
      <c r="E94">
        <v>173073.13954106643</v>
      </c>
      <c r="F94">
        <v>39879884</v>
      </c>
      <c r="G94" t="s">
        <v>4154</v>
      </c>
    </row>
    <row r="95" spans="1:8">
      <c r="A95" t="s">
        <v>2662</v>
      </c>
      <c r="B95" t="str">
        <f>VLOOKUP(A95,MemoryAvailable!A:B,2,FALSE)</f>
        <v>aznedom31.asia</v>
      </c>
      <c r="C95" t="s">
        <v>2566</v>
      </c>
      <c r="D95">
        <v>37825.176526426672</v>
      </c>
      <c r="E95">
        <v>433570.51521926763</v>
      </c>
      <c r="F95">
        <v>4840269.5</v>
      </c>
      <c r="G95" t="s">
        <v>4155</v>
      </c>
    </row>
    <row r="96" spans="1:8">
      <c r="A96" t="s">
        <v>2871</v>
      </c>
      <c r="B96" t="str">
        <f>VLOOKUP(A96,MemoryAvailable!A:B,2,FALSE)</f>
        <v>appea01snmpprod</v>
      </c>
      <c r="C96" t="s">
        <v>2566</v>
      </c>
      <c r="D96">
        <v>37649.601738836776</v>
      </c>
      <c r="E96">
        <v>175024.34654807884</v>
      </c>
      <c r="F96">
        <v>4838014</v>
      </c>
      <c r="G96" t="s">
        <v>4156</v>
      </c>
    </row>
    <row r="97" spans="1:8">
      <c r="A97" t="s">
        <v>2654</v>
      </c>
      <c r="B97" t="str">
        <f>VLOOKUP(A97,MemoryAvailable!A:B,2,FALSE)</f>
        <v>aznedom21</v>
      </c>
      <c r="C97" t="s">
        <v>2566</v>
      </c>
      <c r="D97">
        <v>37539.649224849774</v>
      </c>
      <c r="E97">
        <v>433623.61444023956</v>
      </c>
      <c r="F97">
        <v>4450704.5</v>
      </c>
      <c r="G97" t="s">
        <v>4157</v>
      </c>
    </row>
    <row r="98" spans="1:8">
      <c r="A98" t="s">
        <v>2857</v>
      </c>
      <c r="B98" t="str">
        <f>VLOOKUP(A98,MemoryAvailable!A:B,2,FALSE)</f>
        <v>appwe01canon-prod</v>
      </c>
      <c r="C98" t="s">
        <v>2587</v>
      </c>
      <c r="D98">
        <v>36892.402501797085</v>
      </c>
      <c r="E98">
        <v>278574.3632387562</v>
      </c>
      <c r="F98">
        <v>20561514</v>
      </c>
      <c r="G98" t="s">
        <v>4158</v>
      </c>
      <c r="H98" t="s">
        <v>2859</v>
      </c>
    </row>
    <row r="99" spans="1:8">
      <c r="A99" t="s">
        <v>2753</v>
      </c>
      <c r="B99" t="str">
        <f>VLOOKUP(A99,MemoryAvailable!A:B,2,FALSE)</f>
        <v>aznedom41.</v>
      </c>
      <c r="C99" t="s">
        <v>2566</v>
      </c>
      <c r="D99">
        <v>36861.712828115204</v>
      </c>
      <c r="E99">
        <v>433700.63989634812</v>
      </c>
      <c r="F99">
        <v>2340769</v>
      </c>
      <c r="G99" t="s">
        <v>4159</v>
      </c>
    </row>
    <row r="100" spans="1:8">
      <c r="A100" t="s">
        <v>2704</v>
      </c>
      <c r="B100" t="str">
        <f>VLOOKUP(A100,MemoryAvailable!A:B,2,FALSE)</f>
        <v>aznedom11.uk-eire</v>
      </c>
      <c r="C100" t="s">
        <v>2566</v>
      </c>
      <c r="D100">
        <v>36679.951606557799</v>
      </c>
      <c r="E100">
        <v>433175.03376881836</v>
      </c>
      <c r="F100">
        <v>32668060</v>
      </c>
      <c r="G100" t="s">
        <v>4160</v>
      </c>
    </row>
    <row r="101" spans="1:8">
      <c r="A101" t="s">
        <v>2770</v>
      </c>
      <c r="B101" t="str">
        <f>VLOOKUP(A101,MemoryAvailable!A:B,2,FALSE)</f>
        <v>azwedom01</v>
      </c>
      <c r="C101" t="s">
        <v>2566</v>
      </c>
      <c r="D101">
        <v>35631.784642039464</v>
      </c>
      <c r="E101">
        <v>276702.35739322181</v>
      </c>
      <c r="F101">
        <v>4983301.5</v>
      </c>
      <c r="G101" t="s">
        <v>4161</v>
      </c>
    </row>
    <row r="102" spans="1:8">
      <c r="A102" t="s">
        <v>2699</v>
      </c>
      <c r="B102" t="str">
        <f>VLOOKUP(A102,MemoryAvailable!A:B,2,FALSE)</f>
        <v>appwe03ttn-prod</v>
      </c>
      <c r="C102" t="s">
        <v>2587</v>
      </c>
      <c r="D102">
        <v>35261.662409444478</v>
      </c>
      <c r="E102">
        <v>432876.11678066303</v>
      </c>
      <c r="F102">
        <v>5623013.5</v>
      </c>
      <c r="G102" t="s">
        <v>4162</v>
      </c>
      <c r="H102" t="s">
        <v>2701</v>
      </c>
    </row>
    <row r="103" spans="1:8">
      <c r="A103" t="s">
        <v>2865</v>
      </c>
      <c r="B103" t="str">
        <f>VLOOKUP(A103,MemoryAvailable!A:B,2,FALSE)</f>
        <v>appwe01snow-uat</v>
      </c>
      <c r="C103" t="s">
        <v>2566</v>
      </c>
      <c r="D103">
        <v>34840.526589930676</v>
      </c>
      <c r="E103">
        <v>277579.53376536822</v>
      </c>
      <c r="F103">
        <v>1830033.375</v>
      </c>
      <c r="G103" t="s">
        <v>4163</v>
      </c>
    </row>
    <row r="104" spans="1:8">
      <c r="A104" t="s">
        <v>2607</v>
      </c>
      <c r="B104" t="str">
        <f>VLOOKUP(A104,MemoryAvailable!A:B,2,FALSE)</f>
        <v>appwe01srm</v>
      </c>
      <c r="C104" t="s">
        <v>2566</v>
      </c>
      <c r="D104">
        <v>34632.447411239358</v>
      </c>
      <c r="E104">
        <v>262274.97170758928</v>
      </c>
      <c r="F104">
        <v>16600036</v>
      </c>
      <c r="G104" t="s">
        <v>4164</v>
      </c>
    </row>
    <row r="105" spans="1:8">
      <c r="A105" t="s">
        <v>2621</v>
      </c>
      <c r="B105" t="str">
        <f>VLOOKUP(A105,MemoryAvailable!A:B,2,FALSE)</f>
        <v>AZREUINC02</v>
      </c>
      <c r="C105" t="s">
        <v>2566</v>
      </c>
      <c r="D105">
        <v>33135.353596770052</v>
      </c>
      <c r="E105">
        <v>106927.23151355774</v>
      </c>
      <c r="F105">
        <v>37974824</v>
      </c>
      <c r="G105" t="s">
        <v>4165</v>
      </c>
    </row>
    <row r="106" spans="1:8">
      <c r="A106" t="s">
        <v>2810</v>
      </c>
      <c r="B106" t="str">
        <f>VLOOKUP(A106,MemoryAvailable!A:B,2,FALSE)</f>
        <v>dbswe01turk-prd</v>
      </c>
      <c r="C106" t="s">
        <v>2566</v>
      </c>
      <c r="D106">
        <v>32906.788328415205</v>
      </c>
      <c r="E106">
        <v>311916.65279815701</v>
      </c>
      <c r="F106">
        <v>1620503.625</v>
      </c>
      <c r="G106" t="s">
        <v>4166</v>
      </c>
    </row>
    <row r="107" spans="1:8">
      <c r="A107" t="s">
        <v>2774</v>
      </c>
      <c r="B107" t="str">
        <f>VLOOKUP(A107,MemoryAvailable!A:B,2,FALSE)</f>
        <v>AZREUDEVSLW01</v>
      </c>
      <c r="C107" t="s">
        <v>2566</v>
      </c>
      <c r="D107">
        <v>32074.808333155073</v>
      </c>
      <c r="E107">
        <v>262475.19685333327</v>
      </c>
      <c r="F107">
        <v>19877684</v>
      </c>
      <c r="G107" t="s">
        <v>4167</v>
      </c>
    </row>
    <row r="108" spans="1:8">
      <c r="A108" t="s">
        <v>2633</v>
      </c>
      <c r="B108" t="str">
        <f>VLOOKUP(A108,MemoryAvailable!A:B,2,FALSE)</f>
        <v>AZREUINC01</v>
      </c>
      <c r="C108" t="s">
        <v>2566</v>
      </c>
      <c r="D108">
        <v>32052.578527867823</v>
      </c>
      <c r="E108">
        <v>405212.01500733045</v>
      </c>
      <c r="F108">
        <v>34884488</v>
      </c>
      <c r="G108" t="s">
        <v>4168</v>
      </c>
    </row>
    <row r="109" spans="1:8">
      <c r="A109" t="s">
        <v>2756</v>
      </c>
      <c r="B109" t="str">
        <f>VLOOKUP(A109,MemoryAvailable!A:B,2,FALSE)</f>
        <v>secwe01traps</v>
      </c>
      <c r="C109" t="s">
        <v>2566</v>
      </c>
      <c r="D109">
        <v>32047.488217318431</v>
      </c>
      <c r="E109">
        <v>398932.57287110266</v>
      </c>
      <c r="F109">
        <v>22342586</v>
      </c>
      <c r="G109" t="s">
        <v>4169</v>
      </c>
    </row>
    <row r="110" spans="1:8">
      <c r="A110" t="s">
        <v>2749</v>
      </c>
      <c r="B110" t="str">
        <f>VLOOKUP(A110,MemoryAvailable!A:B,2,FALSE)</f>
        <v>AZREUWEB01DVL</v>
      </c>
      <c r="C110" t="s">
        <v>2566</v>
      </c>
      <c r="D110">
        <v>31995.662633587999</v>
      </c>
      <c r="E110">
        <v>111206.07757399224</v>
      </c>
      <c r="F110">
        <v>20096828</v>
      </c>
      <c r="G110" t="s">
        <v>4170</v>
      </c>
    </row>
    <row r="111" spans="1:8">
      <c r="A111" t="s">
        <v>2631</v>
      </c>
      <c r="B111" t="str">
        <f>VLOOKUP(A111,MemoryAvailable!A:B,2,FALSE)</f>
        <v>AZREUTRP01</v>
      </c>
      <c r="C111" t="s">
        <v>2566</v>
      </c>
      <c r="D111">
        <v>31588.776544807737</v>
      </c>
      <c r="E111">
        <v>124764.69633087372</v>
      </c>
      <c r="F111">
        <v>10465378</v>
      </c>
      <c r="G111" t="s">
        <v>4171</v>
      </c>
    </row>
    <row r="112" spans="1:8">
      <c r="A112" t="s">
        <v>2868</v>
      </c>
      <c r="B112" t="str">
        <f>VLOOKUP(A112,MemoryAvailable!A:B,2,FALSE)</f>
        <v>appwe01adm-prod</v>
      </c>
      <c r="C112" t="s">
        <v>2566</v>
      </c>
      <c r="D112">
        <v>29933.395910123996</v>
      </c>
      <c r="E112">
        <v>336868.85826143669</v>
      </c>
      <c r="F112">
        <v>52578672</v>
      </c>
      <c r="G112" t="s">
        <v>4172</v>
      </c>
    </row>
    <row r="113" spans="1:7">
      <c r="A113" t="s">
        <v>2876</v>
      </c>
      <c r="B113" t="str">
        <f>VLOOKUP(A113,MemoryAvailable!A:B,2,FALSE)</f>
        <v>solrvmpoc0</v>
      </c>
      <c r="C113" t="s">
        <v>2566</v>
      </c>
      <c r="D113">
        <v>29016.474768201209</v>
      </c>
      <c r="E113">
        <v>277576.52572911559</v>
      </c>
      <c r="F113">
        <v>5489641</v>
      </c>
      <c r="G113" t="s">
        <v>4173</v>
      </c>
    </row>
    <row r="114" spans="1:7">
      <c r="A114" t="s">
        <v>2889</v>
      </c>
      <c r="B114" t="str">
        <f>VLOOKUP(A114,MemoryAvailable!A:B,2,FALSE)</f>
        <v>solrvmtest0</v>
      </c>
      <c r="C114" t="s">
        <v>2566</v>
      </c>
      <c r="D114">
        <v>28737.647245544133</v>
      </c>
      <c r="E114">
        <v>277597.32917790156</v>
      </c>
      <c r="F114">
        <v>1874845.75</v>
      </c>
      <c r="G114" t="s">
        <v>4174</v>
      </c>
    </row>
    <row r="115" spans="1:7">
      <c r="A115" t="s">
        <v>2711</v>
      </c>
      <c r="B115" t="str">
        <f>VLOOKUP(A115,MemoryAvailable!A:B,2,FALSE)</f>
        <v>AZREUDBS02CLV</v>
      </c>
      <c r="C115" t="s">
        <v>2566</v>
      </c>
      <c r="D115">
        <v>27735.264165177239</v>
      </c>
      <c r="E115">
        <v>114498.66760790398</v>
      </c>
      <c r="F115">
        <v>71422288</v>
      </c>
      <c r="G115" t="s">
        <v>4175</v>
      </c>
    </row>
    <row r="116" spans="1:7">
      <c r="A116" t="s">
        <v>2572</v>
      </c>
      <c r="B116" t="str">
        <f>VLOOKUP(A116,MemoryAvailable!A:B,2,FALSE)</f>
        <v>appwe01ttn-uat</v>
      </c>
      <c r="C116" t="s">
        <v>2566</v>
      </c>
      <c r="D116">
        <v>24708.896138938559</v>
      </c>
      <c r="E116">
        <v>67379.050376102619</v>
      </c>
      <c r="F116">
        <v>15534698</v>
      </c>
      <c r="G116" t="s">
        <v>4176</v>
      </c>
    </row>
    <row r="117" spans="1:7">
      <c r="A117" t="s">
        <v>2713</v>
      </c>
      <c r="B117" t="str">
        <f>VLOOKUP(A117,MemoryAvailable!A:B,2,FALSE)</f>
        <v>azwedom02</v>
      </c>
      <c r="C117" t="s">
        <v>2566</v>
      </c>
      <c r="D117">
        <v>24065.502528104116</v>
      </c>
      <c r="E117">
        <v>127265.34697730055</v>
      </c>
      <c r="F117">
        <v>1752017.125</v>
      </c>
      <c r="G117" t="s">
        <v>4177</v>
      </c>
    </row>
    <row r="118" spans="1:7">
      <c r="A118" t="s">
        <v>2849</v>
      </c>
      <c r="B118" t="str">
        <f>VLOOKUP(A118,MemoryAvailable!A:B,2,FALSE)</f>
        <v>appwe01turk-prd</v>
      </c>
      <c r="C118" t="s">
        <v>2566</v>
      </c>
      <c r="D118">
        <v>22523.805034947447</v>
      </c>
      <c r="E118">
        <v>224918.71033699624</v>
      </c>
      <c r="F118">
        <v>8397780</v>
      </c>
      <c r="G118" t="s">
        <v>4178</v>
      </c>
    </row>
    <row r="119" spans="1:7">
      <c r="A119" t="s">
        <v>2637</v>
      </c>
      <c r="B119" t="str">
        <f>VLOOKUP(A119,MemoryAvailable!A:B,2,FALSE)</f>
        <v>AZREUNPS02AUT</v>
      </c>
      <c r="C119" t="s">
        <v>2566</v>
      </c>
      <c r="D119">
        <v>21818.047895973974</v>
      </c>
      <c r="E119">
        <v>91547.838157397782</v>
      </c>
      <c r="F119">
        <v>43201188</v>
      </c>
      <c r="G119" t="s">
        <v>4179</v>
      </c>
    </row>
    <row r="120" spans="1:7">
      <c r="A120" t="s">
        <v>615</v>
      </c>
      <c r="B120" t="str">
        <f>VLOOKUP(A120,MemoryAvailable!A:B,2,FALSE)</f>
        <v>cyclops-test</v>
      </c>
      <c r="C120" t="s">
        <v>2566</v>
      </c>
      <c r="D120">
        <v>20948.288872545341</v>
      </c>
      <c r="E120">
        <v>122406.00725518962</v>
      </c>
      <c r="F120">
        <v>9733605</v>
      </c>
      <c r="G120" t="s">
        <v>4180</v>
      </c>
    </row>
    <row r="121" spans="1:7">
      <c r="A121" t="s">
        <v>2649</v>
      </c>
      <c r="B121" t="str">
        <f>VLOOKUP(A121,MemoryAvailable!A:B,2,FALSE)</f>
        <v>appwe04neo-prod</v>
      </c>
      <c r="C121" t="s">
        <v>2566</v>
      </c>
      <c r="D121">
        <v>20363.105053551611</v>
      </c>
      <c r="E121">
        <v>191401.62159958656</v>
      </c>
      <c r="F121">
        <v>16248652</v>
      </c>
      <c r="G121" t="s">
        <v>4181</v>
      </c>
    </row>
    <row r="122" spans="1:7">
      <c r="A122" t="s">
        <v>2598</v>
      </c>
      <c r="B122" t="str">
        <f>VLOOKUP(A122,MemoryAvailable!A:B,2,FALSE)</f>
        <v>AZREUMON01SLW</v>
      </c>
      <c r="C122" t="s">
        <v>2566</v>
      </c>
      <c r="D122">
        <v>20237.994889905953</v>
      </c>
      <c r="E122">
        <v>121817.58667477843</v>
      </c>
      <c r="F122">
        <v>37818100</v>
      </c>
      <c r="G122" t="s">
        <v>4182</v>
      </c>
    </row>
    <row r="123" spans="1:7">
      <c r="A123" t="s">
        <v>425</v>
      </c>
      <c r="B123" t="str">
        <f>VLOOKUP(A123,MemoryAvailable!A:B,2,FALSE)</f>
        <v>appwe01cannon</v>
      </c>
      <c r="C123" t="s">
        <v>2566</v>
      </c>
      <c r="D123">
        <v>20160.075857654672</v>
      </c>
      <c r="E123">
        <v>122936.71756719142</v>
      </c>
      <c r="F123">
        <v>16626890</v>
      </c>
      <c r="G123" t="s">
        <v>4183</v>
      </c>
    </row>
    <row r="124" spans="1:7">
      <c r="A124" t="s">
        <v>2837</v>
      </c>
      <c r="B124" t="str">
        <f>VLOOKUP(A124,MemoryAvailable!A:B,2,FALSE)</f>
        <v>azwedom41.</v>
      </c>
      <c r="C124" t="s">
        <v>2566</v>
      </c>
      <c r="D124">
        <v>20055.38517831768</v>
      </c>
      <c r="E124">
        <v>125831.25163325088</v>
      </c>
      <c r="F124">
        <v>7149221.5</v>
      </c>
      <c r="G124" t="s">
        <v>4184</v>
      </c>
    </row>
    <row r="125" spans="1:7">
      <c r="A125" t="s">
        <v>2823</v>
      </c>
      <c r="B125" t="str">
        <f>VLOOKUP(A125,MemoryAvailable!A:B,2,FALSE)</f>
        <v>azwedom31.asia</v>
      </c>
      <c r="C125" t="s">
        <v>2566</v>
      </c>
      <c r="D125">
        <v>19616.112833134197</v>
      </c>
      <c r="E125">
        <v>125945.85457597281</v>
      </c>
      <c r="F125">
        <v>20783554</v>
      </c>
      <c r="G125" t="s">
        <v>4185</v>
      </c>
    </row>
    <row r="126" spans="1:7">
      <c r="A126" t="s">
        <v>2625</v>
      </c>
      <c r="B126" t="str">
        <f>VLOOKUP(A126,MemoryAvailable!A:B,2,FALSE)</f>
        <v>appwe01neo-prod</v>
      </c>
      <c r="C126" t="s">
        <v>2566</v>
      </c>
      <c r="D126">
        <v>19582.873915406752</v>
      </c>
      <c r="E126">
        <v>103268.40394342612</v>
      </c>
      <c r="F126">
        <v>13631268</v>
      </c>
      <c r="G126" t="s">
        <v>4186</v>
      </c>
    </row>
    <row r="127" spans="1:7">
      <c r="A127" t="s">
        <v>2830</v>
      </c>
      <c r="B127" t="str">
        <f>VLOOKUP(A127,MemoryAvailable!A:B,2,FALSE)</f>
        <v>azwedom21</v>
      </c>
      <c r="C127" t="s">
        <v>2566</v>
      </c>
      <c r="D127">
        <v>19558.579862361257</v>
      </c>
      <c r="E127">
        <v>125708.26239453763</v>
      </c>
      <c r="F127">
        <v>7006191.5</v>
      </c>
      <c r="G127" t="s">
        <v>4187</v>
      </c>
    </row>
    <row r="128" spans="1:7">
      <c r="A128" t="s">
        <v>2576</v>
      </c>
      <c r="B128" t="str">
        <f>VLOOKUP(A128,MemoryAvailable!A:B,2,FALSE)</f>
        <v>appwe01ttn-test</v>
      </c>
      <c r="C128" t="s">
        <v>2566</v>
      </c>
      <c r="D128">
        <v>18959.044772253237</v>
      </c>
      <c r="E128">
        <v>107859.05061156824</v>
      </c>
      <c r="F128">
        <v>11256451</v>
      </c>
      <c r="G128" t="s">
        <v>4188</v>
      </c>
    </row>
    <row r="129" spans="1:7">
      <c r="A129" t="s">
        <v>2802</v>
      </c>
      <c r="B129" t="str">
        <f>VLOOKUP(A129,MemoryAvailable!A:B,2,FALSE)</f>
        <v>appwe01fin-test</v>
      </c>
      <c r="C129" t="s">
        <v>2566</v>
      </c>
      <c r="D129">
        <v>18253.533338807447</v>
      </c>
      <c r="E129">
        <v>91990.665810497449</v>
      </c>
      <c r="F129">
        <v>55491812</v>
      </c>
      <c r="G129" t="s">
        <v>4189</v>
      </c>
    </row>
    <row r="130" spans="1:7">
      <c r="A130" t="s">
        <v>2862</v>
      </c>
      <c r="B130" t="str">
        <f>VLOOKUP(A130,MemoryAvailable!A:B,2,FALSE)</f>
        <v>azwedom11.uk-eire</v>
      </c>
      <c r="C130" t="s">
        <v>2566</v>
      </c>
      <c r="D130">
        <v>18102.636895961365</v>
      </c>
      <c r="E130">
        <v>122562.68226967931</v>
      </c>
      <c r="F130">
        <v>7151603</v>
      </c>
      <c r="G130" t="s">
        <v>4190</v>
      </c>
    </row>
    <row r="131" spans="1:7">
      <c r="A131" t="s">
        <v>2578</v>
      </c>
      <c r="B131" t="str">
        <f>VLOOKUP(A131,MemoryAvailable!A:B,2,FALSE)</f>
        <v>AZREUMON03SLW</v>
      </c>
      <c r="C131" t="s">
        <v>2566</v>
      </c>
      <c r="D131">
        <v>17309.60351506545</v>
      </c>
      <c r="E131">
        <v>117073.25283324609</v>
      </c>
      <c r="F131">
        <v>25472048</v>
      </c>
      <c r="G131" t="s">
        <v>4191</v>
      </c>
    </row>
    <row r="132" spans="1:7">
      <c r="A132" t="s">
        <v>2580</v>
      </c>
      <c r="B132" t="str">
        <f>VLOOKUP(A132,MemoryAvailable!A:B,2,FALSE)</f>
        <v>AZREUMON05SLW</v>
      </c>
      <c r="C132" t="s">
        <v>2566</v>
      </c>
      <c r="D132">
        <v>16936.645879376483</v>
      </c>
      <c r="E132">
        <v>122721.52358424924</v>
      </c>
      <c r="F132">
        <v>17736778</v>
      </c>
      <c r="G132" t="s">
        <v>4192</v>
      </c>
    </row>
    <row r="133" spans="1:7">
      <c r="A133" t="s">
        <v>2826</v>
      </c>
      <c r="B133" t="str">
        <f>VLOOKUP(A133,MemoryAvailable!A:B,2,FALSE)</f>
        <v>AZREUNPS03ALW</v>
      </c>
      <c r="C133" t="s">
        <v>2566</v>
      </c>
      <c r="D133">
        <v>16724.425991905649</v>
      </c>
      <c r="E133">
        <v>106597.75680750866</v>
      </c>
      <c r="F133">
        <v>25955206</v>
      </c>
      <c r="G133" t="s">
        <v>4193</v>
      </c>
    </row>
    <row r="134" spans="1:7">
      <c r="A134" t="s">
        <v>2584</v>
      </c>
      <c r="B134" t="str">
        <f>VLOOKUP(A134,MemoryAvailable!A:B,2,FALSE)</f>
        <v>AZREUMON04SLW</v>
      </c>
      <c r="C134" t="s">
        <v>2566</v>
      </c>
      <c r="D134">
        <v>16719.859018079354</v>
      </c>
      <c r="E134">
        <v>121317.2195471032</v>
      </c>
      <c r="F134">
        <v>29186420</v>
      </c>
      <c r="G134" t="s">
        <v>4194</v>
      </c>
    </row>
    <row r="135" spans="1:7">
      <c r="A135" t="s">
        <v>2817</v>
      </c>
      <c r="B135" t="str">
        <f>VLOOKUP(A135,MemoryAvailable!A:B,2,FALSE)</f>
        <v>appwe01dp-test</v>
      </c>
      <c r="C135" t="s">
        <v>2566</v>
      </c>
      <c r="D135">
        <v>16486.561317523301</v>
      </c>
      <c r="E135">
        <v>123472.95685067425</v>
      </c>
      <c r="F135">
        <v>1073454.75</v>
      </c>
      <c r="G135" t="s">
        <v>4195</v>
      </c>
    </row>
    <row r="136" spans="1:7">
      <c r="A136" t="s">
        <v>2574</v>
      </c>
      <c r="B136" t="str">
        <f>VLOOKUP(A136,MemoryAvailable!A:B,2,FALSE)</f>
        <v>AZREUMON02SLW</v>
      </c>
      <c r="C136" t="s">
        <v>2566</v>
      </c>
      <c r="D136">
        <v>15857.880634140414</v>
      </c>
      <c r="E136">
        <v>119624.26111875518</v>
      </c>
      <c r="F136">
        <v>22490372</v>
      </c>
      <c r="G136" t="s">
        <v>4196</v>
      </c>
    </row>
    <row r="137" spans="1:7">
      <c r="A137" t="s">
        <v>2709</v>
      </c>
      <c r="B137" t="str">
        <f>VLOOKUP(A137,MemoryAvailable!A:B,2,FALSE)</f>
        <v>appwe03neo-prod</v>
      </c>
      <c r="C137" t="s">
        <v>2566</v>
      </c>
      <c r="D137">
        <v>15691.103878025893</v>
      </c>
      <c r="E137">
        <v>97058.526490063654</v>
      </c>
      <c r="F137">
        <v>8008667.5</v>
      </c>
      <c r="G137" t="s">
        <v>4197</v>
      </c>
    </row>
    <row r="138" spans="1:7">
      <c r="A138" t="s">
        <v>2645</v>
      </c>
      <c r="B138" t="str">
        <f>VLOOKUP(A138,MemoryAvailable!A:B,2,FALSE)</f>
        <v>appwe05neo-prod</v>
      </c>
      <c r="C138" t="s">
        <v>2566</v>
      </c>
      <c r="D138">
        <v>15542.597325894236</v>
      </c>
      <c r="E138">
        <v>90626.92543057994</v>
      </c>
      <c r="F138">
        <v>15427367</v>
      </c>
      <c r="G138" t="s">
        <v>4198</v>
      </c>
    </row>
    <row r="139" spans="1:7">
      <c r="A139" t="s">
        <v>449</v>
      </c>
      <c r="B139" t="str">
        <f>VLOOKUP(A139,MemoryAvailable!A:B,2,FALSE)</f>
        <v>appwe01ewifi-prod</v>
      </c>
      <c r="C139" t="s">
        <v>2566</v>
      </c>
      <c r="D139">
        <v>15531.751502640675</v>
      </c>
      <c r="F139">
        <v>226158459.92337501</v>
      </c>
      <c r="G139" t="s">
        <v>4199</v>
      </c>
    </row>
    <row r="140" spans="1:7">
      <c r="A140" t="s">
        <v>2641</v>
      </c>
      <c r="B140" t="str">
        <f>VLOOKUP(A140,MemoryAvailable!A:B,2,FALSE)</f>
        <v>appwe02neo-prod</v>
      </c>
      <c r="C140" t="s">
        <v>2566</v>
      </c>
      <c r="D140">
        <v>15439.182337704851</v>
      </c>
      <c r="E140">
        <v>91708.963658559325</v>
      </c>
      <c r="F140">
        <v>14938349</v>
      </c>
      <c r="G140" t="s">
        <v>4200</v>
      </c>
    </row>
    <row r="141" spans="1:7">
      <c r="A141" t="s">
        <v>2565</v>
      </c>
      <c r="B141" t="str">
        <f>VLOOKUP(A141,MemoryAvailable!A:B,2,FALSE)</f>
        <v>AZREUMON06SLW</v>
      </c>
      <c r="C141" t="s">
        <v>2566</v>
      </c>
      <c r="D141">
        <v>15020.686664954952</v>
      </c>
      <c r="E141">
        <v>109133.38115565656</v>
      </c>
      <c r="F141">
        <v>40739060</v>
      </c>
      <c r="G141" t="s">
        <v>4201</v>
      </c>
    </row>
    <row r="142" spans="1:7">
      <c r="A142" t="s">
        <v>508</v>
      </c>
      <c r="B142" t="str">
        <f>VLOOKUP(A142,MemoryAvailable!A:B,2,FALSE)</f>
        <v>appwe02ewifi-prod</v>
      </c>
      <c r="C142" t="s">
        <v>2566</v>
      </c>
      <c r="D142">
        <v>14786.531653369972</v>
      </c>
      <c r="E142">
        <v>64.421878453834893</v>
      </c>
      <c r="F142">
        <v>163849166.50813299</v>
      </c>
      <c r="G142" t="s">
        <v>4202</v>
      </c>
    </row>
    <row r="143" spans="1:7">
      <c r="A143" t="s">
        <v>2693</v>
      </c>
      <c r="B143" t="str">
        <f>VLOOKUP(A143,MemoryAvailable!A:B,2,FALSE)</f>
        <v>AZREUUIP05BOT</v>
      </c>
      <c r="C143" t="s">
        <v>2566</v>
      </c>
      <c r="D143">
        <v>13758.590335754663</v>
      </c>
      <c r="E143">
        <v>87239.180657663339</v>
      </c>
      <c r="F143">
        <v>11015074</v>
      </c>
      <c r="G143" t="s">
        <v>4203</v>
      </c>
    </row>
    <row r="144" spans="1:7">
      <c r="A144" t="s">
        <v>2783</v>
      </c>
      <c r="B144" t="str">
        <f>VLOOKUP(A144,MemoryAvailable!A:B,2,FALSE)</f>
        <v>AZREUDEVNPS01</v>
      </c>
      <c r="C144" t="s">
        <v>2566</v>
      </c>
      <c r="D144">
        <v>11795.006978759204</v>
      </c>
      <c r="E144">
        <v>89105.552429397474</v>
      </c>
      <c r="F144">
        <v>21672074</v>
      </c>
      <c r="G144" t="s">
        <v>4204</v>
      </c>
    </row>
    <row r="145" spans="1:8">
      <c r="A145" t="s">
        <v>458</v>
      </c>
      <c r="B145" t="str">
        <f>VLOOKUP(A145,MemoryAvailable!A:B,2,FALSE)</f>
        <v>appwe01ftp-prod</v>
      </c>
      <c r="C145" t="s">
        <v>2566</v>
      </c>
      <c r="D145">
        <v>11690.310711725679</v>
      </c>
      <c r="E145">
        <v>23134.269105050218</v>
      </c>
      <c r="F145">
        <v>63023331.9894282</v>
      </c>
      <c r="G145" t="s">
        <v>4205</v>
      </c>
    </row>
    <row r="146" spans="1:8">
      <c r="A146" t="s">
        <v>2798</v>
      </c>
      <c r="B146" t="str">
        <f>VLOOKUP(A146,MemoryAvailable!A:B,2,FALSE)</f>
        <v>AZREUUIP02ORC</v>
      </c>
      <c r="C146" t="s">
        <v>2566</v>
      </c>
      <c r="D146">
        <v>10761.89467386373</v>
      </c>
      <c r="E146">
        <v>86530.868817588402</v>
      </c>
      <c r="F146">
        <v>8319509</v>
      </c>
      <c r="G146" t="s">
        <v>4206</v>
      </c>
    </row>
    <row r="147" spans="1:8">
      <c r="A147" t="s">
        <v>2772</v>
      </c>
      <c r="B147" t="str">
        <f>VLOOKUP(A147,MemoryAvailable!A:B,2,FALSE)</f>
        <v>appwe03ttn-uat</v>
      </c>
      <c r="C147" t="s">
        <v>2566</v>
      </c>
      <c r="D147">
        <v>7943.2674129254838</v>
      </c>
      <c r="E147">
        <v>86922.648372107084</v>
      </c>
      <c r="F147">
        <v>7793526.5</v>
      </c>
      <c r="G147" t="s">
        <v>4207</v>
      </c>
    </row>
    <row r="148" spans="1:8">
      <c r="A148" t="s">
        <v>2720</v>
      </c>
      <c r="B148" t="str">
        <f>VLOOKUP(A148,MemoryAvailable!A:B,2,FALSE)</f>
        <v>appwe02ttn-uat</v>
      </c>
      <c r="C148" t="s">
        <v>2566</v>
      </c>
      <c r="D148">
        <v>7490.8753273138045</v>
      </c>
      <c r="E148">
        <v>86390.728119162231</v>
      </c>
      <c r="F148">
        <v>7915587</v>
      </c>
      <c r="G148" t="s">
        <v>4208</v>
      </c>
    </row>
    <row r="149" spans="1:8">
      <c r="A149" t="s">
        <v>481</v>
      </c>
      <c r="B149" t="str">
        <f>VLOOKUP(A149,MemoryAvailable!A:B,2,FALSE)</f>
        <v>appwe01ratestream-prod</v>
      </c>
      <c r="C149" t="s">
        <v>2566</v>
      </c>
      <c r="D149">
        <v>5730.2718047291501</v>
      </c>
      <c r="E149">
        <v>23210.624074064264</v>
      </c>
      <c r="F149">
        <v>12622045.289790999</v>
      </c>
      <c r="G149" t="s">
        <v>4209</v>
      </c>
    </row>
    <row r="150" spans="1:8">
      <c r="A150" t="s">
        <v>352</v>
      </c>
      <c r="B150" t="str">
        <f>VLOOKUP(A150,MemoryAvailable!A:B,2,FALSE)</f>
        <v>AZREUDEVRAD01</v>
      </c>
      <c r="C150" t="s">
        <v>2566</v>
      </c>
      <c r="D150">
        <v>5511.3738242662803</v>
      </c>
      <c r="E150">
        <v>898.20861750599772</v>
      </c>
      <c r="F150">
        <v>4152708.0452906401</v>
      </c>
      <c r="G150" t="s">
        <v>4210</v>
      </c>
    </row>
    <row r="151" spans="1:8">
      <c r="A151" t="s">
        <v>467</v>
      </c>
      <c r="B151" t="str">
        <f>VLOOKUP(A151,MemoryAvailable!A:B,2,FALSE)</f>
        <v>appwe01mags-prod</v>
      </c>
      <c r="C151" t="s">
        <v>2587</v>
      </c>
      <c r="D151">
        <v>4412.0090795351371</v>
      </c>
      <c r="E151">
        <v>12905.001313629602</v>
      </c>
      <c r="F151">
        <v>44838049.325581901</v>
      </c>
      <c r="G151" t="s">
        <v>4211</v>
      </c>
      <c r="H151" t="s">
        <v>2624</v>
      </c>
    </row>
    <row r="152" spans="1:8">
      <c r="A152" t="s">
        <v>570</v>
      </c>
      <c r="B152" t="str">
        <f>VLOOKUP(A152,MemoryAvailable!A:B,2,FALSE)</f>
        <v>AZREUTRI02DBS</v>
      </c>
      <c r="C152" t="s">
        <v>2566</v>
      </c>
      <c r="D152">
        <v>4127.9739807086071</v>
      </c>
      <c r="E152">
        <v>21359.902475268605</v>
      </c>
      <c r="F152">
        <v>9555723.7859583199</v>
      </c>
      <c r="G152" t="s">
        <v>4212</v>
      </c>
    </row>
    <row r="153" spans="1:8">
      <c r="A153" t="s">
        <v>516</v>
      </c>
      <c r="B153" t="str">
        <f>VLOOKUP(A153,MemoryAvailable!A:B,2,FALSE)</f>
        <v>appwe02sales-prod</v>
      </c>
      <c r="C153" t="s">
        <v>2587</v>
      </c>
      <c r="D153">
        <v>2927.9740912426369</v>
      </c>
      <c r="E153">
        <v>13788.643810430913</v>
      </c>
      <c r="F153">
        <v>54643628.723376699</v>
      </c>
      <c r="G153" t="s">
        <v>4213</v>
      </c>
      <c r="H153" t="s">
        <v>2679</v>
      </c>
    </row>
    <row r="154" spans="1:8">
      <c r="A154" t="s">
        <v>555</v>
      </c>
      <c r="B154" t="str">
        <f>VLOOKUP(A154,MemoryAvailable!A:B,2,FALSE)</f>
        <v>appwe01hpi-test</v>
      </c>
      <c r="C154" t="s">
        <v>2587</v>
      </c>
      <c r="D154">
        <v>2837.0325390516423</v>
      </c>
      <c r="E154">
        <v>11810.128542376528</v>
      </c>
      <c r="F154">
        <v>19671791.838709999</v>
      </c>
      <c r="G154" t="s">
        <v>4214</v>
      </c>
      <c r="H154" t="s">
        <v>2723</v>
      </c>
    </row>
    <row r="155" spans="1:8">
      <c r="A155" t="s">
        <v>460</v>
      </c>
      <c r="B155" t="str">
        <f>VLOOKUP(A155,MemoryAvailable!A:B,2,FALSE)</f>
        <v>appwe01hpi-prod</v>
      </c>
      <c r="C155" t="s">
        <v>2566</v>
      </c>
      <c r="D155">
        <v>2499.9508907903701</v>
      </c>
      <c r="E155">
        <v>10854.658261902601</v>
      </c>
      <c r="F155">
        <v>15161516.900593501</v>
      </c>
      <c r="G155" t="s">
        <v>4215</v>
      </c>
    </row>
    <row r="156" spans="1:8">
      <c r="A156" t="s">
        <v>513</v>
      </c>
      <c r="B156" t="str">
        <f>VLOOKUP(A156,MemoryAvailable!A:B,2,FALSE)</f>
        <v>appwe02ratestream-prod</v>
      </c>
      <c r="C156" t="s">
        <v>2566</v>
      </c>
      <c r="D156">
        <v>2255.272203185089</v>
      </c>
      <c r="E156">
        <v>14650.567820561258</v>
      </c>
      <c r="F156">
        <v>9181043.8904894497</v>
      </c>
      <c r="G156" t="s">
        <v>4216</v>
      </c>
    </row>
    <row r="157" spans="1:8">
      <c r="A157" t="s">
        <v>483</v>
      </c>
      <c r="B157" t="str">
        <f>VLOOKUP(A157,MemoryAvailable!A:B,2,FALSE)</f>
        <v>appwe01sales-prod</v>
      </c>
      <c r="C157" t="s">
        <v>2587</v>
      </c>
      <c r="D157">
        <v>2180.5807552617175</v>
      </c>
      <c r="E157">
        <v>13854.565116970874</v>
      </c>
      <c r="F157">
        <v>16284953.8123494</v>
      </c>
      <c r="G157" t="s">
        <v>4217</v>
      </c>
      <c r="H157" t="s">
        <v>2856</v>
      </c>
    </row>
    <row r="158" spans="1:8">
      <c r="A158" t="s">
        <v>415</v>
      </c>
      <c r="B158" t="e">
        <f>VLOOKUP(A158,MemoryAvailable!A:B,2,FALSE)</f>
        <v>#N/A</v>
      </c>
      <c r="C158" t="s">
        <v>2587</v>
      </c>
      <c r="D158">
        <v>2097.4913076681073</v>
      </c>
      <c r="E158">
        <v>1638.44735355888</v>
      </c>
      <c r="F158">
        <v>72946.781175238095</v>
      </c>
      <c r="G158" t="s">
        <v>4218</v>
      </c>
      <c r="H158" t="s">
        <v>2748</v>
      </c>
    </row>
    <row r="159" spans="1:8">
      <c r="A159" t="s">
        <v>2682</v>
      </c>
      <c r="B159" t="str">
        <f>VLOOKUP(A159,MemoryAvailable!A:B,2,FALSE)</f>
        <v>ratestream-development</v>
      </c>
      <c r="C159" t="s">
        <v>2566</v>
      </c>
      <c r="D159">
        <v>1579.2910042630299</v>
      </c>
      <c r="F159">
        <v>4134737.9090949302</v>
      </c>
      <c r="G159" t="s">
        <v>4219</v>
      </c>
    </row>
    <row r="160" spans="1:8">
      <c r="A160" t="s">
        <v>625</v>
      </c>
      <c r="B160" t="str">
        <f>VLOOKUP(A160,MemoryAvailable!A:B,2,FALSE)</f>
        <v>dbsne01mysql-prod</v>
      </c>
      <c r="C160" t="s">
        <v>2566</v>
      </c>
      <c r="D160">
        <v>1553.667213251548</v>
      </c>
      <c r="F160">
        <v>104794421.45757701</v>
      </c>
      <c r="G160" t="s">
        <v>4220</v>
      </c>
    </row>
    <row r="161" spans="1:8">
      <c r="A161" t="s">
        <v>576</v>
      </c>
      <c r="B161" t="str">
        <f>VLOOKUP(A161,MemoryAvailable!A:B,2,FALSE)</f>
        <v>AZRUSODL01</v>
      </c>
      <c r="C161" t="s">
        <v>2566</v>
      </c>
      <c r="D161">
        <v>1400.6985148375652</v>
      </c>
      <c r="F161">
        <v>4944582.7325645201</v>
      </c>
      <c r="G161" t="s">
        <v>4221</v>
      </c>
    </row>
    <row r="162" spans="1:8">
      <c r="A162" t="s">
        <v>284</v>
      </c>
      <c r="B162" t="str">
        <f>VLOOKUP(A162,MemoryAvailable!A:B,2,FALSE)</f>
        <v>appwe01sales-uat</v>
      </c>
      <c r="C162" t="s">
        <v>2587</v>
      </c>
      <c r="D162">
        <v>861.09322930227131</v>
      </c>
      <c r="E162">
        <v>273.06570515683381</v>
      </c>
      <c r="F162">
        <v>7472343.7233211296</v>
      </c>
      <c r="G162" t="s">
        <v>4222</v>
      </c>
      <c r="H162" t="s">
        <v>2762</v>
      </c>
    </row>
    <row r="163" spans="1:8">
      <c r="A163" t="s">
        <v>310</v>
      </c>
      <c r="B163" t="str">
        <f>VLOOKUP(A163,MemoryAvailable!A:B,2,FALSE)</f>
        <v>appwe02sales-uat</v>
      </c>
      <c r="C163" t="s">
        <v>2587</v>
      </c>
      <c r="D163">
        <v>425.47574101685365</v>
      </c>
      <c r="F163">
        <v>7934878.3590169903</v>
      </c>
      <c r="G163" t="s">
        <v>4223</v>
      </c>
      <c r="H163" t="s">
        <v>2734</v>
      </c>
    </row>
    <row r="164" spans="1:8">
      <c r="A164" t="s">
        <v>665</v>
      </c>
      <c r="B164" t="str">
        <f>VLOOKUP(A164,MemoryAvailable!A:B,2,FALSE)</f>
        <v>dbswe02mysql-prod</v>
      </c>
      <c r="C164" t="s">
        <v>2587</v>
      </c>
      <c r="D164">
        <v>371.90839272783694</v>
      </c>
      <c r="E164">
        <v>273.06664284875382</v>
      </c>
      <c r="F164">
        <v>21546256.322961699</v>
      </c>
      <c r="G164" t="s">
        <v>4224</v>
      </c>
      <c r="H164" t="s">
        <v>2886</v>
      </c>
    </row>
    <row r="165" spans="1:8">
      <c r="A165" t="s">
        <v>505</v>
      </c>
      <c r="B165" t="str">
        <f>VLOOKUP(A165,MemoryAvailable!A:B,2,FALSE)</f>
        <v>dbswe03cst-uat</v>
      </c>
      <c r="C165" t="s">
        <v>2566</v>
      </c>
      <c r="D165">
        <v>305.1009292354168</v>
      </c>
      <c r="E165">
        <v>819.21511433400246</v>
      </c>
      <c r="F165">
        <v>1803926.8465714401</v>
      </c>
      <c r="G165" t="s">
        <v>4225</v>
      </c>
    </row>
    <row r="166" spans="1:8">
      <c r="A166" t="s">
        <v>663</v>
      </c>
      <c r="B166" t="str">
        <f>VLOOKUP(A166,MemoryAvailable!A:B,2,FALSE)</f>
        <v>dbswe02cst-prod</v>
      </c>
      <c r="C166" t="s">
        <v>2566</v>
      </c>
      <c r="D166">
        <v>273.94672809658624</v>
      </c>
      <c r="E166">
        <v>819.22187747554767</v>
      </c>
      <c r="F166">
        <v>1370525.8396968001</v>
      </c>
      <c r="G166" t="s">
        <v>4226</v>
      </c>
    </row>
    <row r="167" spans="1:8">
      <c r="A167" t="s">
        <v>622</v>
      </c>
      <c r="B167" t="str">
        <f>VLOOKUP(A167,MemoryAvailable!A:B,2,FALSE)</f>
        <v>dbsne01cst-dr</v>
      </c>
      <c r="C167" t="s">
        <v>2587</v>
      </c>
      <c r="D167">
        <v>220.91598411240355</v>
      </c>
      <c r="E167">
        <v>819.18969676919676</v>
      </c>
      <c r="F167">
        <v>1371258.4354534899</v>
      </c>
      <c r="G167" t="s">
        <v>4227</v>
      </c>
      <c r="H167" t="s">
        <v>2875</v>
      </c>
    </row>
    <row r="168" spans="1:8">
      <c r="A168" t="s">
        <v>644</v>
      </c>
      <c r="B168" t="str">
        <f>VLOOKUP(A168,MemoryAvailable!A:B,2,FALSE)</f>
        <v>dbswe01mysql-test</v>
      </c>
      <c r="C168" t="s">
        <v>2587</v>
      </c>
      <c r="D168">
        <v>208.81357766846202</v>
      </c>
      <c r="F168">
        <v>1194492.7379002799</v>
      </c>
      <c r="G168" t="s">
        <v>4228</v>
      </c>
      <c r="H168" t="s">
        <v>2843</v>
      </c>
    </row>
    <row r="169" spans="1:8">
      <c r="A169" t="s">
        <v>282</v>
      </c>
      <c r="B169" t="str">
        <f>VLOOKUP(A169,MemoryAvailable!A:B,2,FALSE)</f>
        <v>appwe01sales-test</v>
      </c>
      <c r="C169" t="s">
        <v>2587</v>
      </c>
      <c r="D169">
        <v>203.01323718281509</v>
      </c>
      <c r="F169">
        <v>2252363.1696966598</v>
      </c>
      <c r="G169" t="s">
        <v>4229</v>
      </c>
      <c r="H169" t="s">
        <v>2788</v>
      </c>
    </row>
    <row r="170" spans="1:8">
      <c r="A170" t="s">
        <v>667</v>
      </c>
      <c r="B170" t="str">
        <f>VLOOKUP(A170,MemoryAvailable!A:B,2,FALSE)</f>
        <v>appwe01magazines-uat</v>
      </c>
      <c r="C170" t="s">
        <v>2587</v>
      </c>
      <c r="D170">
        <v>184.99717559725866</v>
      </c>
      <c r="E170">
        <v>546.13278954891405</v>
      </c>
      <c r="F170">
        <v>1720226.45503176</v>
      </c>
      <c r="G170" t="s">
        <v>4230</v>
      </c>
      <c r="H170" t="s">
        <v>2737</v>
      </c>
    </row>
    <row r="171" spans="1:8">
      <c r="A171" t="s">
        <v>674</v>
      </c>
      <c r="B171" t="str">
        <f>VLOOKUP(A171,MemoryAvailable!A:B,2,FALSE)</f>
        <v>dbswe03cst-prod</v>
      </c>
      <c r="C171" t="s">
        <v>2566</v>
      </c>
      <c r="D171">
        <v>171.32049477290923</v>
      </c>
      <c r="E171">
        <v>546.10492132654053</v>
      </c>
      <c r="F171">
        <v>1667970.3363244201</v>
      </c>
      <c r="G171" t="s">
        <v>4231</v>
      </c>
    </row>
    <row r="172" spans="1:8">
      <c r="A172" t="s">
        <v>435</v>
      </c>
      <c r="B172" t="str">
        <f>VLOOKUP(A172,MemoryAvailable!A:B,2,FALSE)</f>
        <v>appwe01cisa-prod</v>
      </c>
      <c r="C172" t="s">
        <v>2566</v>
      </c>
      <c r="D172">
        <v>164.15744819264054</v>
      </c>
      <c r="F172">
        <v>5214943.2538624704</v>
      </c>
      <c r="G172" t="s">
        <v>4232</v>
      </c>
    </row>
    <row r="173" spans="1:8">
      <c r="A173" t="s">
        <v>498</v>
      </c>
      <c r="B173" t="str">
        <f>VLOOKUP(A173,MemoryAvailable!A:B,2,FALSE)</f>
        <v>dbswe02mysql-uat</v>
      </c>
      <c r="C173" t="s">
        <v>2587</v>
      </c>
      <c r="D173">
        <v>116.06906456919261</v>
      </c>
      <c r="F173">
        <v>1458455.1862960099</v>
      </c>
      <c r="G173" t="s">
        <v>4233</v>
      </c>
      <c r="H173" t="s">
        <v>2801</v>
      </c>
    </row>
    <row r="174" spans="1:8">
      <c r="A174" t="s">
        <v>802</v>
      </c>
      <c r="B174" t="str">
        <f>VLOOKUP(A174,MemoryAvailable!A:B,2,FALSE)</f>
        <v>iwg-mysql</v>
      </c>
      <c r="C174" t="s">
        <v>2587</v>
      </c>
      <c r="D174">
        <v>97.389587898380057</v>
      </c>
      <c r="F174">
        <v>2457345.8075130899</v>
      </c>
      <c r="G174" t="s">
        <v>4234</v>
      </c>
      <c r="H174" t="s">
        <v>2778</v>
      </c>
    </row>
    <row r="175" spans="1:8">
      <c r="A175" t="s">
        <v>551</v>
      </c>
      <c r="B175" t="str">
        <f>VLOOKUP(A175,MemoryAvailable!A:B,2,FALSE)</f>
        <v>AZRAPODL01</v>
      </c>
      <c r="C175" t="s">
        <v>2566</v>
      </c>
      <c r="D175">
        <v>96.056239217964318</v>
      </c>
      <c r="F175">
        <v>1669828.5991253799</v>
      </c>
      <c r="G175" t="s">
        <v>4235</v>
      </c>
    </row>
    <row r="176" spans="1:8">
      <c r="A176" t="s">
        <v>323</v>
      </c>
      <c r="B176" t="str">
        <f>VLOOKUP(A176,MemoryAvailable!A:B,2,FALSE)</f>
        <v>appwe01cst-test</v>
      </c>
      <c r="C176" t="s">
        <v>2587</v>
      </c>
      <c r="D176">
        <v>21.725487317190296</v>
      </c>
      <c r="F176">
        <v>17546.874745601999</v>
      </c>
      <c r="G176" t="s">
        <v>4236</v>
      </c>
      <c r="H176" t="s">
        <v>2708</v>
      </c>
    </row>
    <row r="177" spans="1:8">
      <c r="A177" t="s">
        <v>521</v>
      </c>
      <c r="B177" t="str">
        <f>VLOOKUP(A177,MemoryAvailable!A:B,2,FALSE)</f>
        <v>appwe03cst-prod</v>
      </c>
      <c r="C177" t="s">
        <v>2566</v>
      </c>
      <c r="D177">
        <v>2.5026284883670846</v>
      </c>
      <c r="F177">
        <v>7322.7327247224403</v>
      </c>
      <c r="G177" t="s">
        <v>4237</v>
      </c>
    </row>
    <row r="178" spans="1:8">
      <c r="A178" t="s">
        <v>520</v>
      </c>
      <c r="B178" t="str">
        <f>VLOOKUP(A178,MemoryAvailable!A:B,2,FALSE)</f>
        <v>appwe01cst-uat</v>
      </c>
      <c r="C178" t="s">
        <v>2587</v>
      </c>
      <c r="D178">
        <v>0.49009920163297627</v>
      </c>
      <c r="F178">
        <v>11536.805536457199</v>
      </c>
      <c r="G178" t="s">
        <v>4238</v>
      </c>
      <c r="H178" t="s">
        <v>2797</v>
      </c>
    </row>
    <row r="179" spans="1:8">
      <c r="A179" t="s">
        <v>442</v>
      </c>
      <c r="B179" t="str">
        <f>VLOOKUP(A179,MemoryAvailable!A:B,2,FALSE)</f>
        <v>appwe01cst-prod</v>
      </c>
      <c r="C179" t="s">
        <v>2587</v>
      </c>
      <c r="D179">
        <v>0.35075417016212856</v>
      </c>
      <c r="F179">
        <v>6552.3206954219804</v>
      </c>
      <c r="G179" t="s">
        <v>4239</v>
      </c>
      <c r="H179" t="s">
        <v>2657</v>
      </c>
    </row>
    <row r="180" spans="1:8">
      <c r="A180" t="s">
        <v>386</v>
      </c>
      <c r="B180" t="str">
        <f>VLOOKUP(A180,MemoryAvailable!A:B,2,FALSE)</f>
        <v>appwe01sftp-uat</v>
      </c>
      <c r="C180" t="s">
        <v>2566</v>
      </c>
      <c r="D180">
        <v>4.9293212709307262E-2</v>
      </c>
      <c r="F180">
        <v>3134.2421388421999</v>
      </c>
      <c r="G180" t="s">
        <v>4240</v>
      </c>
    </row>
    <row r="181" spans="1:8">
      <c r="A181" t="s">
        <v>384</v>
      </c>
      <c r="B181" t="str">
        <f>VLOOKUP(A181,MemoryAvailable!A:B,2,FALSE)</f>
        <v>appwe01sftp-tst</v>
      </c>
      <c r="C181" t="s">
        <v>2566</v>
      </c>
      <c r="G181" t="s">
        <v>4061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367D2-2AB9-40C8-AF01-153DE860CAA2}">
  <sheetPr codeName="Sheet18"/>
  <dimension ref="A1:H181"/>
  <sheetViews>
    <sheetView topLeftCell="V7" workbookViewId="0">
      <selection activeCell="C7" sqref="C7"/>
    </sheetView>
  </sheetViews>
  <sheetFormatPr defaultRowHeight="14.5"/>
  <sheetData>
    <row r="1" spans="1:8">
      <c r="A1" t="s">
        <v>2514</v>
      </c>
      <c r="B1" t="s">
        <v>2515</v>
      </c>
      <c r="C1" t="s">
        <v>2516</v>
      </c>
      <c r="D1" t="s">
        <v>2517</v>
      </c>
      <c r="E1" t="s">
        <v>2518</v>
      </c>
      <c r="F1" t="s">
        <v>2519</v>
      </c>
      <c r="G1" t="s">
        <v>2520</v>
      </c>
      <c r="H1" t="s">
        <v>2521</v>
      </c>
    </row>
    <row r="2" spans="1:8">
      <c r="A2" t="s">
        <v>2651</v>
      </c>
      <c r="B2" t="str">
        <f>VLOOKUP(A2,MemoryAvailable!A:B,2,FALSE)</f>
        <v>dbswe02ttn-uat</v>
      </c>
      <c r="C2" t="s">
        <v>2566</v>
      </c>
      <c r="D2">
        <v>275.23496652385904</v>
      </c>
      <c r="E2">
        <v>1598.563335719313</v>
      </c>
      <c r="F2">
        <v>18412.958984375</v>
      </c>
      <c r="G2" t="s">
        <v>4241</v>
      </c>
    </row>
    <row r="3" spans="1:8">
      <c r="A3" t="s">
        <v>2702</v>
      </c>
      <c r="B3" t="str">
        <f>VLOOKUP(A3,MemoryAvailable!A:B,2,FALSE)</f>
        <v>dbswe02ttn-prod</v>
      </c>
      <c r="C3" t="s">
        <v>2566</v>
      </c>
      <c r="D3">
        <v>243.36595023613202</v>
      </c>
      <c r="E3">
        <v>1307.9913363367948</v>
      </c>
      <c r="F3">
        <v>34098.0546875</v>
      </c>
      <c r="G3" t="s">
        <v>4242</v>
      </c>
    </row>
    <row r="4" spans="1:8">
      <c r="A4" t="s">
        <v>2617</v>
      </c>
      <c r="B4" t="str">
        <f>VLOOKUP(A4,MemoryAvailable!A:B,2,FALSE)</f>
        <v>dbwe01sql2-prod</v>
      </c>
      <c r="C4" t="s">
        <v>2566</v>
      </c>
      <c r="D4">
        <v>152.94280510452231</v>
      </c>
      <c r="E4">
        <v>826.4424326601096</v>
      </c>
      <c r="F4">
        <v>15314.6015625</v>
      </c>
      <c r="G4" t="s">
        <v>4243</v>
      </c>
    </row>
    <row r="5" spans="1:8">
      <c r="A5" t="s">
        <v>2643</v>
      </c>
      <c r="B5" t="str">
        <f>VLOOKUP(A5,MemoryAvailable!A:B,2,FALSE)</f>
        <v>dbswe01ttn-test</v>
      </c>
      <c r="C5" t="s">
        <v>2566</v>
      </c>
      <c r="D5">
        <v>148.9133586185375</v>
      </c>
      <c r="E5">
        <v>611.517677530024</v>
      </c>
      <c r="F5">
        <v>24351.001953125</v>
      </c>
      <c r="G5" t="s">
        <v>4244</v>
      </c>
    </row>
    <row r="6" spans="1:8">
      <c r="A6" t="s">
        <v>2619</v>
      </c>
      <c r="B6" t="str">
        <f>VLOOKUP(A6,MemoryAvailable!A:B,2,FALSE)</f>
        <v>dbswe01ttn-uat</v>
      </c>
      <c r="C6" t="s">
        <v>2566</v>
      </c>
      <c r="D6">
        <v>95.698325432190543</v>
      </c>
      <c r="E6">
        <v>624.7881060436431</v>
      </c>
      <c r="F6">
        <v>14430.8427734375</v>
      </c>
      <c r="G6" t="s">
        <v>4245</v>
      </c>
    </row>
    <row r="7" spans="1:8">
      <c r="A7" t="s">
        <v>2596</v>
      </c>
      <c r="B7" t="str">
        <f>VLOOKUP(A7,MemoryAvailable!A:B,2,FALSE)</f>
        <v>AZREUDBS01SLW</v>
      </c>
      <c r="C7" t="s">
        <v>2566</v>
      </c>
      <c r="D7">
        <v>95.227078009534281</v>
      </c>
      <c r="E7">
        <v>366.66369046506304</v>
      </c>
      <c r="F7">
        <v>14142.0703125</v>
      </c>
      <c r="G7" t="s">
        <v>4246</v>
      </c>
    </row>
    <row r="8" spans="1:8">
      <c r="A8" t="s">
        <v>2593</v>
      </c>
      <c r="B8" t="str">
        <f>VLOOKUP(A8,MemoryAvailable!A:B,2,FALSE)</f>
        <v>dbswe01ttn-prod</v>
      </c>
      <c r="C8" t="s">
        <v>2587</v>
      </c>
      <c r="D8">
        <v>94.123212596235746</v>
      </c>
      <c r="E8">
        <v>403.21303985365381</v>
      </c>
      <c r="F8">
        <v>32420.7421875</v>
      </c>
      <c r="G8" t="s">
        <v>4247</v>
      </c>
      <c r="H8" t="s">
        <v>2595</v>
      </c>
    </row>
    <row r="9" spans="1:8">
      <c r="A9" t="s">
        <v>2835</v>
      </c>
      <c r="B9" t="str">
        <f>VLOOKUP(A9,MemoryAvailable!A:B,2,FALSE)</f>
        <v>appwe01per-prod</v>
      </c>
      <c r="C9" t="s">
        <v>2566</v>
      </c>
      <c r="D9">
        <v>41.305138334767264</v>
      </c>
      <c r="E9">
        <v>70.312230391224119</v>
      </c>
      <c r="F9">
        <v>2934.84765625</v>
      </c>
      <c r="G9" t="s">
        <v>4248</v>
      </c>
    </row>
    <row r="10" spans="1:8">
      <c r="A10" t="s">
        <v>2667</v>
      </c>
      <c r="B10" t="str">
        <f>VLOOKUP(A10,MemoryAvailable!A:B,2,FALSE)</f>
        <v>dbswe01sql-prod</v>
      </c>
      <c r="C10" t="s">
        <v>2566</v>
      </c>
      <c r="D10">
        <v>40.905218086927739</v>
      </c>
      <c r="E10">
        <v>5.1031125954644221</v>
      </c>
      <c r="F10">
        <v>9378.5595703125</v>
      </c>
      <c r="G10" t="s">
        <v>4249</v>
      </c>
    </row>
    <row r="11" spans="1:8">
      <c r="A11" t="s">
        <v>2635</v>
      </c>
      <c r="B11" t="str">
        <f>VLOOKUP(A11,MemoryAvailable!A:B,2,FALSE)</f>
        <v>Appwe01sg-prod</v>
      </c>
      <c r="C11" t="s">
        <v>2566</v>
      </c>
      <c r="D11">
        <v>27.790200687748818</v>
      </c>
      <c r="E11">
        <v>18.081339483906426</v>
      </c>
      <c r="F11">
        <v>4230.76318359375</v>
      </c>
      <c r="G11" t="s">
        <v>4250</v>
      </c>
    </row>
    <row r="12" spans="1:8">
      <c r="A12" t="s">
        <v>2535</v>
      </c>
      <c r="B12" t="str">
        <f>VLOOKUP(A12,MemoryAvailable!A:B,2,FALSE)</f>
        <v>v3Standrd | v3Standrd000003</v>
      </c>
      <c r="C12" t="s">
        <v>2523</v>
      </c>
      <c r="D12">
        <v>25.419458627490158</v>
      </c>
      <c r="E12">
        <v>150.80213429088982</v>
      </c>
      <c r="F12">
        <v>644.78680419921898</v>
      </c>
      <c r="G12" t="s">
        <v>4251</v>
      </c>
      <c r="H12" t="s">
        <v>2537</v>
      </c>
    </row>
    <row r="13" spans="1:8">
      <c r="A13" t="s">
        <v>2529</v>
      </c>
      <c r="B13" t="str">
        <f>VLOOKUP(A13,MemoryAvailable!A:B,2,FALSE)</f>
        <v>v3Standrd | v3Standrd000002</v>
      </c>
      <c r="C13" t="s">
        <v>2523</v>
      </c>
      <c r="D13">
        <v>25.3571600945344</v>
      </c>
      <c r="E13">
        <v>151.67762863097207</v>
      </c>
      <c r="F13">
        <v>616.39416503906295</v>
      </c>
      <c r="G13" t="s">
        <v>4252</v>
      </c>
      <c r="H13" t="s">
        <v>2531</v>
      </c>
    </row>
    <row r="14" spans="1:8">
      <c r="A14" t="s">
        <v>2547</v>
      </c>
      <c r="B14" t="str">
        <f>VLOOKUP(A14,MemoryAvailable!A:B,2,FALSE)</f>
        <v>v3Standrd | v3Standrd00001O</v>
      </c>
      <c r="C14" t="s">
        <v>2523</v>
      </c>
      <c r="D14">
        <v>24.928801679406121</v>
      </c>
      <c r="E14">
        <v>146.0848737374086</v>
      </c>
      <c r="F14">
        <v>363.00942993164102</v>
      </c>
      <c r="G14" t="s">
        <v>4253</v>
      </c>
      <c r="H14" t="s">
        <v>2549</v>
      </c>
    </row>
    <row r="15" spans="1:8">
      <c r="A15" t="s">
        <v>2541</v>
      </c>
      <c r="B15" t="str">
        <f>VLOOKUP(A15,MemoryAvailable!A:B,2,FALSE)</f>
        <v>v3Standrd | v3Standrd00001S</v>
      </c>
      <c r="C15" t="s">
        <v>2523</v>
      </c>
      <c r="D15">
        <v>24.43881946473396</v>
      </c>
      <c r="E15">
        <v>144.36027331533904</v>
      </c>
      <c r="F15">
        <v>416.815185546875</v>
      </c>
      <c r="G15" t="s">
        <v>4254</v>
      </c>
      <c r="H15" t="s">
        <v>2543</v>
      </c>
    </row>
    <row r="16" spans="1:8">
      <c r="A16" t="s">
        <v>2562</v>
      </c>
      <c r="B16" t="str">
        <f>VLOOKUP(A16,MemoryAvailable!A:B,2,FALSE)</f>
        <v>v3Standrd | v3Standrd00001Q</v>
      </c>
      <c r="C16" t="s">
        <v>2523</v>
      </c>
      <c r="D16">
        <v>24.306855602674087</v>
      </c>
      <c r="E16">
        <v>139.81875825938002</v>
      </c>
      <c r="F16">
        <v>349.899658203125</v>
      </c>
      <c r="G16" t="s">
        <v>4255</v>
      </c>
      <c r="H16" t="s">
        <v>2564</v>
      </c>
    </row>
    <row r="17" spans="1:8">
      <c r="A17" t="s">
        <v>2550</v>
      </c>
      <c r="B17" t="str">
        <f>VLOOKUP(A17,MemoryAvailable!A:B,2,FALSE)</f>
        <v>v3Standrd | v3Standrd00001M</v>
      </c>
      <c r="C17" t="s">
        <v>2523</v>
      </c>
      <c r="D17">
        <v>24.304664862285215</v>
      </c>
      <c r="E17">
        <v>143.26137064765106</v>
      </c>
      <c r="F17">
        <v>692.29443359375</v>
      </c>
      <c r="G17" t="s">
        <v>4256</v>
      </c>
      <c r="H17" t="s">
        <v>2552</v>
      </c>
    </row>
    <row r="18" spans="1:8">
      <c r="A18" t="s">
        <v>2568</v>
      </c>
      <c r="B18" t="str">
        <f>VLOOKUP(A18,MemoryAvailable!A:B,2,FALSE)</f>
        <v>v3Standrd | v3Standrd00001P</v>
      </c>
      <c r="C18" t="s">
        <v>2523</v>
      </c>
      <c r="D18">
        <v>24.265660327179997</v>
      </c>
      <c r="E18">
        <v>143.1873306640629</v>
      </c>
      <c r="F18">
        <v>489.38748168945301</v>
      </c>
      <c r="G18" t="s">
        <v>4257</v>
      </c>
      <c r="H18" t="s">
        <v>2570</v>
      </c>
    </row>
    <row r="19" spans="1:8">
      <c r="A19" t="s">
        <v>2538</v>
      </c>
      <c r="B19" t="str">
        <f>VLOOKUP(A19,MemoryAvailable!A:B,2,FALSE)</f>
        <v>v3Standrd | v3Standrd00001K</v>
      </c>
      <c r="C19" t="s">
        <v>2523</v>
      </c>
      <c r="D19">
        <v>24.022841242305724</v>
      </c>
      <c r="E19">
        <v>133.77252754515308</v>
      </c>
      <c r="F19">
        <v>398.50167846679699</v>
      </c>
      <c r="G19" t="s">
        <v>4258</v>
      </c>
      <c r="H19" t="s">
        <v>2540</v>
      </c>
    </row>
    <row r="20" spans="1:8">
      <c r="A20" t="s">
        <v>2532</v>
      </c>
      <c r="B20" t="str">
        <f>VLOOKUP(A20,MemoryAvailable!A:B,2,FALSE)</f>
        <v>v3Standrd | v3Standrd000004</v>
      </c>
      <c r="C20" t="s">
        <v>2523</v>
      </c>
      <c r="D20">
        <v>24.006852583561994</v>
      </c>
      <c r="E20">
        <v>136.28522131166835</v>
      </c>
      <c r="F20">
        <v>615.26849365234398</v>
      </c>
      <c r="G20" t="s">
        <v>4259</v>
      </c>
      <c r="H20" t="s">
        <v>2534</v>
      </c>
    </row>
    <row r="21" spans="1:8">
      <c r="A21" t="s">
        <v>2553</v>
      </c>
      <c r="B21" t="str">
        <f>VLOOKUP(A21,MemoryAvailable!A:B,2,FALSE)</f>
        <v>v3Standrd | v3Standrd00001J</v>
      </c>
      <c r="C21" t="s">
        <v>2523</v>
      </c>
      <c r="D21">
        <v>23.980882034918004</v>
      </c>
      <c r="E21">
        <v>136.83278351159694</v>
      </c>
      <c r="F21">
        <v>552.33972167968795</v>
      </c>
      <c r="G21" t="s">
        <v>4260</v>
      </c>
      <c r="H21" t="s">
        <v>2555</v>
      </c>
    </row>
    <row r="22" spans="1:8">
      <c r="A22" t="s">
        <v>2544</v>
      </c>
      <c r="B22" t="str">
        <f>VLOOKUP(A22,MemoryAvailable!A:B,2,FALSE)</f>
        <v>v3Standrd | v3Standrd00001L</v>
      </c>
      <c r="C22" t="s">
        <v>2523</v>
      </c>
      <c r="D22">
        <v>23.771216814793299</v>
      </c>
      <c r="E22">
        <v>134.10663928786411</v>
      </c>
      <c r="F22">
        <v>358.04022216796898</v>
      </c>
      <c r="G22" t="s">
        <v>4261</v>
      </c>
      <c r="H22" t="s">
        <v>2546</v>
      </c>
    </row>
    <row r="23" spans="1:8">
      <c r="A23" t="s">
        <v>2556</v>
      </c>
      <c r="B23" t="str">
        <f>VLOOKUP(A23,MemoryAvailable!A:B,2,FALSE)</f>
        <v>v3Standrd | v3Standrd00001N</v>
      </c>
      <c r="C23" t="s">
        <v>2523</v>
      </c>
      <c r="D23">
        <v>23.51742471767313</v>
      </c>
      <c r="E23">
        <v>142.29903124192276</v>
      </c>
      <c r="F23">
        <v>420.29287719726602</v>
      </c>
      <c r="G23" t="s">
        <v>4262</v>
      </c>
      <c r="H23" t="s">
        <v>2558</v>
      </c>
    </row>
    <row r="24" spans="1:8">
      <c r="A24" t="s">
        <v>2526</v>
      </c>
      <c r="B24" t="str">
        <f>VLOOKUP(A24,MemoryAvailable!A:B,2,FALSE)</f>
        <v>v3Standrd | v3Standrd000001</v>
      </c>
      <c r="C24" t="s">
        <v>2523</v>
      </c>
      <c r="D24">
        <v>23.28054850166312</v>
      </c>
      <c r="E24">
        <v>128.81935814682612</v>
      </c>
      <c r="F24">
        <v>572.40850830078102</v>
      </c>
      <c r="G24" t="s">
        <v>4263</v>
      </c>
      <c r="H24" t="s">
        <v>2528</v>
      </c>
    </row>
    <row r="25" spans="1:8">
      <c r="A25" t="s">
        <v>2522</v>
      </c>
      <c r="B25" t="str">
        <f>VLOOKUP(A25,MemoryAvailable!A:B,2,FALSE)</f>
        <v>v3Standrd | v3Standrd000000</v>
      </c>
      <c r="C25" t="s">
        <v>2523</v>
      </c>
      <c r="D25">
        <v>23.030704734989872</v>
      </c>
      <c r="E25">
        <v>129.02800850010595</v>
      </c>
      <c r="F25">
        <v>494.21844482421898</v>
      </c>
      <c r="G25" t="s">
        <v>4264</v>
      </c>
      <c r="H25" t="s">
        <v>2525</v>
      </c>
    </row>
    <row r="26" spans="1:8">
      <c r="A26" t="s">
        <v>2559</v>
      </c>
      <c r="B26" t="str">
        <f>VLOOKUP(A26,MemoryAvailable!A:B,2,FALSE)</f>
        <v>v3Standrd | v3Standrd00001R</v>
      </c>
      <c r="C26" t="s">
        <v>2523</v>
      </c>
      <c r="D26">
        <v>22.984540338671383</v>
      </c>
      <c r="E26">
        <v>142.62568361089194</v>
      </c>
      <c r="F26">
        <v>482.00692749023398</v>
      </c>
      <c r="G26" t="s">
        <v>4265</v>
      </c>
      <c r="H26" t="s">
        <v>2561</v>
      </c>
    </row>
    <row r="27" spans="1:8">
      <c r="A27" t="s">
        <v>2844</v>
      </c>
      <c r="B27" t="str">
        <f>VLOOKUP(A27,MemoryAvailable!A:B,2,FALSE)</f>
        <v>dbsne03ttn-dr</v>
      </c>
      <c r="C27" t="s">
        <v>2566</v>
      </c>
      <c r="D27">
        <v>15.227218271044396</v>
      </c>
      <c r="E27">
        <v>8.6004646479027098</v>
      </c>
      <c r="F27">
        <v>10872.740234375</v>
      </c>
      <c r="G27" t="s">
        <v>4266</v>
      </c>
    </row>
    <row r="28" spans="1:8">
      <c r="A28" t="s">
        <v>2717</v>
      </c>
      <c r="B28" t="str">
        <f>VLOOKUP(A28,MemoryAvailable!A:B,2,FALSE)</f>
        <v>dbwe02sql2-prod</v>
      </c>
      <c r="C28" t="s">
        <v>2566</v>
      </c>
      <c r="D28">
        <v>13.864444517956791</v>
      </c>
      <c r="E28">
        <v>1.6576888877399218</v>
      </c>
      <c r="F28">
        <v>13873.4501953125</v>
      </c>
      <c r="G28" t="s">
        <v>4267</v>
      </c>
    </row>
    <row r="29" spans="1:8">
      <c r="A29" t="s">
        <v>2669</v>
      </c>
      <c r="B29" t="str">
        <f>VLOOKUP(A29,MemoryAvailable!A:B,2,FALSE)</f>
        <v>dbne03sql2-dr</v>
      </c>
      <c r="C29" t="s">
        <v>2566</v>
      </c>
      <c r="D29">
        <v>12.941304232041904</v>
      </c>
      <c r="E29">
        <v>1.6859983743592892</v>
      </c>
      <c r="F29">
        <v>6480.568359375</v>
      </c>
      <c r="G29" t="s">
        <v>4268</v>
      </c>
    </row>
    <row r="30" spans="1:8">
      <c r="A30" t="s">
        <v>2840</v>
      </c>
      <c r="B30" t="str">
        <f>VLOOKUP(A30,MemoryAvailable!A:B,2,FALSE)</f>
        <v>dbswe02sql-prod</v>
      </c>
      <c r="C30" t="s">
        <v>2566</v>
      </c>
      <c r="D30">
        <v>10.081967750022512</v>
      </c>
      <c r="E30">
        <v>2.3963982039870522</v>
      </c>
      <c r="F30">
        <v>14556.44140625</v>
      </c>
      <c r="G30" t="s">
        <v>4269</v>
      </c>
    </row>
    <row r="31" spans="1:8">
      <c r="A31" t="s">
        <v>2743</v>
      </c>
      <c r="B31" t="str">
        <f>VLOOKUP(A31,MemoryAvailable!A:B,2,FALSE)</f>
        <v>dbsne03sql-dr</v>
      </c>
      <c r="C31" t="s">
        <v>2566</v>
      </c>
      <c r="D31">
        <v>6.3211470748079215</v>
      </c>
      <c r="E31">
        <v>1.1155411769873218</v>
      </c>
      <c r="F31">
        <v>3978.47729492188</v>
      </c>
      <c r="G31" t="s">
        <v>4270</v>
      </c>
    </row>
    <row r="32" spans="1:8">
      <c r="A32" t="s">
        <v>2779</v>
      </c>
      <c r="B32" t="str">
        <f>VLOOKUP(A32,MemoryAvailable!A:B,2,FALSE)</f>
        <v>appwe02win10tst</v>
      </c>
      <c r="C32" t="s">
        <v>2566</v>
      </c>
      <c r="D32">
        <v>4.3736095247769384</v>
      </c>
      <c r="E32">
        <v>1.7149331867694859</v>
      </c>
      <c r="F32">
        <v>586.27301025390602</v>
      </c>
      <c r="G32" t="s">
        <v>4271</v>
      </c>
    </row>
    <row r="33" spans="1:8">
      <c r="A33" t="s">
        <v>2691</v>
      </c>
      <c r="B33" t="str">
        <f>VLOOKUP(A33,MemoryAvailable!A:B,2,FALSE)</f>
        <v>AZREUUIP03DBS</v>
      </c>
      <c r="C33" t="s">
        <v>2566</v>
      </c>
      <c r="D33">
        <v>3.4834204882332864</v>
      </c>
      <c r="E33">
        <v>11.746947669527419</v>
      </c>
      <c r="F33">
        <v>3026.16772460938</v>
      </c>
      <c r="G33" t="s">
        <v>4272</v>
      </c>
    </row>
    <row r="34" spans="1:8">
      <c r="A34" t="s">
        <v>2751</v>
      </c>
      <c r="B34" t="str">
        <f>VLOOKUP(A34,MemoryAvailable!A:B,2,FALSE)</f>
        <v>dbswe01sql-test</v>
      </c>
      <c r="C34" t="s">
        <v>2566</v>
      </c>
      <c r="D34">
        <v>3.3430226694838674</v>
      </c>
      <c r="E34">
        <v>2.3648830166370569</v>
      </c>
      <c r="F34">
        <v>4717.10009765625</v>
      </c>
      <c r="G34" t="s">
        <v>4273</v>
      </c>
    </row>
    <row r="35" spans="1:8">
      <c r="A35" t="s">
        <v>2689</v>
      </c>
      <c r="B35" t="str">
        <f>VLOOKUP(A35,MemoryAvailable!A:B,2,FALSE)</f>
        <v>appwe01cm-prod</v>
      </c>
      <c r="C35" t="s">
        <v>2566</v>
      </c>
      <c r="D35">
        <v>3.0498987472087884</v>
      </c>
      <c r="E35">
        <v>5.9299099249331197</v>
      </c>
      <c r="F35">
        <v>3033.12329101563</v>
      </c>
      <c r="G35" t="s">
        <v>4274</v>
      </c>
    </row>
    <row r="36" spans="1:8">
      <c r="A36" t="s">
        <v>2731</v>
      </c>
      <c r="B36" t="str">
        <f>VLOOKUP(A36,MemoryAvailable!A:B,2,FALSE)</f>
        <v>Appwe01baduat</v>
      </c>
      <c r="C36" t="s">
        <v>2566</v>
      </c>
      <c r="D36">
        <v>2.7862907520655669</v>
      </c>
      <c r="E36">
        <v>3.6007992605368297</v>
      </c>
      <c r="F36">
        <v>1091.09338378906</v>
      </c>
      <c r="G36" t="s">
        <v>4275</v>
      </c>
    </row>
    <row r="37" spans="1:8">
      <c r="A37" t="s">
        <v>366</v>
      </c>
      <c r="B37" t="str">
        <f>VLOOKUP(A37,MemoryAvailable!A:B,2,FALSE)</f>
        <v>AZREURAD01WFI</v>
      </c>
      <c r="C37" t="s">
        <v>2566</v>
      </c>
      <c r="D37">
        <v>2.3876029063008253</v>
      </c>
      <c r="E37">
        <v>3.9407075945102004</v>
      </c>
      <c r="F37">
        <v>1769.00089199882</v>
      </c>
      <c r="G37" t="s">
        <v>4276</v>
      </c>
    </row>
    <row r="38" spans="1:8">
      <c r="A38" t="s">
        <v>2738</v>
      </c>
      <c r="B38" t="str">
        <f>VLOOKUP(A38,MemoryAvailable!A:B,2,FALSE)</f>
        <v>dbswe01sql-uat</v>
      </c>
      <c r="C38" t="s">
        <v>2566</v>
      </c>
      <c r="D38">
        <v>2.1288039616836847</v>
      </c>
      <c r="E38">
        <v>1.5100006462644973</v>
      </c>
      <c r="F38">
        <v>1448.81823730469</v>
      </c>
      <c r="G38" t="s">
        <v>4277</v>
      </c>
    </row>
    <row r="39" spans="1:8">
      <c r="A39" t="s">
        <v>2728</v>
      </c>
      <c r="B39" t="str">
        <f>VLOOKUP(A39,MemoryAvailable!A:B,2,FALSE)</f>
        <v>AZREUUIP01STD</v>
      </c>
      <c r="C39" t="s">
        <v>2566</v>
      </c>
      <c r="D39">
        <v>1.9840168762486445</v>
      </c>
      <c r="E39">
        <v>0.93731564211211194</v>
      </c>
      <c r="F39">
        <v>2327.02612304688</v>
      </c>
      <c r="G39" t="s">
        <v>4278</v>
      </c>
    </row>
    <row r="40" spans="1:8">
      <c r="A40" t="s">
        <v>2766</v>
      </c>
      <c r="B40" t="str">
        <f>VLOOKUP(A40,MemoryAvailable!A:B,2,FALSE)</f>
        <v>AZREUAPI01OTR</v>
      </c>
      <c r="C40" t="s">
        <v>2566</v>
      </c>
      <c r="D40">
        <v>1.9630918087686222</v>
      </c>
      <c r="E40">
        <v>2.7742712457787664</v>
      </c>
      <c r="F40">
        <v>1028.95227050781</v>
      </c>
      <c r="G40" t="s">
        <v>4279</v>
      </c>
    </row>
    <row r="41" spans="1:8">
      <c r="A41" t="s">
        <v>2647</v>
      </c>
      <c r="B41" t="str">
        <f>VLOOKUP(A41,MemoryAvailable!A:B,2,FALSE)</f>
        <v>AZRUSNPS01DVL</v>
      </c>
      <c r="C41" t="s">
        <v>2566</v>
      </c>
      <c r="D41">
        <v>1.8201798487566285</v>
      </c>
      <c r="E41">
        <v>0.82016416773266387</v>
      </c>
      <c r="F41">
        <v>1245.14404296875</v>
      </c>
      <c r="G41" t="s">
        <v>4280</v>
      </c>
    </row>
    <row r="42" spans="1:8">
      <c r="A42" t="s">
        <v>2833</v>
      </c>
      <c r="B42" t="str">
        <f>VLOOKUP(A42,MemoryAvailable!A:B,2,FALSE)</f>
        <v>Appwe02baduat</v>
      </c>
      <c r="C42" t="s">
        <v>2566</v>
      </c>
      <c r="D42">
        <v>1.8041829337505881</v>
      </c>
      <c r="E42">
        <v>1.8698379271095493</v>
      </c>
      <c r="F42">
        <v>530.20617675781295</v>
      </c>
      <c r="G42" t="s">
        <v>4281</v>
      </c>
    </row>
    <row r="43" spans="1:8">
      <c r="A43" t="s">
        <v>2686</v>
      </c>
      <c r="B43" t="str">
        <f>VLOOKUP(A43,MemoryAvailable!A:B,2,FALSE)</f>
        <v>appwe01mer-prod</v>
      </c>
      <c r="C43" t="s">
        <v>2587</v>
      </c>
      <c r="D43">
        <v>1.7824122823098669</v>
      </c>
      <c r="E43">
        <v>3.2598571503952858</v>
      </c>
      <c r="F43">
        <v>2109.86596679688</v>
      </c>
      <c r="G43" t="s">
        <v>4282</v>
      </c>
      <c r="H43" t="s">
        <v>2688</v>
      </c>
    </row>
    <row r="44" spans="1:8">
      <c r="A44" t="s">
        <v>2627</v>
      </c>
      <c r="B44" t="str">
        <f>VLOOKUP(A44,MemoryAvailable!A:B,2,FALSE)</f>
        <v>AZREUNPS01DVL</v>
      </c>
      <c r="C44" t="s">
        <v>2566</v>
      </c>
      <c r="D44">
        <v>1.7404904810926136</v>
      </c>
      <c r="E44">
        <v>2.2383528101755656</v>
      </c>
      <c r="F44">
        <v>552.43273925781295</v>
      </c>
      <c r="G44" t="s">
        <v>4283</v>
      </c>
    </row>
    <row r="45" spans="1:8">
      <c r="A45" t="s">
        <v>2828</v>
      </c>
      <c r="B45" t="str">
        <f>VLOOKUP(A45,MemoryAvailable!A:B,2,FALSE)</f>
        <v>AZREUAPI02PRV</v>
      </c>
      <c r="C45" t="s">
        <v>2566</v>
      </c>
      <c r="D45">
        <v>1.6800280783639443</v>
      </c>
      <c r="E45">
        <v>2.4439947456495275</v>
      </c>
      <c r="F45">
        <v>4943.82275390625</v>
      </c>
      <c r="G45" t="s">
        <v>4284</v>
      </c>
    </row>
    <row r="46" spans="1:8">
      <c r="A46" t="s">
        <v>2770</v>
      </c>
      <c r="B46" t="str">
        <f>VLOOKUP(A46,MemoryAvailable!A:B,2,FALSE)</f>
        <v>azwedom01</v>
      </c>
      <c r="C46" t="s">
        <v>2566</v>
      </c>
      <c r="D46">
        <v>1.249206944920076</v>
      </c>
      <c r="E46">
        <v>3.1878889709203451</v>
      </c>
      <c r="F46">
        <v>731.98016357421898</v>
      </c>
      <c r="G46" t="s">
        <v>4285</v>
      </c>
    </row>
    <row r="47" spans="1:8">
      <c r="A47" t="s">
        <v>2749</v>
      </c>
      <c r="B47" t="str">
        <f>VLOOKUP(A47,MemoryAvailable!A:B,2,FALSE)</f>
        <v>AZREUWEB01DVL</v>
      </c>
      <c r="C47" t="s">
        <v>2566</v>
      </c>
      <c r="D47">
        <v>1.205085875409091</v>
      </c>
      <c r="E47">
        <v>1.2050735766601652</v>
      </c>
      <c r="F47">
        <v>475.58407592773398</v>
      </c>
      <c r="G47" t="s">
        <v>4286</v>
      </c>
    </row>
    <row r="48" spans="1:8">
      <c r="A48" t="s">
        <v>346</v>
      </c>
      <c r="B48" t="str">
        <f>VLOOKUP(A48,MemoryAvailable!A:B,2,FALSE)</f>
        <v>appwe01fedexuat</v>
      </c>
      <c r="C48" t="s">
        <v>2566</v>
      </c>
      <c r="D48">
        <v>1.1584358262070171</v>
      </c>
      <c r="E48">
        <v>1.4373545417927482</v>
      </c>
      <c r="F48">
        <v>623.11584472656295</v>
      </c>
      <c r="G48" t="s">
        <v>4287</v>
      </c>
    </row>
    <row r="49" spans="1:8">
      <c r="A49" t="s">
        <v>399</v>
      </c>
      <c r="B49" t="str">
        <f>VLOOKUP(A49,MemoryAvailable!A:B,2,FALSE)</f>
        <v>AZRUSRAD01WFI</v>
      </c>
      <c r="C49" t="s">
        <v>2566</v>
      </c>
      <c r="D49">
        <v>1.1178393813753211</v>
      </c>
      <c r="E49">
        <v>1.6666011896075195E-2</v>
      </c>
      <c r="F49">
        <v>3111.16812998875</v>
      </c>
      <c r="G49" t="s">
        <v>4288</v>
      </c>
    </row>
    <row r="50" spans="1:8">
      <c r="A50" t="s">
        <v>2639</v>
      </c>
      <c r="B50" t="str">
        <f>VLOOKUP(A50,MemoryAvailable!A:B,2,FALSE)</f>
        <v>aznedom01</v>
      </c>
      <c r="C50" t="s">
        <v>2566</v>
      </c>
      <c r="D50">
        <v>1.1142850191804872</v>
      </c>
      <c r="E50">
        <v>2.9586139970639049</v>
      </c>
      <c r="F50">
        <v>275.04541015625</v>
      </c>
      <c r="G50" t="s">
        <v>4289</v>
      </c>
    </row>
    <row r="51" spans="1:8">
      <c r="A51" t="s">
        <v>2711</v>
      </c>
      <c r="B51" t="str">
        <f>VLOOKUP(A51,MemoryAvailable!A:B,2,FALSE)</f>
        <v>AZREUDBS02CLV</v>
      </c>
      <c r="C51" t="s">
        <v>2566</v>
      </c>
      <c r="D51">
        <v>1.1075147214292524</v>
      </c>
      <c r="E51">
        <v>3.1032145202351189</v>
      </c>
      <c r="F51">
        <v>932.21099853515602</v>
      </c>
      <c r="G51" t="s">
        <v>4290</v>
      </c>
    </row>
    <row r="52" spans="1:8">
      <c r="A52" t="s">
        <v>2713</v>
      </c>
      <c r="B52" t="str">
        <f>VLOOKUP(A52,MemoryAvailable!A:B,2,FALSE)</f>
        <v>azwedom02</v>
      </c>
      <c r="C52" t="s">
        <v>2566</v>
      </c>
      <c r="D52">
        <v>1.0905597758168084</v>
      </c>
      <c r="E52">
        <v>3.1282723092894296</v>
      </c>
      <c r="F52">
        <v>177.51275634765599</v>
      </c>
      <c r="G52" t="s">
        <v>4291</v>
      </c>
    </row>
    <row r="53" spans="1:8">
      <c r="A53" t="s">
        <v>343</v>
      </c>
      <c r="B53" t="str">
        <f>VLOOKUP(A53,MemoryAvailable!A:B,2,FALSE)</f>
        <v>appwe01fedex</v>
      </c>
      <c r="C53" t="s">
        <v>2566</v>
      </c>
      <c r="D53">
        <v>1.0642108354471238</v>
      </c>
      <c r="E53">
        <v>1.9620577749493366</v>
      </c>
      <c r="F53">
        <v>685.04577636718795</v>
      </c>
      <c r="G53" t="s">
        <v>4292</v>
      </c>
    </row>
    <row r="54" spans="1:8">
      <c r="A54" t="s">
        <v>2745</v>
      </c>
      <c r="B54" t="str">
        <f>VLOOKUP(A54,MemoryAvailable!A:B,2,FALSE)</f>
        <v>appwe01mim-uat</v>
      </c>
      <c r="C54" t="s">
        <v>2566</v>
      </c>
      <c r="D54">
        <v>1.0354787898739299</v>
      </c>
      <c r="E54">
        <v>1.8403678108647579</v>
      </c>
      <c r="F54">
        <v>733.04608154296898</v>
      </c>
      <c r="G54" t="s">
        <v>4293</v>
      </c>
    </row>
    <row r="55" spans="1:8">
      <c r="A55" t="s">
        <v>2695</v>
      </c>
      <c r="B55" t="str">
        <f>VLOOKUP(A55,MemoryAvailable!A:B,2,FALSE)</f>
        <v>appwe01mim-prod</v>
      </c>
      <c r="C55" t="s">
        <v>2587</v>
      </c>
      <c r="D55">
        <v>1.0188088615833475</v>
      </c>
      <c r="E55">
        <v>1.7960637737350185</v>
      </c>
      <c r="F55">
        <v>3297.5009765625</v>
      </c>
      <c r="G55" t="s">
        <v>4294</v>
      </c>
      <c r="H55" t="s">
        <v>2697</v>
      </c>
    </row>
    <row r="56" spans="1:8">
      <c r="A56" t="s">
        <v>2676</v>
      </c>
      <c r="B56" t="str">
        <f>VLOOKUP(A56,MemoryAvailable!A:B,2,FALSE)</f>
        <v>appwe01cas-prod</v>
      </c>
      <c r="C56" t="s">
        <v>2566</v>
      </c>
      <c r="D56">
        <v>1.0081699594046463</v>
      </c>
      <c r="E56">
        <v>5.831786245750946</v>
      </c>
      <c r="F56">
        <v>690.72229003906295</v>
      </c>
      <c r="G56" t="s">
        <v>4295</v>
      </c>
    </row>
    <row r="57" spans="1:8">
      <c r="A57" t="s">
        <v>2659</v>
      </c>
      <c r="B57" t="str">
        <f>VLOOKUP(A57,MemoryAvailable!A:B,2,FALSE)</f>
        <v>repwe02ttn-prod</v>
      </c>
      <c r="C57" t="s">
        <v>2587</v>
      </c>
      <c r="D57">
        <v>0.98637734405858513</v>
      </c>
      <c r="E57">
        <v>1.2252028334698004</v>
      </c>
      <c r="F57">
        <v>2408.09350585938</v>
      </c>
      <c r="G57" t="s">
        <v>4296</v>
      </c>
      <c r="H57" t="s">
        <v>2661</v>
      </c>
    </row>
    <row r="58" spans="1:8">
      <c r="A58" t="s">
        <v>642</v>
      </c>
      <c r="B58" t="str">
        <f>VLOOKUP(A58,MemoryAvailable!A:B,2,FALSE)</f>
        <v>dbswe01mysql-prod</v>
      </c>
      <c r="C58" t="s">
        <v>2566</v>
      </c>
      <c r="D58">
        <v>0.96325494152331492</v>
      </c>
      <c r="E58">
        <v>0.56240884856585516</v>
      </c>
      <c r="F58">
        <v>137.53671190201999</v>
      </c>
      <c r="G58" t="s">
        <v>4297</v>
      </c>
    </row>
    <row r="59" spans="1:8">
      <c r="A59" t="s">
        <v>2665</v>
      </c>
      <c r="B59" t="str">
        <f>VLOOKUP(A59,MemoryAvailable!A:B,2,FALSE)</f>
        <v>AZRAPNPS01DVL</v>
      </c>
      <c r="C59" t="s">
        <v>2566</v>
      </c>
      <c r="D59">
        <v>0.95228267226686381</v>
      </c>
      <c r="E59">
        <v>0.88415718703417101</v>
      </c>
      <c r="F59">
        <v>543.02258300781295</v>
      </c>
      <c r="G59" t="s">
        <v>4298</v>
      </c>
    </row>
    <row r="60" spans="1:8">
      <c r="A60" t="s">
        <v>327</v>
      </c>
      <c r="B60" t="str">
        <f>VLOOKUP(A60,MemoryAvailable!A:B,2,FALSE)</f>
        <v>AZRAPRAD01WFI</v>
      </c>
      <c r="C60" t="s">
        <v>2566</v>
      </c>
      <c r="D60">
        <v>0.88837400368521036</v>
      </c>
      <c r="E60">
        <v>1.6666153413852122E-2</v>
      </c>
      <c r="F60">
        <v>2621.9500530168002</v>
      </c>
      <c r="G60" t="s">
        <v>4299</v>
      </c>
    </row>
    <row r="61" spans="1:8">
      <c r="A61" t="s">
        <v>2631</v>
      </c>
      <c r="B61" t="str">
        <f>VLOOKUP(A61,MemoryAvailable!A:B,2,FALSE)</f>
        <v>AZREUTRP01</v>
      </c>
      <c r="C61" t="s">
        <v>2566</v>
      </c>
      <c r="D61">
        <v>0.85148065277800533</v>
      </c>
      <c r="E61">
        <v>1.2004334508526051</v>
      </c>
      <c r="F61">
        <v>370.09918212890602</v>
      </c>
      <c r="G61" t="s">
        <v>4300</v>
      </c>
    </row>
    <row r="62" spans="1:8">
      <c r="A62" t="s">
        <v>2572</v>
      </c>
      <c r="B62" t="str">
        <f>VLOOKUP(A62,MemoryAvailable!A:B,2,FALSE)</f>
        <v>appwe01ttn-uat</v>
      </c>
      <c r="C62" t="s">
        <v>2566</v>
      </c>
      <c r="D62">
        <v>0.84461825840205873</v>
      </c>
      <c r="E62">
        <v>1.7925278604753065</v>
      </c>
      <c r="F62">
        <v>450.63265991210898</v>
      </c>
      <c r="G62" t="s">
        <v>4301</v>
      </c>
    </row>
    <row r="63" spans="1:8">
      <c r="A63" t="s">
        <v>2590</v>
      </c>
      <c r="B63" t="str">
        <f>VLOOKUP(A63,MemoryAvailable!A:B,2,FALSE)</f>
        <v>appwe01ttn-prod</v>
      </c>
      <c r="C63" t="s">
        <v>2587</v>
      </c>
      <c r="D63">
        <v>0.83745231734849157</v>
      </c>
      <c r="E63">
        <v>2.6204146123592071</v>
      </c>
      <c r="F63">
        <v>5848.22265625</v>
      </c>
      <c r="G63" t="s">
        <v>4302</v>
      </c>
      <c r="H63" t="s">
        <v>2592</v>
      </c>
    </row>
    <row r="64" spans="1:8">
      <c r="A64" t="s">
        <v>2726</v>
      </c>
      <c r="B64" t="str">
        <f>VLOOKUP(A64,MemoryAvailable!A:B,2,FALSE)</f>
        <v>dbswe01fp-uat</v>
      </c>
      <c r="C64" t="s">
        <v>2566</v>
      </c>
      <c r="D64">
        <v>0.80235292551890269</v>
      </c>
      <c r="E64">
        <v>1.6866842604450911</v>
      </c>
      <c r="F64">
        <v>961.90148925781295</v>
      </c>
      <c r="G64" t="s">
        <v>4303</v>
      </c>
    </row>
    <row r="65" spans="1:8">
      <c r="A65" t="s">
        <v>2672</v>
      </c>
      <c r="B65" t="str">
        <f>VLOOKUP(A65,MemoryAvailable!A:B,2,FALSE)</f>
        <v>repwe01ttn-prod</v>
      </c>
      <c r="C65" t="s">
        <v>2587</v>
      </c>
      <c r="D65">
        <v>0.78319671965147564</v>
      </c>
      <c r="E65">
        <v>1.1336761910259319</v>
      </c>
      <c r="F65">
        <v>2181.25390625</v>
      </c>
      <c r="G65" t="s">
        <v>4304</v>
      </c>
      <c r="H65" t="s">
        <v>2674</v>
      </c>
    </row>
    <row r="66" spans="1:8">
      <c r="A66" t="s">
        <v>853</v>
      </c>
      <c r="B66" t="str">
        <f>VLOOKUP(A66,MemoryAvailable!A:B,2,FALSE)</f>
        <v>weappfedexprd01</v>
      </c>
      <c r="C66" t="s">
        <v>2566</v>
      </c>
      <c r="D66">
        <v>0.76620144706395055</v>
      </c>
      <c r="E66">
        <v>2.5593114409202635</v>
      </c>
      <c r="F66">
        <v>952.65588378906295</v>
      </c>
      <c r="G66" t="s">
        <v>4305</v>
      </c>
    </row>
    <row r="67" spans="1:8">
      <c r="A67" t="s">
        <v>2740</v>
      </c>
      <c r="B67" t="str">
        <f>VLOOKUP(A67,MemoryAvailable!A:B,2,FALSE)</f>
        <v>appwe02cas-prod</v>
      </c>
      <c r="C67" t="s">
        <v>2566</v>
      </c>
      <c r="D67">
        <v>0.74853353395834887</v>
      </c>
      <c r="E67">
        <v>3.476116547631547</v>
      </c>
      <c r="F67">
        <v>1975.53674316406</v>
      </c>
      <c r="G67" t="s">
        <v>4306</v>
      </c>
    </row>
    <row r="68" spans="1:8">
      <c r="A68" t="s">
        <v>2785</v>
      </c>
      <c r="B68" t="str">
        <f>VLOOKUP(A68,MemoryAvailable!A:B,2,FALSE)</f>
        <v>appus01snmpprod</v>
      </c>
      <c r="C68" t="s">
        <v>2566</v>
      </c>
      <c r="D68">
        <v>0.74749016853915562</v>
      </c>
      <c r="E68">
        <v>1.0615298623840062</v>
      </c>
      <c r="F68">
        <v>61.266201019287102</v>
      </c>
      <c r="G68" t="s">
        <v>4307</v>
      </c>
    </row>
    <row r="69" spans="1:8">
      <c r="A69" t="s">
        <v>2812</v>
      </c>
      <c r="B69" t="str">
        <f>VLOOKUP(A69,MemoryAvailable!A:B,2,FALSE)</f>
        <v>dbswe01cch-prod</v>
      </c>
      <c r="C69" t="s">
        <v>2566</v>
      </c>
      <c r="D69">
        <v>0.74204199673136373</v>
      </c>
      <c r="E69">
        <v>3.2670611454129665</v>
      </c>
      <c r="F69">
        <v>1731.20129394531</v>
      </c>
      <c r="G69" t="s">
        <v>4308</v>
      </c>
    </row>
    <row r="70" spans="1:8">
      <c r="A70" t="s">
        <v>2662</v>
      </c>
      <c r="B70" t="str">
        <f>VLOOKUP(A70,MemoryAvailable!A:B,2,FALSE)</f>
        <v>aznedom31.asia</v>
      </c>
      <c r="C70" t="s">
        <v>2566</v>
      </c>
      <c r="D70">
        <v>0.70809840401574675</v>
      </c>
      <c r="E70">
        <v>2.5218582891632026</v>
      </c>
      <c r="F70">
        <v>321.11166381835898</v>
      </c>
      <c r="G70" t="s">
        <v>4309</v>
      </c>
    </row>
    <row r="71" spans="1:8">
      <c r="A71" t="s">
        <v>2654</v>
      </c>
      <c r="B71" t="str">
        <f>VLOOKUP(A71,MemoryAvailable!A:B,2,FALSE)</f>
        <v>aznedom21</v>
      </c>
      <c r="C71" t="s">
        <v>2566</v>
      </c>
      <c r="D71">
        <v>0.70458942338535935</v>
      </c>
      <c r="E71">
        <v>2.4906403258110839</v>
      </c>
      <c r="F71">
        <v>233.57925415039099</v>
      </c>
      <c r="G71" t="s">
        <v>4310</v>
      </c>
    </row>
    <row r="72" spans="1:8">
      <c r="A72" t="s">
        <v>2759</v>
      </c>
      <c r="B72" t="str">
        <f>VLOOKUP(A72,MemoryAvailable!A:B,2,FALSE)</f>
        <v>dbswe01turk-uat</v>
      </c>
      <c r="C72" t="s">
        <v>2566</v>
      </c>
      <c r="D72">
        <v>0.68753158477250886</v>
      </c>
      <c r="E72">
        <v>2.1764893589553251</v>
      </c>
      <c r="F72">
        <v>425.117431640625</v>
      </c>
      <c r="G72" t="s">
        <v>4311</v>
      </c>
    </row>
    <row r="73" spans="1:8">
      <c r="A73" t="s">
        <v>2830</v>
      </c>
      <c r="B73" t="str">
        <f>VLOOKUP(A73,MemoryAvailable!A:B,2,FALSE)</f>
        <v>azwedom21</v>
      </c>
      <c r="C73" t="s">
        <v>2566</v>
      </c>
      <c r="D73">
        <v>0.67179480169307515</v>
      </c>
      <c r="E73">
        <v>1.1179786633714921</v>
      </c>
      <c r="F73">
        <v>227.69493103027301</v>
      </c>
      <c r="G73" t="s">
        <v>4312</v>
      </c>
    </row>
    <row r="74" spans="1:8">
      <c r="A74" t="s">
        <v>2853</v>
      </c>
      <c r="B74" t="str">
        <f>VLOOKUP(A74,MemoryAvailable!A:B,2,FALSE)</f>
        <v>appwe02mgt-prod</v>
      </c>
      <c r="C74" t="s">
        <v>2566</v>
      </c>
      <c r="D74">
        <v>0.66461307480591725</v>
      </c>
      <c r="E74">
        <v>2.4459085652454982</v>
      </c>
      <c r="F74">
        <v>1035.58154296875</v>
      </c>
      <c r="G74" t="s">
        <v>4313</v>
      </c>
    </row>
    <row r="75" spans="1:8">
      <c r="A75" t="s">
        <v>2823</v>
      </c>
      <c r="B75" t="str">
        <f>VLOOKUP(A75,MemoryAvailable!A:B,2,FALSE)</f>
        <v>azwedom31.asia</v>
      </c>
      <c r="C75" t="s">
        <v>2566</v>
      </c>
      <c r="D75">
        <v>0.66354262915759998</v>
      </c>
      <c r="E75">
        <v>1.1298693907826323</v>
      </c>
      <c r="F75">
        <v>582.97161865234398</v>
      </c>
      <c r="G75" t="s">
        <v>4314</v>
      </c>
    </row>
    <row r="76" spans="1:8">
      <c r="A76" t="s">
        <v>2753</v>
      </c>
      <c r="B76" t="str">
        <f>VLOOKUP(A76,MemoryAvailable!A:B,2,FALSE)</f>
        <v>aznedom41.</v>
      </c>
      <c r="C76" t="s">
        <v>2566</v>
      </c>
      <c r="D76">
        <v>0.6632303390326354</v>
      </c>
      <c r="E76">
        <v>2.4893877652918905</v>
      </c>
      <c r="F76">
        <v>220.21981811523401</v>
      </c>
      <c r="G76" t="s">
        <v>4315</v>
      </c>
    </row>
    <row r="77" spans="1:8">
      <c r="A77" t="s">
        <v>2837</v>
      </c>
      <c r="B77" t="str">
        <f>VLOOKUP(A77,MemoryAvailable!A:B,2,FALSE)</f>
        <v>azwedom41.</v>
      </c>
      <c r="C77" t="s">
        <v>2566</v>
      </c>
      <c r="D77">
        <v>0.65365635433403146</v>
      </c>
      <c r="E77">
        <v>1.1156353684819433</v>
      </c>
      <c r="F77">
        <v>322.78967285156301</v>
      </c>
      <c r="G77" t="s">
        <v>4316</v>
      </c>
    </row>
    <row r="78" spans="1:8">
      <c r="A78" t="s">
        <v>637</v>
      </c>
      <c r="B78" t="str">
        <f>VLOOKUP(A78,MemoryAvailable!A:B,2,FALSE)</f>
        <v>dbswe01cst-prod</v>
      </c>
      <c r="C78" t="s">
        <v>2587</v>
      </c>
      <c r="D78">
        <v>0.65363129657345298</v>
      </c>
      <c r="E78">
        <v>1.6666642871507171E-2</v>
      </c>
      <c r="F78">
        <v>133.03390131492301</v>
      </c>
      <c r="G78" t="s">
        <v>4317</v>
      </c>
      <c r="H78" t="s">
        <v>2880</v>
      </c>
    </row>
    <row r="79" spans="1:8">
      <c r="A79" t="s">
        <v>2704</v>
      </c>
      <c r="B79" t="str">
        <f>VLOOKUP(A79,MemoryAvailable!A:B,2,FALSE)</f>
        <v>aznedom11.uk-eire</v>
      </c>
      <c r="C79" t="s">
        <v>2566</v>
      </c>
      <c r="D79">
        <v>0.63177518896288432</v>
      </c>
      <c r="E79">
        <v>2.4146516450721216</v>
      </c>
      <c r="F79">
        <v>448.52835083007801</v>
      </c>
      <c r="G79" t="s">
        <v>4318</v>
      </c>
    </row>
    <row r="80" spans="1:8">
      <c r="A80" t="s">
        <v>2611</v>
      </c>
      <c r="B80" t="str">
        <f>VLOOKUP(A80,MemoryAvailable!A:B,2,FALSE)</f>
        <v>AZRAPMON02SLW</v>
      </c>
      <c r="C80" t="s">
        <v>2566</v>
      </c>
      <c r="D80">
        <v>0.62441808097665286</v>
      </c>
      <c r="E80">
        <v>2.9324402240079324</v>
      </c>
      <c r="F80">
        <v>1071.18310546875</v>
      </c>
      <c r="G80" t="s">
        <v>4319</v>
      </c>
    </row>
    <row r="81" spans="1:8">
      <c r="A81" t="s">
        <v>2774</v>
      </c>
      <c r="B81" t="str">
        <f>VLOOKUP(A81,MemoryAvailable!A:B,2,FALSE)</f>
        <v>AZREUDEVSLW01</v>
      </c>
      <c r="C81" t="s">
        <v>2566</v>
      </c>
      <c r="D81">
        <v>0.61989268113628282</v>
      </c>
      <c r="E81">
        <v>1.6867108815954464</v>
      </c>
      <c r="F81">
        <v>625.28649902343795</v>
      </c>
      <c r="G81" t="s">
        <v>4320</v>
      </c>
    </row>
    <row r="82" spans="1:8">
      <c r="A82" t="s">
        <v>2862</v>
      </c>
      <c r="B82" t="str">
        <f>VLOOKUP(A82,MemoryAvailable!A:B,2,FALSE)</f>
        <v>azwedom11.uk-eire</v>
      </c>
      <c r="C82" t="s">
        <v>2566</v>
      </c>
      <c r="D82">
        <v>0.61364542630029395</v>
      </c>
      <c r="E82">
        <v>0.9941972362898206</v>
      </c>
      <c r="F82">
        <v>223.10638427734401</v>
      </c>
      <c r="G82" t="s">
        <v>4321</v>
      </c>
    </row>
    <row r="83" spans="1:8">
      <c r="A83" t="s">
        <v>2860</v>
      </c>
      <c r="B83" t="str">
        <f>VLOOKUP(A83,MemoryAvailable!A:B,2,FALSE)</f>
        <v>appwe01dp-prod</v>
      </c>
      <c r="C83" t="s">
        <v>2566</v>
      </c>
      <c r="D83">
        <v>0.61151843543607498</v>
      </c>
      <c r="E83">
        <v>1.8500936729068134</v>
      </c>
      <c r="F83">
        <v>238.37020874023401</v>
      </c>
      <c r="G83" t="s">
        <v>4322</v>
      </c>
    </row>
    <row r="84" spans="1:8">
      <c r="A84" t="s">
        <v>2598</v>
      </c>
      <c r="B84" t="str">
        <f>VLOOKUP(A84,MemoryAvailable!A:B,2,FALSE)</f>
        <v>AZREUMON01SLW</v>
      </c>
      <c r="C84" t="s">
        <v>2566</v>
      </c>
      <c r="D84">
        <v>0.59276600660708434</v>
      </c>
      <c r="E84">
        <v>1.1133556649812173</v>
      </c>
      <c r="F84">
        <v>1132.72265625</v>
      </c>
      <c r="G84" t="s">
        <v>4323</v>
      </c>
    </row>
    <row r="85" spans="1:8">
      <c r="A85" t="s">
        <v>2790</v>
      </c>
      <c r="B85" t="str">
        <f>VLOOKUP(A85,MemoryAvailable!A:B,2,FALSE)</f>
        <v>appwe01snmpprod</v>
      </c>
      <c r="C85" t="s">
        <v>2566</v>
      </c>
      <c r="D85">
        <v>0.59081493832821075</v>
      </c>
      <c r="E85">
        <v>1.0473280853622569</v>
      </c>
      <c r="F85">
        <v>752.37847900390602</v>
      </c>
      <c r="G85" t="s">
        <v>4324</v>
      </c>
    </row>
    <row r="86" spans="1:8">
      <c r="A86" t="s">
        <v>2600</v>
      </c>
      <c r="B86" t="str">
        <f>VLOOKUP(A86,MemoryAvailable!A:B,2,FALSE)</f>
        <v>AZREUUIP04BOT</v>
      </c>
      <c r="C86" t="s">
        <v>2566</v>
      </c>
      <c r="D86">
        <v>0.57951718717469713</v>
      </c>
      <c r="E86">
        <v>2.3906398745105943</v>
      </c>
      <c r="F86">
        <v>391.26712036132801</v>
      </c>
      <c r="G86" t="s">
        <v>4325</v>
      </c>
    </row>
    <row r="87" spans="1:8">
      <c r="A87" t="s">
        <v>2846</v>
      </c>
      <c r="B87" t="str">
        <f>VLOOKUP(A87,MemoryAvailable!A:B,2,FALSE)</f>
        <v>appwe01turk-uat</v>
      </c>
      <c r="C87" t="s">
        <v>2566</v>
      </c>
      <c r="D87">
        <v>0.53371936400089126</v>
      </c>
      <c r="E87">
        <v>2.168493505001948</v>
      </c>
      <c r="F87">
        <v>422.96569824218801</v>
      </c>
      <c r="G87" t="s">
        <v>4326</v>
      </c>
    </row>
    <row r="88" spans="1:8">
      <c r="A88" t="s">
        <v>2851</v>
      </c>
      <c r="B88" t="str">
        <f>VLOOKUP(A88,MemoryAvailable!A:B,2,FALSE)</f>
        <v>AZR80DBS01POL</v>
      </c>
      <c r="C88" t="s">
        <v>2566</v>
      </c>
      <c r="D88">
        <v>0.51961638727364323</v>
      </c>
      <c r="E88">
        <v>1.3904784066979645</v>
      </c>
      <c r="F88">
        <v>369.66561889648398</v>
      </c>
      <c r="G88" t="s">
        <v>4327</v>
      </c>
    </row>
    <row r="89" spans="1:8">
      <c r="A89" t="s">
        <v>2625</v>
      </c>
      <c r="B89" t="str">
        <f>VLOOKUP(A89,MemoryAvailable!A:B,2,FALSE)</f>
        <v>appwe01neo-prod</v>
      </c>
      <c r="C89" t="s">
        <v>2566</v>
      </c>
      <c r="D89">
        <v>0.51585678923438361</v>
      </c>
      <c r="E89">
        <v>0.47172435284977399</v>
      </c>
      <c r="F89">
        <v>2495.20629882813</v>
      </c>
      <c r="G89" t="s">
        <v>4328</v>
      </c>
    </row>
    <row r="90" spans="1:8">
      <c r="A90" t="s">
        <v>2586</v>
      </c>
      <c r="B90" t="str">
        <f>VLOOKUP(A90,MemoryAvailable!A:B,2,FALSE)</f>
        <v>appwe02ttn-prod</v>
      </c>
      <c r="C90" t="s">
        <v>2587</v>
      </c>
      <c r="D90">
        <v>0.51474583933152684</v>
      </c>
      <c r="E90">
        <v>2.5158682703425592</v>
      </c>
      <c r="F90">
        <v>4973.3046875</v>
      </c>
      <c r="G90" t="s">
        <v>4329</v>
      </c>
      <c r="H90" t="s">
        <v>2589</v>
      </c>
    </row>
    <row r="91" spans="1:8">
      <c r="A91" t="s">
        <v>2871</v>
      </c>
      <c r="B91" t="str">
        <f>VLOOKUP(A91,MemoryAvailable!A:B,2,FALSE)</f>
        <v>appea01snmpprod</v>
      </c>
      <c r="C91" t="s">
        <v>2566</v>
      </c>
      <c r="D91">
        <v>0.49593632448423636</v>
      </c>
      <c r="E91">
        <v>1.1129831540037538</v>
      </c>
      <c r="F91">
        <v>78.043624877929702</v>
      </c>
      <c r="G91" t="s">
        <v>4330</v>
      </c>
    </row>
    <row r="92" spans="1:8">
      <c r="A92" t="s">
        <v>415</v>
      </c>
      <c r="B92" t="e">
        <f>VLOOKUP(A92,MemoryAvailable!A:B,2,FALSE)</f>
        <v>#N/A</v>
      </c>
      <c r="C92" t="s">
        <v>2587</v>
      </c>
      <c r="D92">
        <v>0.49253274194672719</v>
      </c>
      <c r="E92">
        <v>0.21667292883570799</v>
      </c>
      <c r="F92">
        <v>17.4594179979029</v>
      </c>
      <c r="G92" t="s">
        <v>4331</v>
      </c>
      <c r="H92" t="s">
        <v>2748</v>
      </c>
    </row>
    <row r="93" spans="1:8">
      <c r="A93" t="s">
        <v>2680</v>
      </c>
      <c r="B93" t="str">
        <f>VLOOKUP(A93,MemoryAvailable!A:B,2,FALSE)</f>
        <v>appwe01mgt-prod</v>
      </c>
      <c r="C93" t="s">
        <v>2566</v>
      </c>
      <c r="D93">
        <v>0.48914328349074865</v>
      </c>
      <c r="E93">
        <v>1.2876927817964257</v>
      </c>
      <c r="F93">
        <v>1023.19738769531</v>
      </c>
      <c r="G93" t="s">
        <v>4332</v>
      </c>
    </row>
    <row r="94" spans="1:8">
      <c r="A94" t="s">
        <v>2576</v>
      </c>
      <c r="B94" t="str">
        <f>VLOOKUP(A94,MemoryAvailable!A:B,2,FALSE)</f>
        <v>appwe01ttn-test</v>
      </c>
      <c r="C94" t="s">
        <v>2566</v>
      </c>
      <c r="D94">
        <v>0.45881524561762704</v>
      </c>
      <c r="E94">
        <v>1.2664178468939484</v>
      </c>
      <c r="F94">
        <v>663.91851806640602</v>
      </c>
      <c r="G94" t="s">
        <v>4333</v>
      </c>
    </row>
    <row r="95" spans="1:8">
      <c r="A95" t="s">
        <v>855</v>
      </c>
      <c r="B95" t="str">
        <f>VLOOKUP(A95,MemoryAvailable!A:B,2,FALSE)</f>
        <v>weappfedexprd02</v>
      </c>
      <c r="C95" t="s">
        <v>2566</v>
      </c>
      <c r="D95">
        <v>0.45334575156801971</v>
      </c>
      <c r="E95">
        <v>2.2308178691188361</v>
      </c>
      <c r="F95">
        <v>878.18518066406295</v>
      </c>
      <c r="G95" t="s">
        <v>4334</v>
      </c>
    </row>
    <row r="96" spans="1:8">
      <c r="A96" t="s">
        <v>2621</v>
      </c>
      <c r="B96" t="str">
        <f>VLOOKUP(A96,MemoryAvailable!A:B,2,FALSE)</f>
        <v>AZREUINC02</v>
      </c>
      <c r="C96" t="s">
        <v>2566</v>
      </c>
      <c r="D96">
        <v>0.43541440893424643</v>
      </c>
      <c r="E96">
        <v>0.78603618144541654</v>
      </c>
      <c r="F96">
        <v>997.94396972656295</v>
      </c>
      <c r="G96" t="s">
        <v>4335</v>
      </c>
    </row>
    <row r="97" spans="1:8">
      <c r="A97" t="s">
        <v>2887</v>
      </c>
      <c r="B97" t="str">
        <f>VLOOKUP(A97,MemoryAvailable!A:B,2,FALSE)</f>
        <v>appwe01dp-uat</v>
      </c>
      <c r="C97" t="s">
        <v>2566</v>
      </c>
      <c r="D97">
        <v>0.4274837119218397</v>
      </c>
      <c r="E97">
        <v>2.35652945647211</v>
      </c>
      <c r="F97">
        <v>232.86003112793</v>
      </c>
      <c r="G97" t="s">
        <v>4336</v>
      </c>
    </row>
    <row r="98" spans="1:8">
      <c r="A98" t="s">
        <v>2637</v>
      </c>
      <c r="B98" t="str">
        <f>VLOOKUP(A98,MemoryAvailable!A:B,2,FALSE)</f>
        <v>AZREUNPS02AUT</v>
      </c>
      <c r="C98" t="s">
        <v>2566</v>
      </c>
      <c r="D98">
        <v>0.41347325842880278</v>
      </c>
      <c r="E98">
        <v>0.57790769489224658</v>
      </c>
      <c r="F98">
        <v>1327.97534179688</v>
      </c>
      <c r="G98" t="s">
        <v>4337</v>
      </c>
    </row>
    <row r="99" spans="1:8">
      <c r="A99" t="s">
        <v>2578</v>
      </c>
      <c r="B99" t="str">
        <f>VLOOKUP(A99,MemoryAvailable!A:B,2,FALSE)</f>
        <v>AZREUMON03SLW</v>
      </c>
      <c r="C99" t="s">
        <v>2566</v>
      </c>
      <c r="D99">
        <v>0.41232698697392101</v>
      </c>
      <c r="E99">
        <v>0.91651564620522596</v>
      </c>
      <c r="F99">
        <v>723.23590087890602</v>
      </c>
      <c r="G99" t="s">
        <v>4338</v>
      </c>
    </row>
    <row r="100" spans="1:8">
      <c r="A100" t="s">
        <v>2582</v>
      </c>
      <c r="B100" t="str">
        <f>VLOOKUP(A100,MemoryAvailable!A:B,2,FALSE)</f>
        <v>AZRUSMON02SLW</v>
      </c>
      <c r="C100" t="s">
        <v>2566</v>
      </c>
      <c r="D100">
        <v>0.40782648923007908</v>
      </c>
      <c r="E100">
        <v>2.8962210149060739</v>
      </c>
      <c r="F100">
        <v>510.08407592773398</v>
      </c>
      <c r="G100" t="s">
        <v>4339</v>
      </c>
    </row>
    <row r="101" spans="1:8">
      <c r="A101" t="s">
        <v>2607</v>
      </c>
      <c r="B101" t="str">
        <f>VLOOKUP(A101,MemoryAvailable!A:B,2,FALSE)</f>
        <v>appwe01srm</v>
      </c>
      <c r="C101" t="s">
        <v>2566</v>
      </c>
      <c r="D101">
        <v>0.40018632770037815</v>
      </c>
      <c r="E101">
        <v>1.5049247658637266</v>
      </c>
      <c r="F101">
        <v>193.51496887207</v>
      </c>
      <c r="G101" t="s">
        <v>4340</v>
      </c>
    </row>
    <row r="102" spans="1:8">
      <c r="A102" t="s">
        <v>2763</v>
      </c>
      <c r="B102" t="str">
        <f>VLOOKUP(A102,MemoryAvailable!A:B,2,FALSE)</f>
        <v>appwe01cch-prod</v>
      </c>
      <c r="C102" t="s">
        <v>2587</v>
      </c>
      <c r="D102">
        <v>0.39708028909804066</v>
      </c>
      <c r="E102">
        <v>3.2509764651057407</v>
      </c>
      <c r="F102">
        <v>286.48736572265602</v>
      </c>
      <c r="G102" t="s">
        <v>4341</v>
      </c>
      <c r="H102" t="s">
        <v>2765</v>
      </c>
    </row>
    <row r="103" spans="1:8">
      <c r="A103" t="s">
        <v>2580</v>
      </c>
      <c r="B103" t="str">
        <f>VLOOKUP(A103,MemoryAvailable!A:B,2,FALSE)</f>
        <v>AZREUMON05SLW</v>
      </c>
      <c r="C103" t="s">
        <v>2566</v>
      </c>
      <c r="D103">
        <v>0.39664831923996746</v>
      </c>
      <c r="E103">
        <v>0.89903811686647506</v>
      </c>
      <c r="F103">
        <v>713.095703125</v>
      </c>
      <c r="G103" t="s">
        <v>4342</v>
      </c>
    </row>
    <row r="104" spans="1:8">
      <c r="A104" t="s">
        <v>2613</v>
      </c>
      <c r="B104" t="str">
        <f>VLOOKUP(A104,MemoryAvailable!A:B,2,FALSE)</f>
        <v>AZRAPMON01SLW</v>
      </c>
      <c r="C104" t="s">
        <v>2566</v>
      </c>
      <c r="D104">
        <v>0.39497409096269764</v>
      </c>
      <c r="E104">
        <v>2.9131615623623626</v>
      </c>
      <c r="F104">
        <v>725.62664794921898</v>
      </c>
      <c r="G104" t="s">
        <v>4343</v>
      </c>
    </row>
    <row r="105" spans="1:8">
      <c r="A105" t="s">
        <v>2602</v>
      </c>
      <c r="B105" t="str">
        <f>VLOOKUP(A105,MemoryAvailable!A:B,2,FALSE)</f>
        <v>AZRUSMON01SLW</v>
      </c>
      <c r="C105" t="s">
        <v>2566</v>
      </c>
      <c r="D105">
        <v>0.38703848975523497</v>
      </c>
      <c r="E105">
        <v>2.8854522964364233</v>
      </c>
      <c r="F105">
        <v>468.74649047851602</v>
      </c>
      <c r="G105" t="s">
        <v>4344</v>
      </c>
    </row>
    <row r="106" spans="1:8">
      <c r="A106" t="s">
        <v>2609</v>
      </c>
      <c r="B106" t="str">
        <f>VLOOKUP(A106,MemoryAvailable!A:B,2,FALSE)</f>
        <v>AZRUSMON05SLW</v>
      </c>
      <c r="C106" t="s">
        <v>2566</v>
      </c>
      <c r="D106">
        <v>0.38555882452800078</v>
      </c>
      <c r="E106">
        <v>2.9044294455543525</v>
      </c>
      <c r="F106">
        <v>782.58587646484398</v>
      </c>
      <c r="G106" t="s">
        <v>4345</v>
      </c>
    </row>
    <row r="107" spans="1:8">
      <c r="A107" t="s">
        <v>2584</v>
      </c>
      <c r="B107" t="str">
        <f>VLOOKUP(A107,MemoryAvailable!A:B,2,FALSE)</f>
        <v>AZREUMON04SLW</v>
      </c>
      <c r="C107" t="s">
        <v>2566</v>
      </c>
      <c r="D107">
        <v>0.38234375331374931</v>
      </c>
      <c r="E107">
        <v>0.88829612940388114</v>
      </c>
      <c r="F107">
        <v>772.07165527343795</v>
      </c>
      <c r="G107" t="s">
        <v>4346</v>
      </c>
    </row>
    <row r="108" spans="1:8">
      <c r="A108" t="s">
        <v>2693</v>
      </c>
      <c r="B108" t="str">
        <f>VLOOKUP(A108,MemoryAvailable!A:B,2,FALSE)</f>
        <v>AZREUUIP05BOT</v>
      </c>
      <c r="C108" t="s">
        <v>2566</v>
      </c>
      <c r="D108">
        <v>0.38076076599915543</v>
      </c>
      <c r="E108">
        <v>0.62145348570563586</v>
      </c>
      <c r="F108">
        <v>533.46075439453102</v>
      </c>
      <c r="G108" t="s">
        <v>4347</v>
      </c>
    </row>
    <row r="109" spans="1:8">
      <c r="A109" t="s">
        <v>2802</v>
      </c>
      <c r="B109" t="str">
        <f>VLOOKUP(A109,MemoryAvailable!A:B,2,FALSE)</f>
        <v>appwe01fin-test</v>
      </c>
      <c r="C109" t="s">
        <v>2566</v>
      </c>
      <c r="D109">
        <v>0.38055824629217277</v>
      </c>
      <c r="E109">
        <v>0.63690317419142883</v>
      </c>
      <c r="F109">
        <v>2115.6572265625</v>
      </c>
      <c r="G109" t="s">
        <v>4348</v>
      </c>
    </row>
    <row r="110" spans="1:8">
      <c r="A110" t="s">
        <v>2574</v>
      </c>
      <c r="B110" t="str">
        <f>VLOOKUP(A110,MemoryAvailable!A:B,2,FALSE)</f>
        <v>AZREUMON02SLW</v>
      </c>
      <c r="C110" t="s">
        <v>2566</v>
      </c>
      <c r="D110">
        <v>0.37302225279854867</v>
      </c>
      <c r="E110">
        <v>0.90001322734390088</v>
      </c>
      <c r="F110">
        <v>793.58605957031295</v>
      </c>
      <c r="G110" t="s">
        <v>4349</v>
      </c>
    </row>
    <row r="111" spans="1:8">
      <c r="A111" t="s">
        <v>2604</v>
      </c>
      <c r="B111" t="str">
        <f>VLOOKUP(A111,MemoryAvailable!A:B,2,FALSE)</f>
        <v>AZRUSMON04SLW</v>
      </c>
      <c r="C111" t="s">
        <v>2566</v>
      </c>
      <c r="D111">
        <v>0.3708032208809221</v>
      </c>
      <c r="E111">
        <v>2.8739145425857773</v>
      </c>
      <c r="F111">
        <v>632.96026611328102</v>
      </c>
      <c r="G111" t="s">
        <v>4350</v>
      </c>
    </row>
    <row r="112" spans="1:8">
      <c r="A112" t="s">
        <v>2629</v>
      </c>
      <c r="B112" t="str">
        <f>VLOOKUP(A112,MemoryAvailable!A:B,2,FALSE)</f>
        <v>AZRAPMON03SLW</v>
      </c>
      <c r="C112" t="s">
        <v>2566</v>
      </c>
      <c r="D112">
        <v>0.37045441393240702</v>
      </c>
      <c r="E112">
        <v>2.8229631073761734</v>
      </c>
      <c r="F112">
        <v>789.10809326171898</v>
      </c>
      <c r="G112" t="s">
        <v>4351</v>
      </c>
    </row>
    <row r="113" spans="1:8">
      <c r="A113" t="s">
        <v>2565</v>
      </c>
      <c r="B113" t="str">
        <f>VLOOKUP(A113,MemoryAvailable!A:B,2,FALSE)</f>
        <v>AZREUMON06SLW</v>
      </c>
      <c r="C113" t="s">
        <v>2566</v>
      </c>
      <c r="D113">
        <v>0.36482218089393287</v>
      </c>
      <c r="E113">
        <v>0.88203255456224194</v>
      </c>
      <c r="F113">
        <v>801.99475097656295</v>
      </c>
      <c r="G113" t="s">
        <v>4352</v>
      </c>
    </row>
    <row r="114" spans="1:8">
      <c r="A114" t="s">
        <v>2814</v>
      </c>
      <c r="B114" t="str">
        <f>VLOOKUP(A114,MemoryAvailable!A:B,2,FALSE)</f>
        <v>appwe02piv-prod</v>
      </c>
      <c r="C114" t="s">
        <v>2566</v>
      </c>
      <c r="D114">
        <v>0.36402284860786321</v>
      </c>
      <c r="E114">
        <v>2.1447330854387605</v>
      </c>
      <c r="F114">
        <v>259.63732910156301</v>
      </c>
      <c r="G114" t="s">
        <v>4353</v>
      </c>
    </row>
    <row r="115" spans="1:8">
      <c r="A115" t="s">
        <v>2819</v>
      </c>
      <c r="B115" t="str">
        <f>VLOOKUP(A115,MemoryAvailable!A:B,2,FALSE)</f>
        <v>appwe01samrm</v>
      </c>
      <c r="C115" t="s">
        <v>2566</v>
      </c>
      <c r="D115">
        <v>0.36243232363816286</v>
      </c>
      <c r="E115">
        <v>2.3898706308372839</v>
      </c>
      <c r="F115">
        <v>545.31817626953102</v>
      </c>
      <c r="G115" t="s">
        <v>4354</v>
      </c>
    </row>
    <row r="116" spans="1:8">
      <c r="A116" t="s">
        <v>2793</v>
      </c>
      <c r="B116" t="str">
        <f>VLOOKUP(A116,MemoryAvailable!A:B,2,FALSE)</f>
        <v>appwe01piv-prod</v>
      </c>
      <c r="C116" t="s">
        <v>2566</v>
      </c>
      <c r="D116">
        <v>0.34916279276408663</v>
      </c>
      <c r="E116">
        <v>2.1615986718142914</v>
      </c>
      <c r="F116">
        <v>223.19683837890599</v>
      </c>
      <c r="G116" t="s">
        <v>4355</v>
      </c>
    </row>
    <row r="117" spans="1:8">
      <c r="A117" t="s">
        <v>2756</v>
      </c>
      <c r="B117" t="str">
        <f>VLOOKUP(A117,MemoryAvailable!A:B,2,FALSE)</f>
        <v>secwe01traps</v>
      </c>
      <c r="C117" t="s">
        <v>2566</v>
      </c>
      <c r="D117">
        <v>0.33993014518214637</v>
      </c>
      <c r="E117">
        <v>2.1882980398018859</v>
      </c>
      <c r="F117">
        <v>948.23626708984398</v>
      </c>
      <c r="G117" t="s">
        <v>4356</v>
      </c>
    </row>
    <row r="118" spans="1:8">
      <c r="A118" t="s">
        <v>2806</v>
      </c>
      <c r="B118" t="str">
        <f>VLOOKUP(A118,MemoryAvailable!A:B,2,FALSE)</f>
        <v>appwe03piv-prod</v>
      </c>
      <c r="C118" t="s">
        <v>2566</v>
      </c>
      <c r="D118">
        <v>0.33841302980870469</v>
      </c>
      <c r="E118">
        <v>2.1451068529556201</v>
      </c>
      <c r="F118">
        <v>746.73712158203102</v>
      </c>
      <c r="G118" t="s">
        <v>4357</v>
      </c>
    </row>
    <row r="119" spans="1:8">
      <c r="A119" t="s">
        <v>2808</v>
      </c>
      <c r="B119" t="str">
        <f>VLOOKUP(A119,MemoryAvailable!A:B,2,FALSE)</f>
        <v>appwe04piv-prod</v>
      </c>
      <c r="C119" t="s">
        <v>2566</v>
      </c>
      <c r="D119">
        <v>0.32680175231963626</v>
      </c>
      <c r="E119">
        <v>2.161854579435857</v>
      </c>
      <c r="F119">
        <v>198.08207702636699</v>
      </c>
      <c r="G119" t="s">
        <v>4358</v>
      </c>
    </row>
    <row r="120" spans="1:8">
      <c r="A120" t="s">
        <v>2865</v>
      </c>
      <c r="B120" t="str">
        <f>VLOOKUP(A120,MemoryAvailable!A:B,2,FALSE)</f>
        <v>appwe01snow-uat</v>
      </c>
      <c r="C120" t="s">
        <v>2566</v>
      </c>
      <c r="D120">
        <v>0.31927171645033969</v>
      </c>
      <c r="E120">
        <v>1.5739666344698777</v>
      </c>
      <c r="F120">
        <v>43.1093940734863</v>
      </c>
      <c r="G120" t="s">
        <v>4359</v>
      </c>
    </row>
    <row r="121" spans="1:8">
      <c r="A121" t="s">
        <v>2821</v>
      </c>
      <c r="B121" t="str">
        <f>VLOOKUP(A121,MemoryAvailable!A:B,2,FALSE)</f>
        <v>appwe01dp-dev</v>
      </c>
      <c r="C121" t="s">
        <v>2566</v>
      </c>
      <c r="D121">
        <v>0.3078720381112362</v>
      </c>
      <c r="E121">
        <v>2.3097992131717144</v>
      </c>
      <c r="F121">
        <v>582.72808837890602</v>
      </c>
      <c r="G121" t="s">
        <v>4360</v>
      </c>
    </row>
    <row r="122" spans="1:8">
      <c r="A122" t="s">
        <v>2857</v>
      </c>
      <c r="B122" t="str">
        <f>VLOOKUP(A122,MemoryAvailable!A:B,2,FALSE)</f>
        <v>appwe01canon-prod</v>
      </c>
      <c r="C122" t="s">
        <v>2587</v>
      </c>
      <c r="D122">
        <v>0.30287972014577419</v>
      </c>
      <c r="E122">
        <v>1.5657643543521242</v>
      </c>
      <c r="F122">
        <v>502.38406372070301</v>
      </c>
      <c r="G122" t="s">
        <v>4361</v>
      </c>
      <c r="H122" t="s">
        <v>2859</v>
      </c>
    </row>
    <row r="123" spans="1:8">
      <c r="A123" t="s">
        <v>2699</v>
      </c>
      <c r="B123" t="str">
        <f>VLOOKUP(A123,MemoryAvailable!A:B,2,FALSE)</f>
        <v>appwe03ttn-prod</v>
      </c>
      <c r="C123" t="s">
        <v>2587</v>
      </c>
      <c r="D123">
        <v>0.29777435585048462</v>
      </c>
      <c r="E123">
        <v>2.3885550150281367</v>
      </c>
      <c r="F123">
        <v>258.655517578125</v>
      </c>
      <c r="G123" t="s">
        <v>4362</v>
      </c>
      <c r="H123" t="s">
        <v>2701</v>
      </c>
    </row>
    <row r="124" spans="1:8">
      <c r="A124" t="s">
        <v>2804</v>
      </c>
      <c r="B124" t="str">
        <f>VLOOKUP(A124,MemoryAvailable!A:B,2,FALSE)</f>
        <v>appwe05piv-prod</v>
      </c>
      <c r="C124" t="s">
        <v>2566</v>
      </c>
      <c r="D124">
        <v>0.29765519234912646</v>
      </c>
      <c r="E124">
        <v>2.1428191297181587</v>
      </c>
      <c r="F124">
        <v>108.83211517334</v>
      </c>
      <c r="G124" t="s">
        <v>4363</v>
      </c>
    </row>
    <row r="125" spans="1:8">
      <c r="A125" t="s">
        <v>652</v>
      </c>
      <c r="B125" t="str">
        <f>VLOOKUP(A125,MemoryAvailable!A:B,2,FALSE)</f>
        <v>dbswe01mysql-uat</v>
      </c>
      <c r="C125" t="s">
        <v>2587</v>
      </c>
      <c r="D125">
        <v>0.29240321567014227</v>
      </c>
      <c r="E125">
        <v>3.3334110355997162E-2</v>
      </c>
      <c r="F125">
        <v>129.545633608283</v>
      </c>
      <c r="G125" t="s">
        <v>4364</v>
      </c>
      <c r="H125" t="s">
        <v>2782</v>
      </c>
    </row>
    <row r="126" spans="1:8">
      <c r="A126" t="s">
        <v>508</v>
      </c>
      <c r="B126" t="str">
        <f>VLOOKUP(A126,MemoryAvailable!A:B,2,FALSE)</f>
        <v>appwe02ewifi-prod</v>
      </c>
      <c r="C126" t="s">
        <v>2566</v>
      </c>
      <c r="D126">
        <v>0.29021904739215748</v>
      </c>
      <c r="E126">
        <v>1.5768372063304531E-2</v>
      </c>
      <c r="F126">
        <v>2746.58202592526</v>
      </c>
      <c r="G126" t="s">
        <v>4365</v>
      </c>
    </row>
    <row r="127" spans="1:8">
      <c r="A127" t="s">
        <v>2633</v>
      </c>
      <c r="B127" t="str">
        <f>VLOOKUP(A127,MemoryAvailable!A:B,2,FALSE)</f>
        <v>AZREUINC01</v>
      </c>
      <c r="C127" t="s">
        <v>2566</v>
      </c>
      <c r="D127">
        <v>0.27738646466088868</v>
      </c>
      <c r="E127">
        <v>2.2254290546400313</v>
      </c>
      <c r="F127">
        <v>783.0380859375</v>
      </c>
      <c r="G127" t="s">
        <v>4366</v>
      </c>
    </row>
    <row r="128" spans="1:8">
      <c r="A128" t="s">
        <v>449</v>
      </c>
      <c r="B128" t="str">
        <f>VLOOKUP(A128,MemoryAvailable!A:B,2,FALSE)</f>
        <v>appwe01ewifi-prod</v>
      </c>
      <c r="C128" t="s">
        <v>2566</v>
      </c>
      <c r="D128">
        <v>0.27115458786395907</v>
      </c>
      <c r="F128">
        <v>3679.5668703829001</v>
      </c>
      <c r="G128" t="s">
        <v>4367</v>
      </c>
    </row>
    <row r="129" spans="1:7">
      <c r="A129" t="s">
        <v>2810</v>
      </c>
      <c r="B129" t="str">
        <f>VLOOKUP(A129,MemoryAvailable!A:B,2,FALSE)</f>
        <v>dbswe01turk-prd</v>
      </c>
      <c r="C129" t="s">
        <v>2566</v>
      </c>
      <c r="D129">
        <v>0.25133919935688742</v>
      </c>
      <c r="E129">
        <v>1.6870720754730471</v>
      </c>
      <c r="F129">
        <v>66.687034606933594</v>
      </c>
      <c r="G129" t="s">
        <v>4368</v>
      </c>
    </row>
    <row r="130" spans="1:7">
      <c r="A130" t="s">
        <v>2783</v>
      </c>
      <c r="B130" t="str">
        <f>VLOOKUP(A130,MemoryAvailable!A:B,2,FALSE)</f>
        <v>AZREUDEVNPS01</v>
      </c>
      <c r="C130" t="s">
        <v>2566</v>
      </c>
      <c r="D130">
        <v>0.2475183490202644</v>
      </c>
      <c r="E130">
        <v>0.62205794754229315</v>
      </c>
      <c r="F130">
        <v>467.53677368164102</v>
      </c>
      <c r="G130" t="s">
        <v>4369</v>
      </c>
    </row>
    <row r="131" spans="1:7">
      <c r="A131" t="s">
        <v>2868</v>
      </c>
      <c r="B131" t="str">
        <f>VLOOKUP(A131,MemoryAvailable!A:B,2,FALSE)</f>
        <v>appwe01adm-prod</v>
      </c>
      <c r="C131" t="s">
        <v>2566</v>
      </c>
      <c r="D131">
        <v>0.23870659271258118</v>
      </c>
      <c r="E131">
        <v>1.9325525112992934</v>
      </c>
      <c r="F131">
        <v>1037.73681640625</v>
      </c>
      <c r="G131" t="s">
        <v>4370</v>
      </c>
    </row>
    <row r="132" spans="1:7">
      <c r="A132" t="s">
        <v>2849</v>
      </c>
      <c r="B132" t="str">
        <f>VLOOKUP(A132,MemoryAvailable!A:B,2,FALSE)</f>
        <v>appwe01turk-prd</v>
      </c>
      <c r="C132" t="s">
        <v>2566</v>
      </c>
      <c r="D132">
        <v>0.23861037501298152</v>
      </c>
      <c r="E132">
        <v>1.2418599066948759</v>
      </c>
      <c r="F132">
        <v>375.06301879882801</v>
      </c>
      <c r="G132" t="s">
        <v>4371</v>
      </c>
    </row>
    <row r="133" spans="1:7">
      <c r="A133" t="s">
        <v>2649</v>
      </c>
      <c r="B133" t="str">
        <f>VLOOKUP(A133,MemoryAvailable!A:B,2,FALSE)</f>
        <v>appwe04neo-prod</v>
      </c>
      <c r="C133" t="s">
        <v>2566</v>
      </c>
      <c r="D133">
        <v>0.22958218973181158</v>
      </c>
      <c r="E133">
        <v>0.69117778263432572</v>
      </c>
      <c r="F133">
        <v>1056.94653320313</v>
      </c>
      <c r="G133" t="s">
        <v>4372</v>
      </c>
    </row>
    <row r="134" spans="1:7">
      <c r="A134" t="s">
        <v>2881</v>
      </c>
      <c r="B134" t="str">
        <f>VLOOKUP(A134,MemoryAvailable!A:B,2,FALSE)</f>
        <v>solrvmuat0</v>
      </c>
      <c r="C134" t="s">
        <v>2566</v>
      </c>
      <c r="D134">
        <v>0.21963351803041317</v>
      </c>
      <c r="E134">
        <v>1.031883702406823</v>
      </c>
      <c r="F134">
        <v>261.02200317382801</v>
      </c>
      <c r="G134" t="s">
        <v>4373</v>
      </c>
    </row>
    <row r="135" spans="1:7">
      <c r="A135" t="s">
        <v>2798</v>
      </c>
      <c r="B135" t="str">
        <f>VLOOKUP(A135,MemoryAvailable!A:B,2,FALSE)</f>
        <v>AZREUUIP02ORC</v>
      </c>
      <c r="C135" t="s">
        <v>2566</v>
      </c>
      <c r="D135">
        <v>0.18785747227080218</v>
      </c>
      <c r="E135">
        <v>0.56893382361308531</v>
      </c>
      <c r="F135">
        <v>502.81158447265602</v>
      </c>
      <c r="G135" t="s">
        <v>4374</v>
      </c>
    </row>
    <row r="136" spans="1:7">
      <c r="A136" t="s">
        <v>2883</v>
      </c>
      <c r="B136" t="str">
        <f>VLOOKUP(A136,MemoryAvailable!A:B,2,FALSE)</f>
        <v>appne01snow-uat</v>
      </c>
      <c r="C136" t="s">
        <v>2566</v>
      </c>
      <c r="D136">
        <v>0.1804623689295991</v>
      </c>
      <c r="E136">
        <v>1.2519850910765442</v>
      </c>
      <c r="F136">
        <v>183.96575927734401</v>
      </c>
      <c r="G136" t="s">
        <v>4375</v>
      </c>
    </row>
    <row r="137" spans="1:7">
      <c r="A137" t="s">
        <v>2817</v>
      </c>
      <c r="B137" t="str">
        <f>VLOOKUP(A137,MemoryAvailable!A:B,2,FALSE)</f>
        <v>appwe01dp-test</v>
      </c>
      <c r="C137" t="s">
        <v>2566</v>
      </c>
      <c r="D137">
        <v>0.17728139932776504</v>
      </c>
      <c r="E137">
        <v>0.76999083851199135</v>
      </c>
      <c r="F137">
        <v>17.0879421234131</v>
      </c>
      <c r="G137" t="s">
        <v>4376</v>
      </c>
    </row>
    <row r="138" spans="1:7">
      <c r="A138" t="s">
        <v>2709</v>
      </c>
      <c r="B138" t="str">
        <f>VLOOKUP(A138,MemoryAvailable!A:B,2,FALSE)</f>
        <v>appwe03neo-prod</v>
      </c>
      <c r="C138" t="s">
        <v>2566</v>
      </c>
      <c r="D138">
        <v>0.17518660727733296</v>
      </c>
      <c r="E138">
        <v>0.44363157341813775</v>
      </c>
      <c r="F138">
        <v>1102.1474609375</v>
      </c>
      <c r="G138" t="s">
        <v>4377</v>
      </c>
    </row>
    <row r="139" spans="1:7">
      <c r="A139" t="s">
        <v>2876</v>
      </c>
      <c r="B139" t="str">
        <f>VLOOKUP(A139,MemoryAvailable!A:B,2,FALSE)</f>
        <v>solrvmpoc0</v>
      </c>
      <c r="C139" t="s">
        <v>2566</v>
      </c>
      <c r="D139">
        <v>0.16756689252113091</v>
      </c>
      <c r="E139">
        <v>1.4740271636802678</v>
      </c>
      <c r="F139">
        <v>77.921775817871094</v>
      </c>
      <c r="G139" t="s">
        <v>4378</v>
      </c>
    </row>
    <row r="140" spans="1:7">
      <c r="A140" t="s">
        <v>352</v>
      </c>
      <c r="B140" t="str">
        <f>VLOOKUP(A140,MemoryAvailable!A:B,2,FALSE)</f>
        <v>AZREUDEVRAD01</v>
      </c>
      <c r="C140" t="s">
        <v>2566</v>
      </c>
      <c r="D140">
        <v>0.14214230713424275</v>
      </c>
      <c r="E140">
        <v>6.671608887624278E-2</v>
      </c>
      <c r="F140">
        <v>86.176542007020004</v>
      </c>
      <c r="G140" t="s">
        <v>4379</v>
      </c>
    </row>
    <row r="141" spans="1:7">
      <c r="A141" t="s">
        <v>615</v>
      </c>
      <c r="B141" t="str">
        <f>VLOOKUP(A141,MemoryAvailable!A:B,2,FALSE)</f>
        <v>cyclops-test</v>
      </c>
      <c r="C141" t="s">
        <v>2566</v>
      </c>
      <c r="D141">
        <v>0.13955836125459845</v>
      </c>
      <c r="E141">
        <v>0.37637269561163067</v>
      </c>
      <c r="F141">
        <v>543.68206787109398</v>
      </c>
      <c r="G141" t="s">
        <v>4380</v>
      </c>
    </row>
    <row r="142" spans="1:7">
      <c r="A142" t="s">
        <v>425</v>
      </c>
      <c r="B142" t="str">
        <f>VLOOKUP(A142,MemoryAvailable!A:B,2,FALSE)</f>
        <v>appwe01cannon</v>
      </c>
      <c r="C142" t="s">
        <v>2566</v>
      </c>
      <c r="D142">
        <v>0.13493417550586409</v>
      </c>
      <c r="E142">
        <v>0.42917179228788704</v>
      </c>
      <c r="F142">
        <v>385.37066650390602</v>
      </c>
      <c r="G142" t="s">
        <v>4381</v>
      </c>
    </row>
    <row r="143" spans="1:7">
      <c r="A143" t="s">
        <v>2826</v>
      </c>
      <c r="B143" t="str">
        <f>VLOOKUP(A143,MemoryAvailable!A:B,2,FALSE)</f>
        <v>AZREUNPS03ALW</v>
      </c>
      <c r="C143" t="s">
        <v>2566</v>
      </c>
      <c r="D143">
        <v>0.12487539925027144</v>
      </c>
      <c r="E143">
        <v>0.42570084249795737</v>
      </c>
      <c r="F143">
        <v>450.60906982421898</v>
      </c>
      <c r="G143" t="s">
        <v>4382</v>
      </c>
    </row>
    <row r="144" spans="1:7">
      <c r="A144" t="s">
        <v>2641</v>
      </c>
      <c r="B144" t="str">
        <f>VLOOKUP(A144,MemoryAvailable!A:B,2,FALSE)</f>
        <v>appwe02neo-prod</v>
      </c>
      <c r="C144" t="s">
        <v>2566</v>
      </c>
      <c r="D144">
        <v>0.10325737516158617</v>
      </c>
      <c r="E144">
        <v>0.37664784907300758</v>
      </c>
      <c r="F144">
        <v>746.704345703125</v>
      </c>
      <c r="G144" t="s">
        <v>4383</v>
      </c>
    </row>
    <row r="145" spans="1:8">
      <c r="A145" t="s">
        <v>565</v>
      </c>
      <c r="B145" t="str">
        <f>VLOOKUP(A145,MemoryAvailable!A:B,2,FALSE)</f>
        <v>AZREUODL01</v>
      </c>
      <c r="C145" t="s">
        <v>2566</v>
      </c>
      <c r="D145">
        <v>0.10300672058468296</v>
      </c>
      <c r="E145">
        <v>0.11666310909300819</v>
      </c>
      <c r="F145">
        <v>15.066633872380301</v>
      </c>
      <c r="G145" t="s">
        <v>4384</v>
      </c>
    </row>
    <row r="146" spans="1:8">
      <c r="A146" t="s">
        <v>2772</v>
      </c>
      <c r="B146" t="str">
        <f>VLOOKUP(A146,MemoryAvailable!A:B,2,FALSE)</f>
        <v>appwe03ttn-uat</v>
      </c>
      <c r="C146" t="s">
        <v>2566</v>
      </c>
      <c r="D146">
        <v>9.9423861845480827E-2</v>
      </c>
      <c r="E146">
        <v>0.6057879461652913</v>
      </c>
      <c r="F146">
        <v>124.544807434082</v>
      </c>
      <c r="G146" t="s">
        <v>4385</v>
      </c>
    </row>
    <row r="147" spans="1:8">
      <c r="A147" t="s">
        <v>2645</v>
      </c>
      <c r="B147" t="str">
        <f>VLOOKUP(A147,MemoryAvailable!A:B,2,FALSE)</f>
        <v>appwe05neo-prod</v>
      </c>
      <c r="C147" t="s">
        <v>2566</v>
      </c>
      <c r="D147">
        <v>9.5124151874882101E-2</v>
      </c>
      <c r="E147">
        <v>0.39078020127719898</v>
      </c>
      <c r="F147">
        <v>654.14978027343795</v>
      </c>
      <c r="G147" t="s">
        <v>4386</v>
      </c>
    </row>
    <row r="148" spans="1:8">
      <c r="A148" t="s">
        <v>2682</v>
      </c>
      <c r="B148" t="str">
        <f>VLOOKUP(A148,MemoryAvailable!A:B,2,FALSE)</f>
        <v>ratestream-development</v>
      </c>
      <c r="C148" t="s">
        <v>2566</v>
      </c>
      <c r="D148">
        <v>8.5727365882064491E-2</v>
      </c>
      <c r="F148">
        <v>198.40278585973201</v>
      </c>
      <c r="G148" t="s">
        <v>4387</v>
      </c>
    </row>
    <row r="149" spans="1:8">
      <c r="A149" t="s">
        <v>458</v>
      </c>
      <c r="B149" t="str">
        <f>VLOOKUP(A149,MemoryAvailable!A:B,2,FALSE)</f>
        <v>appwe01ftp-prod</v>
      </c>
      <c r="C149" t="s">
        <v>2566</v>
      </c>
      <c r="D149">
        <v>8.2015155880078308E-2</v>
      </c>
      <c r="E149">
        <v>0.13333550022713123</v>
      </c>
      <c r="F149">
        <v>329.626151643387</v>
      </c>
      <c r="G149" t="s">
        <v>4388</v>
      </c>
    </row>
    <row r="150" spans="1:8">
      <c r="A150" t="s">
        <v>2889</v>
      </c>
      <c r="B150" t="str">
        <f>VLOOKUP(A150,MemoryAvailable!A:B,2,FALSE)</f>
        <v>solrvmtest0</v>
      </c>
      <c r="C150" t="s">
        <v>2566</v>
      </c>
      <c r="D150">
        <v>7.9633850683669197E-2</v>
      </c>
      <c r="E150">
        <v>0.68801162509928826</v>
      </c>
      <c r="F150">
        <v>34.990386962890597</v>
      </c>
      <c r="G150" t="s">
        <v>4389</v>
      </c>
    </row>
    <row r="151" spans="1:8">
      <c r="A151" t="s">
        <v>2720</v>
      </c>
      <c r="B151" t="str">
        <f>VLOOKUP(A151,MemoryAvailable!A:B,2,FALSE)</f>
        <v>appwe02ttn-uat</v>
      </c>
      <c r="C151" t="s">
        <v>2566</v>
      </c>
      <c r="D151">
        <v>7.4470090861028834E-2</v>
      </c>
      <c r="E151">
        <v>0.55603896988648549</v>
      </c>
      <c r="F151">
        <v>125.75676727294901</v>
      </c>
      <c r="G151" t="s">
        <v>4390</v>
      </c>
    </row>
    <row r="152" spans="1:8">
      <c r="A152" t="s">
        <v>467</v>
      </c>
      <c r="B152" t="str">
        <f>VLOOKUP(A152,MemoryAvailable!A:B,2,FALSE)</f>
        <v>appwe01mags-prod</v>
      </c>
      <c r="C152" t="s">
        <v>2587</v>
      </c>
      <c r="D152">
        <v>7.3828482133638171E-2</v>
      </c>
      <c r="E152">
        <v>0.22143281479362173</v>
      </c>
      <c r="F152">
        <v>629.97201965757802</v>
      </c>
      <c r="G152" t="s">
        <v>4391</v>
      </c>
      <c r="H152" t="s">
        <v>2624</v>
      </c>
    </row>
    <row r="153" spans="1:8">
      <c r="A153" t="s">
        <v>481</v>
      </c>
      <c r="B153" t="str">
        <f>VLOOKUP(A153,MemoryAvailable!A:B,2,FALSE)</f>
        <v>appwe01ratestream-prod</v>
      </c>
      <c r="C153" t="s">
        <v>2566</v>
      </c>
      <c r="D153">
        <v>6.1003469923895486E-2</v>
      </c>
      <c r="E153">
        <v>0.15004427128715403</v>
      </c>
      <c r="F153">
        <v>406.28909157968599</v>
      </c>
      <c r="G153" t="s">
        <v>4392</v>
      </c>
    </row>
    <row r="154" spans="1:8">
      <c r="A154" t="s">
        <v>284</v>
      </c>
      <c r="B154" t="str">
        <f>VLOOKUP(A154,MemoryAvailable!A:B,2,FALSE)</f>
        <v>appwe01sales-uat</v>
      </c>
      <c r="C154" t="s">
        <v>2587</v>
      </c>
      <c r="D154">
        <v>4.3008700985707249E-2</v>
      </c>
      <c r="E154">
        <v>1.6667568521910998E-2</v>
      </c>
      <c r="F154">
        <v>543.40079436139501</v>
      </c>
      <c r="G154" t="s">
        <v>4393</v>
      </c>
      <c r="H154" t="s">
        <v>2762</v>
      </c>
    </row>
    <row r="155" spans="1:8">
      <c r="A155" t="s">
        <v>576</v>
      </c>
      <c r="B155" t="str">
        <f>VLOOKUP(A155,MemoryAvailable!A:B,2,FALSE)</f>
        <v>AZRUSODL01</v>
      </c>
      <c r="C155" t="s">
        <v>2566</v>
      </c>
      <c r="D155">
        <v>4.2683136527784701E-2</v>
      </c>
      <c r="F155">
        <v>435.20458703099598</v>
      </c>
      <c r="G155" t="s">
        <v>4394</v>
      </c>
    </row>
    <row r="156" spans="1:8">
      <c r="A156" t="s">
        <v>513</v>
      </c>
      <c r="B156" t="str">
        <f>VLOOKUP(A156,MemoryAvailable!A:B,2,FALSE)</f>
        <v>appwe02ratestream-prod</v>
      </c>
      <c r="C156" t="s">
        <v>2566</v>
      </c>
      <c r="D156">
        <v>3.8796481567287683E-2</v>
      </c>
      <c r="E156">
        <v>0.11666119983539039</v>
      </c>
      <c r="F156">
        <v>267.560658035796</v>
      </c>
      <c r="G156" t="s">
        <v>4395</v>
      </c>
    </row>
    <row r="157" spans="1:8">
      <c r="A157" t="s">
        <v>460</v>
      </c>
      <c r="B157" t="str">
        <f>VLOOKUP(A157,MemoryAvailable!A:B,2,FALSE)</f>
        <v>appwe01hpi-prod</v>
      </c>
      <c r="C157" t="s">
        <v>2566</v>
      </c>
      <c r="D157">
        <v>2.8729178467953882E-2</v>
      </c>
      <c r="E157">
        <v>0.10000100194800569</v>
      </c>
      <c r="F157">
        <v>183.35133324533101</v>
      </c>
      <c r="G157" t="s">
        <v>4396</v>
      </c>
    </row>
    <row r="158" spans="1:8">
      <c r="A158" t="s">
        <v>310</v>
      </c>
      <c r="B158" t="str">
        <f>VLOOKUP(A158,MemoryAvailable!A:B,2,FALSE)</f>
        <v>appwe02sales-uat</v>
      </c>
      <c r="C158" t="s">
        <v>2587</v>
      </c>
      <c r="D158">
        <v>2.8342796448584534E-2</v>
      </c>
      <c r="F158">
        <v>552.33303728740395</v>
      </c>
      <c r="G158" t="s">
        <v>4397</v>
      </c>
      <c r="H158" t="s">
        <v>2734</v>
      </c>
    </row>
    <row r="159" spans="1:8">
      <c r="A159" t="s">
        <v>570</v>
      </c>
      <c r="B159" t="str">
        <f>VLOOKUP(A159,MemoryAvailable!A:B,2,FALSE)</f>
        <v>AZREUTRI02DBS</v>
      </c>
      <c r="C159" t="s">
        <v>2566</v>
      </c>
      <c r="D159">
        <v>2.673150346340283E-2</v>
      </c>
      <c r="E159">
        <v>6.6666612319305041E-2</v>
      </c>
      <c r="F159">
        <v>255.51404369576801</v>
      </c>
      <c r="G159" t="s">
        <v>4398</v>
      </c>
    </row>
    <row r="160" spans="1:8">
      <c r="A160" t="s">
        <v>516</v>
      </c>
      <c r="B160" t="str">
        <f>VLOOKUP(A160,MemoryAvailable!A:B,2,FALSE)</f>
        <v>appwe02sales-prod</v>
      </c>
      <c r="C160" t="s">
        <v>2587</v>
      </c>
      <c r="D160">
        <v>2.6439167082373601E-2</v>
      </c>
      <c r="E160">
        <v>5.0001453926819046E-2</v>
      </c>
      <c r="F160">
        <v>106.241684529503</v>
      </c>
      <c r="G160" t="s">
        <v>4399</v>
      </c>
      <c r="H160" t="s">
        <v>2679</v>
      </c>
    </row>
    <row r="161" spans="1:8">
      <c r="A161" t="s">
        <v>483</v>
      </c>
      <c r="B161" t="str">
        <f>VLOOKUP(A161,MemoryAvailable!A:B,2,FALSE)</f>
        <v>appwe01sales-prod</v>
      </c>
      <c r="C161" t="s">
        <v>2587</v>
      </c>
      <c r="D161">
        <v>2.3588109802846261E-2</v>
      </c>
      <c r="E161">
        <v>5.0067032263515866E-2</v>
      </c>
      <c r="F161">
        <v>189.33032370663901</v>
      </c>
      <c r="G161" t="s">
        <v>4400</v>
      </c>
      <c r="H161" t="s">
        <v>2856</v>
      </c>
    </row>
    <row r="162" spans="1:8">
      <c r="A162" t="s">
        <v>505</v>
      </c>
      <c r="B162" t="str">
        <f>VLOOKUP(A162,MemoryAvailable!A:B,2,FALSE)</f>
        <v>dbswe03cst-uat</v>
      </c>
      <c r="C162" t="s">
        <v>2566</v>
      </c>
      <c r="D162">
        <v>2.024163748780199E-2</v>
      </c>
      <c r="E162">
        <v>5.0000740006917663E-2</v>
      </c>
      <c r="F162">
        <v>53.4474703280139</v>
      </c>
      <c r="G162" t="s">
        <v>4401</v>
      </c>
    </row>
    <row r="163" spans="1:8">
      <c r="A163" t="s">
        <v>555</v>
      </c>
      <c r="B163" t="str">
        <f>VLOOKUP(A163,MemoryAvailable!A:B,2,FALSE)</f>
        <v>appwe01hpi-test</v>
      </c>
      <c r="C163" t="s">
        <v>2587</v>
      </c>
      <c r="D163">
        <v>1.5636169869900535E-2</v>
      </c>
      <c r="E163">
        <v>3.3333246987764388E-2</v>
      </c>
      <c r="F163">
        <v>102.579504783725</v>
      </c>
      <c r="G163" t="s">
        <v>4402</v>
      </c>
      <c r="H163" t="s">
        <v>2723</v>
      </c>
    </row>
    <row r="164" spans="1:8">
      <c r="A164" t="s">
        <v>644</v>
      </c>
      <c r="B164" t="str">
        <f>VLOOKUP(A164,MemoryAvailable!A:B,2,FALSE)</f>
        <v>dbswe01mysql-test</v>
      </c>
      <c r="C164" t="s">
        <v>2587</v>
      </c>
      <c r="D164">
        <v>1.4708762216291043E-2</v>
      </c>
      <c r="F164">
        <v>55.317063566597803</v>
      </c>
      <c r="G164" t="s">
        <v>4403</v>
      </c>
      <c r="H164" t="s">
        <v>2843</v>
      </c>
    </row>
    <row r="165" spans="1:8">
      <c r="A165" t="s">
        <v>622</v>
      </c>
      <c r="B165" t="str">
        <f>VLOOKUP(A165,MemoryAvailable!A:B,2,FALSE)</f>
        <v>dbsne01cst-dr</v>
      </c>
      <c r="C165" t="s">
        <v>2587</v>
      </c>
      <c r="D165">
        <v>1.415607681190206E-2</v>
      </c>
      <c r="E165">
        <v>4.9999828282096474E-2</v>
      </c>
      <c r="F165">
        <v>54.813374304993303</v>
      </c>
      <c r="G165" t="s">
        <v>4404</v>
      </c>
      <c r="H165" t="s">
        <v>2875</v>
      </c>
    </row>
    <row r="166" spans="1:8">
      <c r="A166" t="s">
        <v>282</v>
      </c>
      <c r="B166" t="str">
        <f>VLOOKUP(A166,MemoryAvailable!A:B,2,FALSE)</f>
        <v>appwe01sales-test</v>
      </c>
      <c r="C166" t="s">
        <v>2587</v>
      </c>
      <c r="D166">
        <v>1.3891879195379687E-2</v>
      </c>
      <c r="F166">
        <v>160.60985703893601</v>
      </c>
      <c r="G166" t="s">
        <v>4405</v>
      </c>
      <c r="H166" t="s">
        <v>2788</v>
      </c>
    </row>
    <row r="167" spans="1:8">
      <c r="A167" t="s">
        <v>663</v>
      </c>
      <c r="B167" t="str">
        <f>VLOOKUP(A167,MemoryAvailable!A:B,2,FALSE)</f>
        <v>dbswe02cst-prod</v>
      </c>
      <c r="C167" t="s">
        <v>2566</v>
      </c>
      <c r="D167">
        <v>1.3728318690577664E-2</v>
      </c>
      <c r="E167">
        <v>5.0001499049919927E-2</v>
      </c>
      <c r="F167">
        <v>53.307078022246301</v>
      </c>
      <c r="G167" t="s">
        <v>4404</v>
      </c>
    </row>
    <row r="168" spans="1:8">
      <c r="A168" t="s">
        <v>667</v>
      </c>
      <c r="B168" t="str">
        <f>VLOOKUP(A168,MemoryAvailable!A:B,2,FALSE)</f>
        <v>appwe01magazines-uat</v>
      </c>
      <c r="C168" t="s">
        <v>2587</v>
      </c>
      <c r="D168">
        <v>1.2314938453223633E-2</v>
      </c>
      <c r="E168">
        <v>3.3333434667072413E-2</v>
      </c>
      <c r="F168">
        <v>281.79785285065401</v>
      </c>
      <c r="G168" t="s">
        <v>4406</v>
      </c>
      <c r="H168" t="s">
        <v>2737</v>
      </c>
    </row>
    <row r="169" spans="1:8">
      <c r="A169" t="s">
        <v>435</v>
      </c>
      <c r="B169" t="str">
        <f>VLOOKUP(A169,MemoryAvailable!A:B,2,FALSE)</f>
        <v>appwe01cisa-prod</v>
      </c>
      <c r="C169" t="s">
        <v>2566</v>
      </c>
      <c r="D169">
        <v>1.0537309394029377E-2</v>
      </c>
      <c r="F169">
        <v>615.94864984056005</v>
      </c>
      <c r="G169" t="s">
        <v>4407</v>
      </c>
    </row>
    <row r="170" spans="1:8">
      <c r="A170" t="s">
        <v>674</v>
      </c>
      <c r="B170" t="str">
        <f>VLOOKUP(A170,MemoryAvailable!A:B,2,FALSE)</f>
        <v>dbswe03cst-prod</v>
      </c>
      <c r="C170" t="s">
        <v>2566</v>
      </c>
      <c r="D170">
        <v>1.0342422787026637E-2</v>
      </c>
      <c r="E170">
        <v>3.3333152905557439E-2</v>
      </c>
      <c r="F170">
        <v>72.680583779606593</v>
      </c>
      <c r="G170" t="s">
        <v>4408</v>
      </c>
    </row>
    <row r="171" spans="1:8">
      <c r="A171" t="s">
        <v>625</v>
      </c>
      <c r="B171" t="str">
        <f>VLOOKUP(A171,MemoryAvailable!A:B,2,FALSE)</f>
        <v>dbsne01mysql-prod</v>
      </c>
      <c r="C171" t="s">
        <v>2566</v>
      </c>
      <c r="D171">
        <v>1.0315070071836201E-2</v>
      </c>
      <c r="F171">
        <v>202.63445972425899</v>
      </c>
      <c r="G171" t="s">
        <v>4409</v>
      </c>
    </row>
    <row r="172" spans="1:8">
      <c r="A172" t="s">
        <v>665</v>
      </c>
      <c r="B172" t="str">
        <f>VLOOKUP(A172,MemoryAvailable!A:B,2,FALSE)</f>
        <v>dbswe02mysql-prod</v>
      </c>
      <c r="C172" t="s">
        <v>2587</v>
      </c>
      <c r="D172">
        <v>9.1136507654705507E-3</v>
      </c>
      <c r="E172">
        <v>1.666667700608979E-2</v>
      </c>
      <c r="F172">
        <v>80.284064709120202</v>
      </c>
      <c r="G172" t="s">
        <v>4410</v>
      </c>
      <c r="H172" t="s">
        <v>2886</v>
      </c>
    </row>
    <row r="173" spans="1:8">
      <c r="A173" t="s">
        <v>551</v>
      </c>
      <c r="B173" t="str">
        <f>VLOOKUP(A173,MemoryAvailable!A:B,2,FALSE)</f>
        <v>AZRAPODL01</v>
      </c>
      <c r="C173" t="s">
        <v>2566</v>
      </c>
      <c r="D173">
        <v>6.2463101048920696E-3</v>
      </c>
      <c r="F173">
        <v>92.193893549753298</v>
      </c>
      <c r="G173" t="s">
        <v>4411</v>
      </c>
    </row>
    <row r="174" spans="1:8">
      <c r="A174" t="s">
        <v>498</v>
      </c>
      <c r="B174" t="str">
        <f>VLOOKUP(A174,MemoryAvailable!A:B,2,FALSE)</f>
        <v>dbswe02mysql-uat</v>
      </c>
      <c r="C174" t="s">
        <v>2587</v>
      </c>
      <c r="D174">
        <v>5.4809257216645391E-3</v>
      </c>
      <c r="F174">
        <v>39.6329792245539</v>
      </c>
      <c r="G174" t="s">
        <v>4412</v>
      </c>
      <c r="H174" t="s">
        <v>2801</v>
      </c>
    </row>
    <row r="175" spans="1:8">
      <c r="A175" t="s">
        <v>802</v>
      </c>
      <c r="B175" t="str">
        <f>VLOOKUP(A175,MemoryAvailable!A:B,2,FALSE)</f>
        <v>iwg-mysql</v>
      </c>
      <c r="C175" t="s">
        <v>2587</v>
      </c>
      <c r="D175">
        <v>4.7668170677132816E-3</v>
      </c>
      <c r="F175">
        <v>103.349885171388</v>
      </c>
      <c r="G175" t="s">
        <v>4413</v>
      </c>
      <c r="H175" t="s">
        <v>2778</v>
      </c>
    </row>
    <row r="176" spans="1:8">
      <c r="A176" t="s">
        <v>323</v>
      </c>
      <c r="B176" t="str">
        <f>VLOOKUP(A176,MemoryAvailable!A:B,2,FALSE)</f>
        <v>appwe01cst-test</v>
      </c>
      <c r="C176" t="s">
        <v>2587</v>
      </c>
      <c r="D176">
        <v>5.5041831758450687E-4</v>
      </c>
      <c r="F176">
        <v>0.316708927535299</v>
      </c>
      <c r="G176" t="s">
        <v>4414</v>
      </c>
      <c r="H176" t="s">
        <v>2708</v>
      </c>
    </row>
    <row r="177" spans="1:8">
      <c r="A177" t="s">
        <v>520</v>
      </c>
      <c r="B177" t="str">
        <f>VLOOKUP(A177,MemoryAvailable!A:B,2,FALSE)</f>
        <v>appwe01cst-uat</v>
      </c>
      <c r="C177" t="s">
        <v>2587</v>
      </c>
      <c r="D177">
        <v>9.0366147798701875E-5</v>
      </c>
      <c r="F177">
        <v>2.53327599381341</v>
      </c>
      <c r="G177" t="s">
        <v>4061</v>
      </c>
      <c r="H177" t="s">
        <v>2797</v>
      </c>
    </row>
    <row r="178" spans="1:8">
      <c r="A178" t="s">
        <v>521</v>
      </c>
      <c r="B178" t="str">
        <f>VLOOKUP(A178,MemoryAvailable!A:B,2,FALSE)</f>
        <v>appwe03cst-prod</v>
      </c>
      <c r="C178" t="s">
        <v>2566</v>
      </c>
      <c r="D178">
        <v>6.2555339589341727E-5</v>
      </c>
      <c r="F178">
        <v>0.26670792266617299</v>
      </c>
      <c r="G178" t="s">
        <v>4061</v>
      </c>
    </row>
    <row r="179" spans="1:8">
      <c r="A179" t="s">
        <v>442</v>
      </c>
      <c r="B179" t="str">
        <f>VLOOKUP(A179,MemoryAvailable!A:B,2,FALSE)</f>
        <v>appwe01cst-prod</v>
      </c>
      <c r="C179" t="s">
        <v>2587</v>
      </c>
      <c r="D179">
        <v>6.0565044912769684E-5</v>
      </c>
      <c r="F179">
        <v>1.48304377719258</v>
      </c>
      <c r="G179" t="s">
        <v>4061</v>
      </c>
      <c r="H179" t="s">
        <v>2657</v>
      </c>
    </row>
    <row r="180" spans="1:8">
      <c r="A180" t="s">
        <v>386</v>
      </c>
      <c r="B180" t="str">
        <f>VLOOKUP(A180,MemoryAvailable!A:B,2,FALSE)</f>
        <v>appwe01sftp-uat</v>
      </c>
      <c r="C180" t="s">
        <v>2566</v>
      </c>
      <c r="D180">
        <v>2.6105326398740763E-6</v>
      </c>
      <c r="F180">
        <v>0.133332500967419</v>
      </c>
      <c r="G180" t="s">
        <v>4061</v>
      </c>
    </row>
    <row r="181" spans="1:8">
      <c r="A181" t="s">
        <v>384</v>
      </c>
      <c r="B181" t="str">
        <f>VLOOKUP(A181,MemoryAvailable!A:B,2,FALSE)</f>
        <v>appwe01sftp-tst</v>
      </c>
      <c r="C181" t="s">
        <v>2566</v>
      </c>
      <c r="G181" t="s">
        <v>4061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dea95c3d-f896-4225-92a1-40dd55280168">
      <Terms xmlns="http://schemas.microsoft.com/office/infopath/2007/PartnerControls"/>
    </lcf76f155ced4ddcb4097134ff3c332f>
    <TaxCatchAll xmlns="de2358af-abad-44bd-99ae-4b3ac3b5586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BC95E9AA5865F438361CB31B8D74271" ma:contentTypeVersion="17" ma:contentTypeDescription="Create a new document." ma:contentTypeScope="" ma:versionID="9969b143bd42b4e7658c69ac7f92b04e">
  <xsd:schema xmlns:xsd="http://www.w3.org/2001/XMLSchema" xmlns:xs="http://www.w3.org/2001/XMLSchema" xmlns:p="http://schemas.microsoft.com/office/2006/metadata/properties" xmlns:ns1="http://schemas.microsoft.com/sharepoint/v3" xmlns:ns2="dea95c3d-f896-4225-92a1-40dd55280168" xmlns:ns3="de2358af-abad-44bd-99ae-4b3ac3b55869" targetNamespace="http://schemas.microsoft.com/office/2006/metadata/properties" ma:root="true" ma:fieldsID="79c433e4a827fb2db9b5fb10f4c082fa" ns1:_="" ns2:_="" ns3:_="">
    <xsd:import namespace="http://schemas.microsoft.com/sharepoint/v3"/>
    <xsd:import namespace="dea95c3d-f896-4225-92a1-40dd55280168"/>
    <xsd:import namespace="de2358af-abad-44bd-99ae-4b3ac3b5586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1:_ip_UnifiedCompliancePolicyProperties" minOccurs="0"/>
                <xsd:element ref="ns1:_ip_UnifiedCompliancePolicyUIActio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ea95c3d-f896-4225-92a1-40dd552801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e77122d2-e88d-4b4a-9837-8138ff3ddcf3"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e2358af-abad-44bd-99ae-4b3ac3b5586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8dfc5713-6b32-42d6-bbae-7418a655d83b}" ma:internalName="TaxCatchAll" ma:showField="CatchAllData" ma:web="de2358af-abad-44bd-99ae-4b3ac3b5586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86D57A-387C-4205-B23F-2251E01277A9}">
  <ds:schemaRefs>
    <ds:schemaRef ds:uri="http://purl.org/dc/dcmitype/"/>
    <ds:schemaRef ds:uri="http://purl.org/dc/terms/"/>
    <ds:schemaRef ds:uri="http://schemas.microsoft.com/office/infopath/2007/PartnerControls"/>
    <ds:schemaRef ds:uri="dea95c3d-f896-4225-92a1-40dd55280168"/>
    <ds:schemaRef ds:uri="http://purl.org/dc/elements/1.1/"/>
    <ds:schemaRef ds:uri="http://schemas.microsoft.com/office/2006/documentManagement/types"/>
    <ds:schemaRef ds:uri="de2358af-abad-44bd-99ae-4b3ac3b55869"/>
    <ds:schemaRef ds:uri="http://www.w3.org/XML/1998/namespace"/>
    <ds:schemaRef ds:uri="http://schemas.microsoft.com/sharepoint/v3"/>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2F8DF870-EC59-48B0-B3DF-2F77636B94D5}">
  <ds:schemaRefs>
    <ds:schemaRef ds:uri="http://schemas.microsoft.com/sharepoint/v3/contenttype/forms"/>
  </ds:schemaRefs>
</ds:datastoreItem>
</file>

<file path=customXml/itemProps3.xml><?xml version="1.0" encoding="utf-8"?>
<ds:datastoreItem xmlns:ds="http://schemas.openxmlformats.org/officeDocument/2006/customXml" ds:itemID="{FA3754FB-108A-4B92-96E5-464CA595B6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ea95c3d-f896-4225-92a1-40dd55280168"/>
    <ds:schemaRef ds:uri="de2358af-abad-44bd-99ae-4b3ac3b5586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Dashboard_VMCosts_1</vt:lpstr>
      <vt:lpstr>Dashboard_VMCosts_#</vt:lpstr>
      <vt:lpstr>Dashboard_VMCosts_2</vt:lpstr>
      <vt:lpstr>Dashboard</vt:lpstr>
      <vt:lpstr>Dashboard Workings</vt:lpstr>
      <vt:lpstr>AzureVirtualMachines</vt:lpstr>
      <vt:lpstr>RI_Current</vt:lpstr>
      <vt:lpstr>SKUs-AzureExport</vt:lpstr>
      <vt:lpstr>VM_Performance_Stats</vt:lpstr>
      <vt:lpstr>Web-SKUS</vt:lpstr>
      <vt:lpstr>PercentCPU</vt:lpstr>
      <vt:lpstr>MemoryAvailable</vt:lpstr>
      <vt:lpstr>FlexGroups and Costing</vt:lpstr>
      <vt:lpstr>Willie List</vt:lpstr>
      <vt:lpstr>Azure SQL Pricing</vt:lpstr>
      <vt:lpstr>Write_Bytes_ps</vt:lpstr>
      <vt:lpstr>Writes_ps</vt:lpstr>
      <vt:lpstr>Read_Bytes_ps</vt:lpstr>
      <vt:lpstr>Reads_ps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Donovan Kelly (MEA)</dc:creator>
  <cp:keywords/>
  <dc:description/>
  <cp:lastModifiedBy>Vincent Viljoen (MEA)</cp:lastModifiedBy>
  <cp:revision/>
  <dcterms:created xsi:type="dcterms:W3CDTF">2021-09-22T08:22:36Z</dcterms:created>
  <dcterms:modified xsi:type="dcterms:W3CDTF">2022-07-28T09:19:46Z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0x0101003BC95E9AA5865F438361CB31B8D74271</vt:lpwstr>
  </property>
  <property fmtid="{D5CDD505-2E9C-101B-9397-08002B2CF9AE}" pid="3" name="MediaServiceImageTags">
    <vt:lpwstr/>
  </property>
</Properties>
</file>